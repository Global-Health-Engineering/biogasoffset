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codeName="ThisWorkbook" defaultThemeVersion="202300"/>
  <mc:AlternateContent xmlns:mc="http://schemas.openxmlformats.org/markup-compatibility/2006">
    <mc:Choice Requires="x15">
      <x15ac:absPath xmlns:x15ac="http://schemas.microsoft.com/office/spreadsheetml/2010/11/ac" url="H:\.shortcut-targets-by-id\1-AJVsJPo1RPgyL4cplK63ynKVK4xrMvI\2024-msc-thesis-luwalker\data\"/>
    </mc:Choice>
  </mc:AlternateContent>
  <xr:revisionPtr revIDLastSave="0" documentId="13_ncr:1_{BF997603-0D79-4F84-95C8-94EBEFD85BBD}" xr6:coauthVersionLast="47" xr6:coauthVersionMax="47" xr10:uidLastSave="{00000000-0000-0000-0000-000000000000}"/>
  <bookViews>
    <workbookView xWindow="57480" yWindow="-120" windowWidth="29040" windowHeight="15720" xr2:uid="{642D2597-39F5-4D37-9ED2-5D15CA2D536C}"/>
  </bookViews>
  <sheets>
    <sheet name="data" sheetId="2" r:id="rId1"/>
    <sheet name="CDM Projects Selection" sheetId="3" r:id="rId2"/>
    <sheet name="GS Projects Selection"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8" i="2" l="1"/>
  <c r="N188" i="2"/>
  <c r="O188" i="2"/>
  <c r="P188" i="2"/>
  <c r="Q188" i="2"/>
  <c r="R188" i="2"/>
  <c r="S188" i="2"/>
  <c r="L188" i="2"/>
  <c r="GC191" i="2"/>
  <c r="GD191" i="2"/>
  <c r="GE191" i="2"/>
  <c r="GF191" i="2"/>
  <c r="GG191" i="2"/>
  <c r="GH191" i="2"/>
  <c r="GI191" i="2"/>
  <c r="GJ191" i="2"/>
  <c r="GK191" i="2"/>
  <c r="GL191" i="2"/>
  <c r="GM191" i="2"/>
  <c r="GN191" i="2"/>
  <c r="GO191" i="2"/>
  <c r="GP191" i="2"/>
  <c r="GQ191" i="2"/>
  <c r="GR191" i="2"/>
  <c r="GS191" i="2"/>
  <c r="GT191" i="2"/>
  <c r="GU191" i="2"/>
  <c r="GV191" i="2"/>
  <c r="GW191" i="2"/>
  <c r="GX191" i="2"/>
  <c r="GY191" i="2"/>
  <c r="GZ191" i="2"/>
  <c r="HA191" i="2"/>
  <c r="HB191" i="2"/>
  <c r="HC191" i="2"/>
  <c r="HD191" i="2"/>
  <c r="HE191" i="2"/>
  <c r="HF191" i="2"/>
  <c r="HG191" i="2"/>
  <c r="HH191" i="2"/>
  <c r="HI191" i="2"/>
  <c r="HJ191" i="2"/>
  <c r="HK191" i="2"/>
  <c r="HL191" i="2"/>
  <c r="HM191" i="2"/>
  <c r="HN191" i="2"/>
  <c r="HO191" i="2"/>
  <c r="HP191" i="2"/>
  <c r="HQ191" i="2"/>
  <c r="HR191" i="2"/>
  <c r="HS191" i="2"/>
  <c r="HT191" i="2"/>
  <c r="HU191" i="2"/>
  <c r="HV191" i="2"/>
  <c r="HW191" i="2"/>
  <c r="HX191" i="2"/>
  <c r="HY191" i="2"/>
  <c r="HZ191" i="2"/>
  <c r="IA191" i="2"/>
  <c r="IB191" i="2"/>
  <c r="IC191" i="2"/>
  <c r="ID191" i="2"/>
  <c r="IE191" i="2"/>
  <c r="IF191" i="2"/>
  <c r="IG191" i="2"/>
  <c r="IH191" i="2"/>
  <c r="II191" i="2"/>
  <c r="IJ191" i="2"/>
  <c r="IK191" i="2"/>
  <c r="IL191" i="2"/>
  <c r="IM191" i="2"/>
  <c r="IN191" i="2"/>
  <c r="IO191" i="2"/>
  <c r="IP191" i="2"/>
  <c r="IQ191" i="2"/>
  <c r="IR191" i="2"/>
  <c r="IS191" i="2"/>
  <c r="IT191" i="2"/>
  <c r="IU191" i="2"/>
  <c r="IV191" i="2"/>
  <c r="IW191" i="2"/>
  <c r="AKK31" i="2" l="1"/>
  <c r="AKL31" i="2"/>
  <c r="AKM31" i="2"/>
  <c r="AKK32" i="2"/>
  <c r="AKL32" i="2"/>
  <c r="AKM32" i="2"/>
  <c r="AKJ32" i="2"/>
  <c r="AKJ31" i="2"/>
  <c r="E31" i="2"/>
  <c r="F31" i="2"/>
  <c r="G31" i="2"/>
  <c r="H31" i="2"/>
  <c r="I31" i="2"/>
  <c r="J31" i="2"/>
  <c r="K31" i="2"/>
  <c r="L31" i="2"/>
  <c r="M31" i="2"/>
  <c r="N31" i="2"/>
  <c r="O31" i="2"/>
  <c r="P31" i="2"/>
  <c r="Q31" i="2"/>
  <c r="R31" i="2"/>
  <c r="S31" i="2"/>
  <c r="T31" i="2"/>
  <c r="U31" i="2"/>
  <c r="V31" i="2"/>
  <c r="W31" i="2"/>
  <c r="X31" i="2"/>
  <c r="Y31" i="2"/>
  <c r="Z31" i="2"/>
  <c r="AA31" i="2"/>
  <c r="AB31" i="2"/>
  <c r="AC31" i="2"/>
  <c r="AD31" i="2"/>
  <c r="AE31" i="2"/>
  <c r="AF31" i="2"/>
  <c r="AG31" i="2"/>
  <c r="AH31" i="2"/>
  <c r="AI31" i="2"/>
  <c r="AJ31" i="2"/>
  <c r="AK31" i="2"/>
  <c r="AL31" i="2"/>
  <c r="AM31" i="2"/>
  <c r="AN31" i="2"/>
  <c r="AO31" i="2"/>
  <c r="AP31" i="2"/>
  <c r="AQ31" i="2"/>
  <c r="AR31" i="2"/>
  <c r="AS31" i="2"/>
  <c r="AT31" i="2"/>
  <c r="AU31" i="2"/>
  <c r="AV31" i="2"/>
  <c r="AW31" i="2"/>
  <c r="AX31" i="2"/>
  <c r="AY31" i="2"/>
  <c r="AZ31" i="2"/>
  <c r="BA31" i="2"/>
  <c r="BB31" i="2"/>
  <c r="BC31" i="2"/>
  <c r="BD31" i="2"/>
  <c r="BE31" i="2"/>
  <c r="BF31" i="2"/>
  <c r="BG31" i="2"/>
  <c r="BH31" i="2"/>
  <c r="BI31" i="2"/>
  <c r="BJ31" i="2"/>
  <c r="BK31" i="2"/>
  <c r="BL31" i="2"/>
  <c r="BM31" i="2"/>
  <c r="BN31" i="2"/>
  <c r="BO31" i="2"/>
  <c r="BP31" i="2"/>
  <c r="BQ31" i="2"/>
  <c r="BR31" i="2"/>
  <c r="BS31" i="2"/>
  <c r="BT31" i="2"/>
  <c r="BU31" i="2"/>
  <c r="BV31" i="2"/>
  <c r="BW31" i="2"/>
  <c r="BX31" i="2"/>
  <c r="BY31" i="2"/>
  <c r="BZ31" i="2"/>
  <c r="CA31" i="2"/>
  <c r="CB31" i="2"/>
  <c r="CC31" i="2"/>
  <c r="CD31" i="2"/>
  <c r="CE31" i="2"/>
  <c r="CF31" i="2"/>
  <c r="CG31" i="2"/>
  <c r="CH31" i="2"/>
  <c r="CI31" i="2"/>
  <c r="CJ31" i="2"/>
  <c r="CK31" i="2"/>
  <c r="CL31" i="2"/>
  <c r="CM31" i="2"/>
  <c r="CN31" i="2"/>
  <c r="CO31" i="2"/>
  <c r="CP31" i="2"/>
  <c r="CQ31" i="2"/>
  <c r="CR31" i="2"/>
  <c r="CS31" i="2"/>
  <c r="CT31" i="2"/>
  <c r="CU31" i="2"/>
  <c r="CV31" i="2"/>
  <c r="CW31" i="2"/>
  <c r="CX31" i="2"/>
  <c r="CY31" i="2"/>
  <c r="CZ31" i="2"/>
  <c r="DA31" i="2"/>
  <c r="DB31" i="2"/>
  <c r="DC31" i="2"/>
  <c r="DD31" i="2"/>
  <c r="DE31" i="2"/>
  <c r="DF31" i="2"/>
  <c r="DG31" i="2"/>
  <c r="DH31" i="2"/>
  <c r="DI31" i="2"/>
  <c r="DJ31" i="2"/>
  <c r="DK31" i="2"/>
  <c r="DL31" i="2"/>
  <c r="DM31" i="2"/>
  <c r="DN31" i="2"/>
  <c r="DO31" i="2"/>
  <c r="DP31" i="2"/>
  <c r="DQ31" i="2"/>
  <c r="DR31" i="2"/>
  <c r="DS31" i="2"/>
  <c r="DT31" i="2"/>
  <c r="DU31" i="2"/>
  <c r="DV31" i="2"/>
  <c r="DW31" i="2"/>
  <c r="DX31" i="2"/>
  <c r="DY31" i="2"/>
  <c r="DZ31" i="2"/>
  <c r="EA31" i="2"/>
  <c r="EB31" i="2"/>
  <c r="EC31" i="2"/>
  <c r="ED31" i="2"/>
  <c r="EE31" i="2"/>
  <c r="EF31" i="2"/>
  <c r="EG31" i="2"/>
  <c r="EH31" i="2"/>
  <c r="EI31" i="2"/>
  <c r="EJ31" i="2"/>
  <c r="EK31" i="2"/>
  <c r="EL31" i="2"/>
  <c r="EM31" i="2"/>
  <c r="EN31" i="2"/>
  <c r="EO31" i="2"/>
  <c r="EP31" i="2"/>
  <c r="EQ31" i="2"/>
  <c r="ER31" i="2"/>
  <c r="ES31" i="2"/>
  <c r="ET31" i="2"/>
  <c r="EU31" i="2"/>
  <c r="EV31" i="2"/>
  <c r="EW31" i="2"/>
  <c r="EX31" i="2"/>
  <c r="EY31" i="2"/>
  <c r="EZ31" i="2"/>
  <c r="FA31" i="2"/>
  <c r="FB31" i="2"/>
  <c r="FC31" i="2"/>
  <c r="FD31" i="2"/>
  <c r="FE31" i="2"/>
  <c r="FF31" i="2"/>
  <c r="FG31" i="2"/>
  <c r="FH31" i="2"/>
  <c r="FI31" i="2"/>
  <c r="FJ31" i="2"/>
  <c r="FK31" i="2"/>
  <c r="FL31" i="2"/>
  <c r="FM31" i="2"/>
  <c r="FN31" i="2"/>
  <c r="FO31" i="2"/>
  <c r="FP31" i="2"/>
  <c r="FQ31" i="2"/>
  <c r="FR31" i="2"/>
  <c r="FS31" i="2"/>
  <c r="FT31" i="2"/>
  <c r="FU31" i="2"/>
  <c r="FV31" i="2"/>
  <c r="FW31" i="2"/>
  <c r="FX31" i="2"/>
  <c r="FY31" i="2"/>
  <c r="FZ31" i="2"/>
  <c r="GA31" i="2"/>
  <c r="GB31" i="2"/>
  <c r="GC31" i="2"/>
  <c r="GD31" i="2"/>
  <c r="GE31" i="2"/>
  <c r="GF31" i="2"/>
  <c r="GG31" i="2"/>
  <c r="GH31" i="2"/>
  <c r="GI31" i="2"/>
  <c r="GJ31" i="2"/>
  <c r="GK31" i="2"/>
  <c r="GL31" i="2"/>
  <c r="GM31" i="2"/>
  <c r="GN31" i="2"/>
  <c r="GO31" i="2"/>
  <c r="GP31" i="2"/>
  <c r="GQ31" i="2"/>
  <c r="GR31" i="2"/>
  <c r="GS31" i="2"/>
  <c r="GT31" i="2"/>
  <c r="GU31" i="2"/>
  <c r="GV31" i="2"/>
  <c r="GW31" i="2"/>
  <c r="GX31" i="2"/>
  <c r="GY31" i="2"/>
  <c r="GZ31" i="2"/>
  <c r="HA31" i="2"/>
  <c r="HB31" i="2"/>
  <c r="HC31" i="2"/>
  <c r="HD31" i="2"/>
  <c r="HE31" i="2"/>
  <c r="HF31" i="2"/>
  <c r="HG31" i="2"/>
  <c r="HH31" i="2"/>
  <c r="HI31" i="2"/>
  <c r="HJ31" i="2"/>
  <c r="HK31" i="2"/>
  <c r="HL31" i="2"/>
  <c r="HM31" i="2"/>
  <c r="HN31" i="2"/>
  <c r="HO31" i="2"/>
  <c r="HP31" i="2"/>
  <c r="HQ31" i="2"/>
  <c r="HR31" i="2"/>
  <c r="HS31" i="2"/>
  <c r="HT31" i="2"/>
  <c r="HU31" i="2"/>
  <c r="HV31" i="2"/>
  <c r="HW31" i="2"/>
  <c r="HX31" i="2"/>
  <c r="HY31" i="2"/>
  <c r="HZ31" i="2"/>
  <c r="IA31" i="2"/>
  <c r="IB31" i="2"/>
  <c r="IC31" i="2"/>
  <c r="ID31" i="2"/>
  <c r="IE31" i="2"/>
  <c r="IF31" i="2"/>
  <c r="IG31" i="2"/>
  <c r="IH31" i="2"/>
  <c r="II31" i="2"/>
  <c r="IJ31" i="2"/>
  <c r="IK31" i="2"/>
  <c r="IL31" i="2"/>
  <c r="IM31" i="2"/>
  <c r="IN31" i="2"/>
  <c r="IO31" i="2"/>
  <c r="IP31" i="2"/>
  <c r="IQ31" i="2"/>
  <c r="IR31" i="2"/>
  <c r="IS31" i="2"/>
  <c r="IT31" i="2"/>
  <c r="IU31" i="2"/>
  <c r="IV31" i="2"/>
  <c r="IW31" i="2"/>
  <c r="IX31" i="2"/>
  <c r="IY31" i="2"/>
  <c r="IZ31" i="2"/>
  <c r="JA31" i="2"/>
  <c r="JB31" i="2"/>
  <c r="JC31" i="2"/>
  <c r="JD31" i="2"/>
  <c r="JE31" i="2"/>
  <c r="JF31" i="2"/>
  <c r="JG31" i="2"/>
  <c r="JH31" i="2"/>
  <c r="JI31" i="2"/>
  <c r="JJ31" i="2"/>
  <c r="JK31" i="2"/>
  <c r="JL31" i="2"/>
  <c r="JM31" i="2"/>
  <c r="JN31" i="2"/>
  <c r="JO31" i="2"/>
  <c r="JP31" i="2"/>
  <c r="JQ31" i="2"/>
  <c r="JR31" i="2"/>
  <c r="JS31" i="2"/>
  <c r="JT31" i="2"/>
  <c r="JU31" i="2"/>
  <c r="JV31" i="2"/>
  <c r="JW31" i="2"/>
  <c r="JX31" i="2"/>
  <c r="JY31" i="2"/>
  <c r="JZ31" i="2"/>
  <c r="KA31" i="2"/>
  <c r="KB31" i="2"/>
  <c r="KC31" i="2"/>
  <c r="KD31" i="2"/>
  <c r="KE31" i="2"/>
  <c r="KF31" i="2"/>
  <c r="KG31" i="2"/>
  <c r="KH31" i="2"/>
  <c r="KI31" i="2"/>
  <c r="KJ31" i="2"/>
  <c r="KK31" i="2"/>
  <c r="KL31" i="2"/>
  <c r="KM31" i="2"/>
  <c r="KN31" i="2"/>
  <c r="KO31" i="2"/>
  <c r="KP31" i="2"/>
  <c r="KQ31" i="2"/>
  <c r="KR31" i="2"/>
  <c r="KS31" i="2"/>
  <c r="KT31" i="2"/>
  <c r="KU31" i="2"/>
  <c r="KV31" i="2"/>
  <c r="KW31" i="2"/>
  <c r="KX31" i="2"/>
  <c r="KY31" i="2"/>
  <c r="KZ31" i="2"/>
  <c r="LA31" i="2"/>
  <c r="LB31" i="2"/>
  <c r="LC31" i="2"/>
  <c r="LD31" i="2"/>
  <c r="LE31" i="2"/>
  <c r="LF31" i="2"/>
  <c r="LG31" i="2"/>
  <c r="LH31" i="2"/>
  <c r="LI31" i="2"/>
  <c r="LJ31" i="2"/>
  <c r="LK31" i="2"/>
  <c r="LL31" i="2"/>
  <c r="LM31" i="2"/>
  <c r="LN31" i="2"/>
  <c r="LO31" i="2"/>
  <c r="LP31" i="2"/>
  <c r="LQ31" i="2"/>
  <c r="LR31" i="2"/>
  <c r="LS31" i="2"/>
  <c r="LT31" i="2"/>
  <c r="LU31" i="2"/>
  <c r="LV31" i="2"/>
  <c r="LW31" i="2"/>
  <c r="LX31" i="2"/>
  <c r="LY31" i="2"/>
  <c r="LZ31" i="2"/>
  <c r="MA31" i="2"/>
  <c r="MB31" i="2"/>
  <c r="MC31" i="2"/>
  <c r="MD31" i="2"/>
  <c r="ME31" i="2"/>
  <c r="MF31" i="2"/>
  <c r="MG31" i="2"/>
  <c r="MH31" i="2"/>
  <c r="MI31" i="2"/>
  <c r="MJ31" i="2"/>
  <c r="MK31" i="2"/>
  <c r="ML31" i="2"/>
  <c r="MM31" i="2"/>
  <c r="MN31" i="2"/>
  <c r="MO31" i="2"/>
  <c r="MP31" i="2"/>
  <c r="MQ31" i="2"/>
  <c r="MR31" i="2"/>
  <c r="MS31" i="2"/>
  <c r="MT31" i="2"/>
  <c r="MU31" i="2"/>
  <c r="MV31" i="2"/>
  <c r="MW31" i="2"/>
  <c r="MX31" i="2"/>
  <c r="MY31" i="2"/>
  <c r="MZ31" i="2"/>
  <c r="NA31" i="2"/>
  <c r="NB31" i="2"/>
  <c r="NC31" i="2"/>
  <c r="ND31" i="2"/>
  <c r="NE31" i="2"/>
  <c r="NF31" i="2"/>
  <c r="NG31" i="2"/>
  <c r="NH31" i="2"/>
  <c r="NI31" i="2"/>
  <c r="NJ31" i="2"/>
  <c r="NK31" i="2"/>
  <c r="NL31" i="2"/>
  <c r="NM31" i="2"/>
  <c r="NN31" i="2"/>
  <c r="NO31" i="2"/>
  <c r="NP31" i="2"/>
  <c r="NQ31" i="2"/>
  <c r="NR31" i="2"/>
  <c r="NS31" i="2"/>
  <c r="NT31" i="2"/>
  <c r="NU31" i="2"/>
  <c r="NV31" i="2"/>
  <c r="NW31" i="2"/>
  <c r="NX31" i="2"/>
  <c r="NY31" i="2"/>
  <c r="NZ31" i="2"/>
  <c r="OA31" i="2"/>
  <c r="OB31" i="2"/>
  <c r="OC31" i="2"/>
  <c r="OD31" i="2"/>
  <c r="OE31" i="2"/>
  <c r="OF31" i="2"/>
  <c r="OG31" i="2"/>
  <c r="OH31" i="2"/>
  <c r="OI31" i="2"/>
  <c r="OJ31" i="2"/>
  <c r="OK31" i="2"/>
  <c r="OL31" i="2"/>
  <c r="OM31" i="2"/>
  <c r="ON31" i="2"/>
  <c r="OO31" i="2"/>
  <c r="OP31" i="2"/>
  <c r="OQ31" i="2"/>
  <c r="OR31" i="2"/>
  <c r="OS31" i="2"/>
  <c r="OT31" i="2"/>
  <c r="OU31" i="2"/>
  <c r="OV31" i="2"/>
  <c r="OW31" i="2"/>
  <c r="OX31" i="2"/>
  <c r="OY31" i="2"/>
  <c r="OZ31" i="2"/>
  <c r="PA31" i="2"/>
  <c r="PB31" i="2"/>
  <c r="PC31" i="2"/>
  <c r="PD31" i="2"/>
  <c r="PE31" i="2"/>
  <c r="PF31" i="2"/>
  <c r="PG31" i="2"/>
  <c r="PH31" i="2"/>
  <c r="PI31" i="2"/>
  <c r="PJ31" i="2"/>
  <c r="PK31" i="2"/>
  <c r="PL31" i="2"/>
  <c r="PM31" i="2"/>
  <c r="PN31" i="2"/>
  <c r="PO31" i="2"/>
  <c r="PP31" i="2"/>
  <c r="PQ31" i="2"/>
  <c r="PR31" i="2"/>
  <c r="PS31" i="2"/>
  <c r="PT31" i="2"/>
  <c r="PU31" i="2"/>
  <c r="PV31" i="2"/>
  <c r="PW31" i="2"/>
  <c r="PX31" i="2"/>
  <c r="PY31" i="2"/>
  <c r="PZ31" i="2"/>
  <c r="QA31" i="2"/>
  <c r="QB31" i="2"/>
  <c r="QC31" i="2"/>
  <c r="QD31" i="2"/>
  <c r="QE31" i="2"/>
  <c r="QF31" i="2"/>
  <c r="QG31" i="2"/>
  <c r="QH31" i="2"/>
  <c r="QI31" i="2"/>
  <c r="QJ31" i="2"/>
  <c r="QK31" i="2"/>
  <c r="QL31" i="2"/>
  <c r="QM31" i="2"/>
  <c r="QN31" i="2"/>
  <c r="QO31" i="2"/>
  <c r="QP31" i="2"/>
  <c r="QQ31" i="2"/>
  <c r="QR31" i="2"/>
  <c r="QS31" i="2"/>
  <c r="QT31" i="2"/>
  <c r="QU31" i="2"/>
  <c r="QV31" i="2"/>
  <c r="QW31" i="2"/>
  <c r="QX31" i="2"/>
  <c r="QY31" i="2"/>
  <c r="QZ31" i="2"/>
  <c r="RA31" i="2"/>
  <c r="RB31" i="2"/>
  <c r="RC31" i="2"/>
  <c r="RD31" i="2"/>
  <c r="RE31" i="2"/>
  <c r="RF31" i="2"/>
  <c r="RG31" i="2"/>
  <c r="RH31" i="2"/>
  <c r="RI31" i="2"/>
  <c r="RJ31" i="2"/>
  <c r="RK31" i="2"/>
  <c r="RL31" i="2"/>
  <c r="RM31" i="2"/>
  <c r="RN31" i="2"/>
  <c r="RO31" i="2"/>
  <c r="RP31" i="2"/>
  <c r="RQ31" i="2"/>
  <c r="RR31" i="2"/>
  <c r="RS31" i="2"/>
  <c r="RT31" i="2"/>
  <c r="RU31" i="2"/>
  <c r="RV31" i="2"/>
  <c r="RW31" i="2"/>
  <c r="RX31" i="2"/>
  <c r="RY31" i="2"/>
  <c r="RZ31" i="2"/>
  <c r="SA31" i="2"/>
  <c r="SB31" i="2"/>
  <c r="SC31" i="2"/>
  <c r="SD31" i="2"/>
  <c r="SE31" i="2"/>
  <c r="SF31" i="2"/>
  <c r="SG31" i="2"/>
  <c r="SH31" i="2"/>
  <c r="SI31" i="2"/>
  <c r="SJ31" i="2"/>
  <c r="SK31" i="2"/>
  <c r="SL31" i="2"/>
  <c r="SM31" i="2"/>
  <c r="SN31" i="2"/>
  <c r="SO31" i="2"/>
  <c r="SP31" i="2"/>
  <c r="SQ31" i="2"/>
  <c r="SR31" i="2"/>
  <c r="SS31" i="2"/>
  <c r="ST31" i="2"/>
  <c r="SU31" i="2"/>
  <c r="SV31" i="2"/>
  <c r="SW31" i="2"/>
  <c r="SX31" i="2"/>
  <c r="SY31" i="2"/>
  <c r="SZ31" i="2"/>
  <c r="TA31" i="2"/>
  <c r="TB31" i="2"/>
  <c r="TC31" i="2"/>
  <c r="TD31" i="2"/>
  <c r="TE31" i="2"/>
  <c r="TF31" i="2"/>
  <c r="TG31" i="2"/>
  <c r="TH31" i="2"/>
  <c r="TI31" i="2"/>
  <c r="TJ31" i="2"/>
  <c r="TK31" i="2"/>
  <c r="TL31" i="2"/>
  <c r="TM31" i="2"/>
  <c r="TN31" i="2"/>
  <c r="TO31" i="2"/>
  <c r="TP31" i="2"/>
  <c r="TQ31" i="2"/>
  <c r="TR31" i="2"/>
  <c r="TS31" i="2"/>
  <c r="TT31" i="2"/>
  <c r="TU31" i="2"/>
  <c r="TV31" i="2"/>
  <c r="TW31" i="2"/>
  <c r="TX31" i="2"/>
  <c r="TY31" i="2"/>
  <c r="TZ31" i="2"/>
  <c r="UA31" i="2"/>
  <c r="UB31" i="2"/>
  <c r="UC31" i="2"/>
  <c r="UD31" i="2"/>
  <c r="UE31" i="2"/>
  <c r="UF31" i="2"/>
  <c r="UG31" i="2"/>
  <c r="UH31" i="2"/>
  <c r="UI31" i="2"/>
  <c r="UJ31" i="2"/>
  <c r="UK31" i="2"/>
  <c r="UL31" i="2"/>
  <c r="UM31" i="2"/>
  <c r="UN31" i="2"/>
  <c r="UO31" i="2"/>
  <c r="UP31" i="2"/>
  <c r="UQ31" i="2"/>
  <c r="UR31" i="2"/>
  <c r="US31" i="2"/>
  <c r="UT31" i="2"/>
  <c r="UU31" i="2"/>
  <c r="UV31" i="2"/>
  <c r="UW31" i="2"/>
  <c r="UX31" i="2"/>
  <c r="UY31" i="2"/>
  <c r="UZ31" i="2"/>
  <c r="VA31" i="2"/>
  <c r="VB31" i="2"/>
  <c r="VC31" i="2"/>
  <c r="VD31" i="2"/>
  <c r="VE31" i="2"/>
  <c r="VF31" i="2"/>
  <c r="VG31" i="2"/>
  <c r="VH31" i="2"/>
  <c r="VI31" i="2"/>
  <c r="VJ31" i="2"/>
  <c r="VK31" i="2"/>
  <c r="VL31" i="2"/>
  <c r="VM31" i="2"/>
  <c r="VN31" i="2"/>
  <c r="VO31" i="2"/>
  <c r="VP31" i="2"/>
  <c r="VQ31" i="2"/>
  <c r="VR31" i="2"/>
  <c r="VS31" i="2"/>
  <c r="VT31" i="2"/>
  <c r="VU31" i="2"/>
  <c r="VV31" i="2"/>
  <c r="VW31" i="2"/>
  <c r="VX31" i="2"/>
  <c r="VY31" i="2"/>
  <c r="VZ31" i="2"/>
  <c r="WA31" i="2"/>
  <c r="WB31" i="2"/>
  <c r="WC31" i="2"/>
  <c r="WD31" i="2"/>
  <c r="WE31" i="2"/>
  <c r="WF31" i="2"/>
  <c r="WG31" i="2"/>
  <c r="WH31" i="2"/>
  <c r="WI31" i="2"/>
  <c r="WJ31" i="2"/>
  <c r="WK31" i="2"/>
  <c r="WL31" i="2"/>
  <c r="WM31" i="2"/>
  <c r="WN31" i="2"/>
  <c r="WO31" i="2"/>
  <c r="WP31" i="2"/>
  <c r="WQ31" i="2"/>
  <c r="WR31" i="2"/>
  <c r="WS31" i="2"/>
  <c r="WT31" i="2"/>
  <c r="WU31" i="2"/>
  <c r="WV31" i="2"/>
  <c r="WW31" i="2"/>
  <c r="WX31" i="2"/>
  <c r="WY31" i="2"/>
  <c r="WZ31" i="2"/>
  <c r="XA31" i="2"/>
  <c r="XB31" i="2"/>
  <c r="XC31" i="2"/>
  <c r="XD31" i="2"/>
  <c r="XE31" i="2"/>
  <c r="XF31" i="2"/>
  <c r="XG31" i="2"/>
  <c r="XH31" i="2"/>
  <c r="XI31" i="2"/>
  <c r="XJ31" i="2"/>
  <c r="XK31" i="2"/>
  <c r="XL31" i="2"/>
  <c r="XM31" i="2"/>
  <c r="XN31" i="2"/>
  <c r="XO31" i="2"/>
  <c r="XP31" i="2"/>
  <c r="XQ31" i="2"/>
  <c r="XR31" i="2"/>
  <c r="XS31" i="2"/>
  <c r="XT31" i="2"/>
  <c r="XU31" i="2"/>
  <c r="XV31" i="2"/>
  <c r="XW31" i="2"/>
  <c r="XX31" i="2"/>
  <c r="XY31" i="2"/>
  <c r="XZ31" i="2"/>
  <c r="YA31" i="2"/>
  <c r="YB31" i="2"/>
  <c r="YC31" i="2"/>
  <c r="YD31" i="2"/>
  <c r="YE31" i="2"/>
  <c r="YF31" i="2"/>
  <c r="YG31" i="2"/>
  <c r="YH31" i="2"/>
  <c r="YI31" i="2"/>
  <c r="YJ31" i="2"/>
  <c r="YK31" i="2"/>
  <c r="YL31" i="2"/>
  <c r="YM31" i="2"/>
  <c r="YN31" i="2"/>
  <c r="YO31" i="2"/>
  <c r="YP31" i="2"/>
  <c r="YQ31" i="2"/>
  <c r="YR31" i="2"/>
  <c r="YS31" i="2"/>
  <c r="YT31" i="2"/>
  <c r="YU31" i="2"/>
  <c r="YV31" i="2"/>
  <c r="YW31" i="2"/>
  <c r="YX31" i="2"/>
  <c r="YY31" i="2"/>
  <c r="YZ31" i="2"/>
  <c r="ZA31" i="2"/>
  <c r="ZB31" i="2"/>
  <c r="ZC31" i="2"/>
  <c r="ZD31" i="2"/>
  <c r="ZE31" i="2"/>
  <c r="ZF31" i="2"/>
  <c r="ZG31" i="2"/>
  <c r="ZH31" i="2"/>
  <c r="ZI31" i="2"/>
  <c r="ZJ31" i="2"/>
  <c r="ZK31" i="2"/>
  <c r="ZL31" i="2"/>
  <c r="ZM31" i="2"/>
  <c r="ZN31" i="2"/>
  <c r="ZO31" i="2"/>
  <c r="ZP31" i="2"/>
  <c r="E32" i="2"/>
  <c r="F32" i="2"/>
  <c r="G32" i="2"/>
  <c r="H32" i="2"/>
  <c r="I32" i="2"/>
  <c r="J32" i="2"/>
  <c r="K32" i="2"/>
  <c r="L32" i="2"/>
  <c r="M32" i="2"/>
  <c r="N32" i="2"/>
  <c r="O32" i="2"/>
  <c r="P32" i="2"/>
  <c r="Q32" i="2"/>
  <c r="R32" i="2"/>
  <c r="S32" i="2"/>
  <c r="T32" i="2"/>
  <c r="U32" i="2"/>
  <c r="V32" i="2"/>
  <c r="W32" i="2"/>
  <c r="X32" i="2"/>
  <c r="Y32" i="2"/>
  <c r="Z32" i="2"/>
  <c r="AA32" i="2"/>
  <c r="AB32" i="2"/>
  <c r="AC32" i="2"/>
  <c r="AD32" i="2"/>
  <c r="AE32" i="2"/>
  <c r="AF32" i="2"/>
  <c r="AG32" i="2"/>
  <c r="AH32" i="2"/>
  <c r="AI32" i="2"/>
  <c r="AJ32" i="2"/>
  <c r="AK32" i="2"/>
  <c r="AL32" i="2"/>
  <c r="AM32" i="2"/>
  <c r="AN32" i="2"/>
  <c r="AO32" i="2"/>
  <c r="AP32" i="2"/>
  <c r="AQ32" i="2"/>
  <c r="AR32" i="2"/>
  <c r="AS32" i="2"/>
  <c r="AT32" i="2"/>
  <c r="AU32" i="2"/>
  <c r="AV32" i="2"/>
  <c r="AW32" i="2"/>
  <c r="AX32" i="2"/>
  <c r="AY32" i="2"/>
  <c r="AZ32" i="2"/>
  <c r="BA32" i="2"/>
  <c r="BB32" i="2"/>
  <c r="BC32" i="2"/>
  <c r="BD32" i="2"/>
  <c r="BE32" i="2"/>
  <c r="BF32" i="2"/>
  <c r="BG32" i="2"/>
  <c r="BH32" i="2"/>
  <c r="BI32" i="2"/>
  <c r="BJ32" i="2"/>
  <c r="BK32" i="2"/>
  <c r="BL32" i="2"/>
  <c r="BM32" i="2"/>
  <c r="BN32" i="2"/>
  <c r="BO32" i="2"/>
  <c r="BP32" i="2"/>
  <c r="BQ32" i="2"/>
  <c r="BR32" i="2"/>
  <c r="BS32" i="2"/>
  <c r="BT32" i="2"/>
  <c r="BU32" i="2"/>
  <c r="BV32" i="2"/>
  <c r="BW32" i="2"/>
  <c r="BX32" i="2"/>
  <c r="BY32" i="2"/>
  <c r="BZ32" i="2"/>
  <c r="CA32" i="2"/>
  <c r="CB32" i="2"/>
  <c r="CC32" i="2"/>
  <c r="CD32" i="2"/>
  <c r="CE32" i="2"/>
  <c r="CF32" i="2"/>
  <c r="CG32" i="2"/>
  <c r="CH32" i="2"/>
  <c r="CI32" i="2"/>
  <c r="CJ32" i="2"/>
  <c r="CK32" i="2"/>
  <c r="CL32" i="2"/>
  <c r="CM32" i="2"/>
  <c r="CN32" i="2"/>
  <c r="CO32" i="2"/>
  <c r="CP32" i="2"/>
  <c r="CQ32" i="2"/>
  <c r="CR32" i="2"/>
  <c r="CS32" i="2"/>
  <c r="CT32" i="2"/>
  <c r="CU32" i="2"/>
  <c r="CV32" i="2"/>
  <c r="CW32" i="2"/>
  <c r="CX32" i="2"/>
  <c r="CY32" i="2"/>
  <c r="CZ32" i="2"/>
  <c r="DA32" i="2"/>
  <c r="DB32" i="2"/>
  <c r="DC32" i="2"/>
  <c r="DD32" i="2"/>
  <c r="DE32" i="2"/>
  <c r="DF32" i="2"/>
  <c r="DG32" i="2"/>
  <c r="DH32" i="2"/>
  <c r="DI32" i="2"/>
  <c r="DJ32" i="2"/>
  <c r="DK32" i="2"/>
  <c r="DL32" i="2"/>
  <c r="DM32" i="2"/>
  <c r="DN32" i="2"/>
  <c r="DO32" i="2"/>
  <c r="DP32" i="2"/>
  <c r="DQ32" i="2"/>
  <c r="DR32" i="2"/>
  <c r="DS32" i="2"/>
  <c r="DT32" i="2"/>
  <c r="DU32" i="2"/>
  <c r="DV32" i="2"/>
  <c r="DW32" i="2"/>
  <c r="DX32" i="2"/>
  <c r="DY32" i="2"/>
  <c r="DZ32" i="2"/>
  <c r="EA32" i="2"/>
  <c r="EB32" i="2"/>
  <c r="EC32" i="2"/>
  <c r="ED32" i="2"/>
  <c r="EE32" i="2"/>
  <c r="EF32" i="2"/>
  <c r="EG32" i="2"/>
  <c r="EH32" i="2"/>
  <c r="EI32" i="2"/>
  <c r="EJ32" i="2"/>
  <c r="EK32" i="2"/>
  <c r="EL32" i="2"/>
  <c r="EM32" i="2"/>
  <c r="EN32" i="2"/>
  <c r="EO32" i="2"/>
  <c r="EP32" i="2"/>
  <c r="EQ32" i="2"/>
  <c r="ER32" i="2"/>
  <c r="ES32" i="2"/>
  <c r="ET32" i="2"/>
  <c r="EU32" i="2"/>
  <c r="EV32" i="2"/>
  <c r="EW32" i="2"/>
  <c r="EX32" i="2"/>
  <c r="EY32" i="2"/>
  <c r="EZ32" i="2"/>
  <c r="FA32" i="2"/>
  <c r="FB32" i="2"/>
  <c r="FC32" i="2"/>
  <c r="FD32" i="2"/>
  <c r="FE32" i="2"/>
  <c r="FF32" i="2"/>
  <c r="FG32" i="2"/>
  <c r="FH32" i="2"/>
  <c r="FI32" i="2"/>
  <c r="FJ32" i="2"/>
  <c r="FK32" i="2"/>
  <c r="FL32" i="2"/>
  <c r="FM32" i="2"/>
  <c r="FN32" i="2"/>
  <c r="FO32" i="2"/>
  <c r="FP32" i="2"/>
  <c r="FQ32" i="2"/>
  <c r="FR32" i="2"/>
  <c r="FS32" i="2"/>
  <c r="FT32" i="2"/>
  <c r="FU32" i="2"/>
  <c r="FV32" i="2"/>
  <c r="FW32" i="2"/>
  <c r="FX32" i="2"/>
  <c r="FY32" i="2"/>
  <c r="FZ32" i="2"/>
  <c r="GA32" i="2"/>
  <c r="GB32" i="2"/>
  <c r="GC32" i="2"/>
  <c r="GD32" i="2"/>
  <c r="GE32" i="2"/>
  <c r="GF32" i="2"/>
  <c r="GG32" i="2"/>
  <c r="GH32" i="2"/>
  <c r="GI32" i="2"/>
  <c r="GJ32" i="2"/>
  <c r="GK32" i="2"/>
  <c r="GL32" i="2"/>
  <c r="GM32" i="2"/>
  <c r="GN32" i="2"/>
  <c r="GO32" i="2"/>
  <c r="GP32" i="2"/>
  <c r="GQ32" i="2"/>
  <c r="GR32" i="2"/>
  <c r="GS32" i="2"/>
  <c r="GT32" i="2"/>
  <c r="GU32" i="2"/>
  <c r="GV32" i="2"/>
  <c r="GW32" i="2"/>
  <c r="GX32" i="2"/>
  <c r="GY32" i="2"/>
  <c r="GZ32" i="2"/>
  <c r="HA32" i="2"/>
  <c r="HB32" i="2"/>
  <c r="HC32" i="2"/>
  <c r="HD32" i="2"/>
  <c r="HE32" i="2"/>
  <c r="HF32" i="2"/>
  <c r="HG32" i="2"/>
  <c r="HH32" i="2"/>
  <c r="HI32" i="2"/>
  <c r="HJ32" i="2"/>
  <c r="HK32" i="2"/>
  <c r="HL32" i="2"/>
  <c r="HM32" i="2"/>
  <c r="HN32" i="2"/>
  <c r="HO32" i="2"/>
  <c r="HP32" i="2"/>
  <c r="HQ32" i="2"/>
  <c r="HR32" i="2"/>
  <c r="HS32" i="2"/>
  <c r="HT32" i="2"/>
  <c r="HU32" i="2"/>
  <c r="HV32" i="2"/>
  <c r="HW32" i="2"/>
  <c r="HX32" i="2"/>
  <c r="HY32" i="2"/>
  <c r="HZ32" i="2"/>
  <c r="IA32" i="2"/>
  <c r="IB32" i="2"/>
  <c r="IC32" i="2"/>
  <c r="ID32" i="2"/>
  <c r="IE32" i="2"/>
  <c r="IF32" i="2"/>
  <c r="IG32" i="2"/>
  <c r="IH32" i="2"/>
  <c r="II32" i="2"/>
  <c r="IJ32" i="2"/>
  <c r="IK32" i="2"/>
  <c r="IL32" i="2"/>
  <c r="IM32" i="2"/>
  <c r="IN32" i="2"/>
  <c r="IO32" i="2"/>
  <c r="IP32" i="2"/>
  <c r="IQ32" i="2"/>
  <c r="IR32" i="2"/>
  <c r="IS32" i="2"/>
  <c r="IT32" i="2"/>
  <c r="IU32" i="2"/>
  <c r="IV32" i="2"/>
  <c r="IW32" i="2"/>
  <c r="IX32" i="2"/>
  <c r="IY32" i="2"/>
  <c r="IZ32" i="2"/>
  <c r="JA32" i="2"/>
  <c r="JB32" i="2"/>
  <c r="JC32" i="2"/>
  <c r="JD32" i="2"/>
  <c r="JE32" i="2"/>
  <c r="JF32" i="2"/>
  <c r="JG32" i="2"/>
  <c r="JH32" i="2"/>
  <c r="JI32" i="2"/>
  <c r="JJ32" i="2"/>
  <c r="JK32" i="2"/>
  <c r="JL32" i="2"/>
  <c r="JM32" i="2"/>
  <c r="JN32" i="2"/>
  <c r="JO32" i="2"/>
  <c r="JP32" i="2"/>
  <c r="JQ32" i="2"/>
  <c r="JR32" i="2"/>
  <c r="JS32" i="2"/>
  <c r="JT32" i="2"/>
  <c r="JU32" i="2"/>
  <c r="JV32" i="2"/>
  <c r="JW32" i="2"/>
  <c r="JX32" i="2"/>
  <c r="JY32" i="2"/>
  <c r="JZ32" i="2"/>
  <c r="KA32" i="2"/>
  <c r="KB32" i="2"/>
  <c r="KC32" i="2"/>
  <c r="KD32" i="2"/>
  <c r="KE32" i="2"/>
  <c r="KF32" i="2"/>
  <c r="KG32" i="2"/>
  <c r="KH32" i="2"/>
  <c r="KI32" i="2"/>
  <c r="KJ32" i="2"/>
  <c r="KK32" i="2"/>
  <c r="KL32" i="2"/>
  <c r="KM32" i="2"/>
  <c r="KN32" i="2"/>
  <c r="KO32" i="2"/>
  <c r="KP32" i="2"/>
  <c r="KQ32" i="2"/>
  <c r="KR32" i="2"/>
  <c r="KS32" i="2"/>
  <c r="KT32" i="2"/>
  <c r="KU32" i="2"/>
  <c r="KV32" i="2"/>
  <c r="KW32" i="2"/>
  <c r="KX32" i="2"/>
  <c r="KY32" i="2"/>
  <c r="KZ32" i="2"/>
  <c r="LA32" i="2"/>
  <c r="LB32" i="2"/>
  <c r="LC32" i="2"/>
  <c r="LD32" i="2"/>
  <c r="LE32" i="2"/>
  <c r="LF32" i="2"/>
  <c r="LG32" i="2"/>
  <c r="LH32" i="2"/>
  <c r="LI32" i="2"/>
  <c r="LJ32" i="2"/>
  <c r="LK32" i="2"/>
  <c r="LL32" i="2"/>
  <c r="LM32" i="2"/>
  <c r="LN32" i="2"/>
  <c r="LO32" i="2"/>
  <c r="LP32" i="2"/>
  <c r="LQ32" i="2"/>
  <c r="LR32" i="2"/>
  <c r="LS32" i="2"/>
  <c r="LT32" i="2"/>
  <c r="LU32" i="2"/>
  <c r="LV32" i="2"/>
  <c r="LW32" i="2"/>
  <c r="LX32" i="2"/>
  <c r="LY32" i="2"/>
  <c r="LZ32" i="2"/>
  <c r="MA32" i="2"/>
  <c r="MB32" i="2"/>
  <c r="MC32" i="2"/>
  <c r="MD32" i="2"/>
  <c r="ME32" i="2"/>
  <c r="MF32" i="2"/>
  <c r="MG32" i="2"/>
  <c r="MH32" i="2"/>
  <c r="MI32" i="2"/>
  <c r="MJ32" i="2"/>
  <c r="MK32" i="2"/>
  <c r="ML32" i="2"/>
  <c r="MM32" i="2"/>
  <c r="MN32" i="2"/>
  <c r="MO32" i="2"/>
  <c r="MP32" i="2"/>
  <c r="MQ32" i="2"/>
  <c r="MR32" i="2"/>
  <c r="MS32" i="2"/>
  <c r="MT32" i="2"/>
  <c r="MU32" i="2"/>
  <c r="MV32" i="2"/>
  <c r="MW32" i="2"/>
  <c r="MX32" i="2"/>
  <c r="MY32" i="2"/>
  <c r="MZ32" i="2"/>
  <c r="NA32" i="2"/>
  <c r="NB32" i="2"/>
  <c r="NC32" i="2"/>
  <c r="ND32" i="2"/>
  <c r="NE32" i="2"/>
  <c r="NF32" i="2"/>
  <c r="NG32" i="2"/>
  <c r="NH32" i="2"/>
  <c r="NI32" i="2"/>
  <c r="NJ32" i="2"/>
  <c r="NK32" i="2"/>
  <c r="NL32" i="2"/>
  <c r="NM32" i="2"/>
  <c r="NN32" i="2"/>
  <c r="NO32" i="2"/>
  <c r="NP32" i="2"/>
  <c r="NQ32" i="2"/>
  <c r="NR32" i="2"/>
  <c r="NS32" i="2"/>
  <c r="NT32" i="2"/>
  <c r="NU32" i="2"/>
  <c r="NV32" i="2"/>
  <c r="NW32" i="2"/>
  <c r="NX32" i="2"/>
  <c r="NY32" i="2"/>
  <c r="NZ32" i="2"/>
  <c r="OA32" i="2"/>
  <c r="OB32" i="2"/>
  <c r="OC32" i="2"/>
  <c r="OD32" i="2"/>
  <c r="OE32" i="2"/>
  <c r="OF32" i="2"/>
  <c r="OG32" i="2"/>
  <c r="OH32" i="2"/>
  <c r="OI32" i="2"/>
  <c r="OJ32" i="2"/>
  <c r="OK32" i="2"/>
  <c r="OL32" i="2"/>
  <c r="OM32" i="2"/>
  <c r="ON32" i="2"/>
  <c r="OO32" i="2"/>
  <c r="OP32" i="2"/>
  <c r="OQ32" i="2"/>
  <c r="OR32" i="2"/>
  <c r="OS32" i="2"/>
  <c r="OT32" i="2"/>
  <c r="OU32" i="2"/>
  <c r="OV32" i="2"/>
  <c r="OW32" i="2"/>
  <c r="OX32" i="2"/>
  <c r="OY32" i="2"/>
  <c r="OZ32" i="2"/>
  <c r="PA32" i="2"/>
  <c r="PB32" i="2"/>
  <c r="PC32" i="2"/>
  <c r="PD32" i="2"/>
  <c r="PE32" i="2"/>
  <c r="PF32" i="2"/>
  <c r="PG32" i="2"/>
  <c r="PH32" i="2"/>
  <c r="PI32" i="2"/>
  <c r="PJ32" i="2"/>
  <c r="PK32" i="2"/>
  <c r="PL32" i="2"/>
  <c r="PM32" i="2"/>
  <c r="PN32" i="2"/>
  <c r="PO32" i="2"/>
  <c r="PP32" i="2"/>
  <c r="PQ32" i="2"/>
  <c r="PR32" i="2"/>
  <c r="PS32" i="2"/>
  <c r="PT32" i="2"/>
  <c r="PU32" i="2"/>
  <c r="PV32" i="2"/>
  <c r="PW32" i="2"/>
  <c r="PX32" i="2"/>
  <c r="PY32" i="2"/>
  <c r="PZ32" i="2"/>
  <c r="QA32" i="2"/>
  <c r="QB32" i="2"/>
  <c r="QC32" i="2"/>
  <c r="QD32" i="2"/>
  <c r="QE32" i="2"/>
  <c r="QF32" i="2"/>
  <c r="QG32" i="2"/>
  <c r="QH32" i="2"/>
  <c r="QI32" i="2"/>
  <c r="QJ32" i="2"/>
  <c r="QK32" i="2"/>
  <c r="QL32" i="2"/>
  <c r="QM32" i="2"/>
  <c r="QN32" i="2"/>
  <c r="QO32" i="2"/>
  <c r="QP32" i="2"/>
  <c r="QQ32" i="2"/>
  <c r="QR32" i="2"/>
  <c r="QS32" i="2"/>
  <c r="QT32" i="2"/>
  <c r="QU32" i="2"/>
  <c r="QV32" i="2"/>
  <c r="QW32" i="2"/>
  <c r="QX32" i="2"/>
  <c r="QY32" i="2"/>
  <c r="QZ32" i="2"/>
  <c r="RA32" i="2"/>
  <c r="RB32" i="2"/>
  <c r="RC32" i="2"/>
  <c r="RD32" i="2"/>
  <c r="RE32" i="2"/>
  <c r="RF32" i="2"/>
  <c r="RG32" i="2"/>
  <c r="RH32" i="2"/>
  <c r="RI32" i="2"/>
  <c r="RJ32" i="2"/>
  <c r="RK32" i="2"/>
  <c r="RL32" i="2"/>
  <c r="RM32" i="2"/>
  <c r="RN32" i="2"/>
  <c r="RO32" i="2"/>
  <c r="RP32" i="2"/>
  <c r="RQ32" i="2"/>
  <c r="RR32" i="2"/>
  <c r="RS32" i="2"/>
  <c r="RT32" i="2"/>
  <c r="RU32" i="2"/>
  <c r="RV32" i="2"/>
  <c r="RW32" i="2"/>
  <c r="RX32" i="2"/>
  <c r="RY32" i="2"/>
  <c r="RZ32" i="2"/>
  <c r="SA32" i="2"/>
  <c r="SB32" i="2"/>
  <c r="SC32" i="2"/>
  <c r="SD32" i="2"/>
  <c r="SE32" i="2"/>
  <c r="SF32" i="2"/>
  <c r="SG32" i="2"/>
  <c r="SH32" i="2"/>
  <c r="SI32" i="2"/>
  <c r="SJ32" i="2"/>
  <c r="SK32" i="2"/>
  <c r="SL32" i="2"/>
  <c r="SM32" i="2"/>
  <c r="SN32" i="2"/>
  <c r="SO32" i="2"/>
  <c r="SP32" i="2"/>
  <c r="SQ32" i="2"/>
  <c r="SR32" i="2"/>
  <c r="SS32" i="2"/>
  <c r="ST32" i="2"/>
  <c r="SU32" i="2"/>
  <c r="SV32" i="2"/>
  <c r="SW32" i="2"/>
  <c r="SX32" i="2"/>
  <c r="SY32" i="2"/>
  <c r="SZ32" i="2"/>
  <c r="TA32" i="2"/>
  <c r="TB32" i="2"/>
  <c r="TC32" i="2"/>
  <c r="TD32" i="2"/>
  <c r="TE32" i="2"/>
  <c r="TF32" i="2"/>
  <c r="TG32" i="2"/>
  <c r="TH32" i="2"/>
  <c r="TI32" i="2"/>
  <c r="TJ32" i="2"/>
  <c r="TK32" i="2"/>
  <c r="TL32" i="2"/>
  <c r="TM32" i="2"/>
  <c r="TN32" i="2"/>
  <c r="TO32" i="2"/>
  <c r="TP32" i="2"/>
  <c r="TQ32" i="2"/>
  <c r="TR32" i="2"/>
  <c r="TS32" i="2"/>
  <c r="TT32" i="2"/>
  <c r="TU32" i="2"/>
  <c r="TV32" i="2"/>
  <c r="TW32" i="2"/>
  <c r="TX32" i="2"/>
  <c r="TY32" i="2"/>
  <c r="TZ32" i="2"/>
  <c r="UA32" i="2"/>
  <c r="UB32" i="2"/>
  <c r="UC32" i="2"/>
  <c r="UD32" i="2"/>
  <c r="UE32" i="2"/>
  <c r="UF32" i="2"/>
  <c r="UG32" i="2"/>
  <c r="UH32" i="2"/>
  <c r="UI32" i="2"/>
  <c r="UJ32" i="2"/>
  <c r="UK32" i="2"/>
  <c r="UL32" i="2"/>
  <c r="UM32" i="2"/>
  <c r="UN32" i="2"/>
  <c r="UO32" i="2"/>
  <c r="UP32" i="2"/>
  <c r="UQ32" i="2"/>
  <c r="UR32" i="2"/>
  <c r="US32" i="2"/>
  <c r="UT32" i="2"/>
  <c r="UU32" i="2"/>
  <c r="UV32" i="2"/>
  <c r="UW32" i="2"/>
  <c r="UX32" i="2"/>
  <c r="UY32" i="2"/>
  <c r="UZ32" i="2"/>
  <c r="VA32" i="2"/>
  <c r="VB32" i="2"/>
  <c r="VC32" i="2"/>
  <c r="VD32" i="2"/>
  <c r="VE32" i="2"/>
  <c r="VF32" i="2"/>
  <c r="VG32" i="2"/>
  <c r="VH32" i="2"/>
  <c r="VI32" i="2"/>
  <c r="VJ32" i="2"/>
  <c r="VK32" i="2"/>
  <c r="VL32" i="2"/>
  <c r="VM32" i="2"/>
  <c r="VN32" i="2"/>
  <c r="VO32" i="2"/>
  <c r="VP32" i="2"/>
  <c r="VQ32" i="2"/>
  <c r="VR32" i="2"/>
  <c r="VS32" i="2"/>
  <c r="VT32" i="2"/>
  <c r="VU32" i="2"/>
  <c r="VV32" i="2"/>
  <c r="VW32" i="2"/>
  <c r="VX32" i="2"/>
  <c r="VY32" i="2"/>
  <c r="VZ32" i="2"/>
  <c r="WA32" i="2"/>
  <c r="WB32" i="2"/>
  <c r="WC32" i="2"/>
  <c r="WD32" i="2"/>
  <c r="WE32" i="2"/>
  <c r="WF32" i="2"/>
  <c r="WG32" i="2"/>
  <c r="WH32" i="2"/>
  <c r="WI32" i="2"/>
  <c r="WJ32" i="2"/>
  <c r="WK32" i="2"/>
  <c r="WL32" i="2"/>
  <c r="WM32" i="2"/>
  <c r="WN32" i="2"/>
  <c r="WO32" i="2"/>
  <c r="WP32" i="2"/>
  <c r="WQ32" i="2"/>
  <c r="WR32" i="2"/>
  <c r="WS32" i="2"/>
  <c r="WT32" i="2"/>
  <c r="WU32" i="2"/>
  <c r="WV32" i="2"/>
  <c r="WW32" i="2"/>
  <c r="WX32" i="2"/>
  <c r="WY32" i="2"/>
  <c r="WZ32" i="2"/>
  <c r="XA32" i="2"/>
  <c r="XB32" i="2"/>
  <c r="XC32" i="2"/>
  <c r="XD32" i="2"/>
  <c r="XE32" i="2"/>
  <c r="XF32" i="2"/>
  <c r="XG32" i="2"/>
  <c r="XH32" i="2"/>
  <c r="XI32" i="2"/>
  <c r="XJ32" i="2"/>
  <c r="XK32" i="2"/>
  <c r="XL32" i="2"/>
  <c r="XM32" i="2"/>
  <c r="XN32" i="2"/>
  <c r="XO32" i="2"/>
  <c r="XP32" i="2"/>
  <c r="XQ32" i="2"/>
  <c r="XR32" i="2"/>
  <c r="XS32" i="2"/>
  <c r="XT32" i="2"/>
  <c r="XU32" i="2"/>
  <c r="XV32" i="2"/>
  <c r="XW32" i="2"/>
  <c r="XX32" i="2"/>
  <c r="XY32" i="2"/>
  <c r="XZ32" i="2"/>
  <c r="YA32" i="2"/>
  <c r="YB32" i="2"/>
  <c r="YC32" i="2"/>
  <c r="YD32" i="2"/>
  <c r="YE32" i="2"/>
  <c r="YF32" i="2"/>
  <c r="YG32" i="2"/>
  <c r="YH32" i="2"/>
  <c r="YI32" i="2"/>
  <c r="YJ32" i="2"/>
  <c r="YK32" i="2"/>
  <c r="YL32" i="2"/>
  <c r="YM32" i="2"/>
  <c r="YN32" i="2"/>
  <c r="YO32" i="2"/>
  <c r="YP32" i="2"/>
  <c r="YQ32" i="2"/>
  <c r="YR32" i="2"/>
  <c r="YS32" i="2"/>
  <c r="YT32" i="2"/>
  <c r="YU32" i="2"/>
  <c r="YV32" i="2"/>
  <c r="YW32" i="2"/>
  <c r="YX32" i="2"/>
  <c r="YY32" i="2"/>
  <c r="YZ32" i="2"/>
  <c r="ZA32" i="2"/>
  <c r="ZB32" i="2"/>
  <c r="ZC32" i="2"/>
  <c r="ZD32" i="2"/>
  <c r="ZE32" i="2"/>
  <c r="ZF32" i="2"/>
  <c r="ZG32" i="2"/>
  <c r="ZH32" i="2"/>
  <c r="ZI32" i="2"/>
  <c r="ZJ32" i="2"/>
  <c r="ZK32" i="2"/>
  <c r="ZL32" i="2"/>
  <c r="ZM32" i="2"/>
  <c r="ZN32" i="2"/>
  <c r="ZO32" i="2"/>
  <c r="ZP32" i="2"/>
  <c r="D32" i="2"/>
  <c r="D31" i="2"/>
  <c r="AKQ38" i="2"/>
  <c r="AKR38" i="2"/>
  <c r="AKP38" i="2"/>
  <c r="AKW102" i="2" l="1"/>
  <c r="AKW101" i="2" s="1"/>
  <c r="AKW97" i="2"/>
  <c r="AKW93" i="2"/>
  <c r="AKW92" i="2"/>
  <c r="AKW91" i="2" s="1"/>
  <c r="AKW84" i="2"/>
  <c r="AKW83" i="2" s="1"/>
  <c r="AKW81" i="2"/>
  <c r="AKW80" i="2" s="1"/>
  <c r="AKW78" i="2"/>
  <c r="AKW77" i="2" s="1"/>
  <c r="AKW35" i="2"/>
  <c r="AKV102" i="2"/>
  <c r="AKV101" i="2" s="1"/>
  <c r="AKV97" i="2"/>
  <c r="AKV93" i="2"/>
  <c r="AKV92" i="2"/>
  <c r="AKV91" i="2" s="1"/>
  <c r="AKV84" i="2"/>
  <c r="AKV83" i="2" s="1"/>
  <c r="AKV81" i="2"/>
  <c r="AKV80" i="2" s="1"/>
  <c r="AKV78" i="2"/>
  <c r="AKV35" i="2"/>
  <c r="AKU93" i="2"/>
  <c r="AKU35" i="2"/>
  <c r="AKU97" i="2"/>
  <c r="AKU96" i="2" s="1"/>
  <c r="AKU81" i="2"/>
  <c r="AKU80" i="2" s="1"/>
  <c r="AKU102" i="2"/>
  <c r="AKU101" i="2" s="1"/>
  <c r="AKU92" i="2"/>
  <c r="AKU91" i="2" s="1"/>
  <c r="AKU84" i="2"/>
  <c r="AKU83" i="2" s="1"/>
  <c r="AKU78" i="2"/>
  <c r="AKU77" i="2" s="1"/>
  <c r="AKV105" i="2" l="1"/>
  <c r="AKV189" i="2" s="1"/>
  <c r="AKV96" i="2"/>
  <c r="AKV104" i="2" s="1"/>
  <c r="AKV90" i="2"/>
  <c r="AKV188" i="2" s="1"/>
  <c r="AKU104" i="2"/>
  <c r="AKV77" i="2"/>
  <c r="AKV89" i="2" s="1"/>
  <c r="AKW105" i="2"/>
  <c r="AKW189" i="2" s="1"/>
  <c r="AKW89" i="2"/>
  <c r="AKW90" i="2"/>
  <c r="AKW188" i="2" s="1"/>
  <c r="AKW96" i="2"/>
  <c r="AKW104" i="2" s="1"/>
  <c r="AKU89" i="2"/>
  <c r="AKU105" i="2"/>
  <c r="AKU189" i="2" s="1"/>
  <c r="AKU90" i="2"/>
  <c r="AKV190" i="2" l="1"/>
  <c r="AKV191" i="2" s="1"/>
  <c r="AKV106" i="2"/>
  <c r="AKW106" i="2"/>
  <c r="AKW190" i="2"/>
  <c r="AKW191" i="2" s="1"/>
  <c r="AKU188" i="2"/>
  <c r="AKU190" i="2" s="1"/>
  <c r="AKU191" i="2" s="1"/>
  <c r="AKU106" i="2"/>
  <c r="AKT48" i="2"/>
  <c r="AKT188" i="2" s="1"/>
  <c r="AKT112" i="2" l="1"/>
  <c r="AKT190" i="2" s="1"/>
  <c r="AKT191" i="2" s="1"/>
  <c r="AKT47" i="2"/>
  <c r="AKS48" i="2"/>
  <c r="AKS188" i="2" s="1"/>
  <c r="AKS112" i="2" l="1"/>
  <c r="AKS190" i="2" s="1"/>
  <c r="AKS191" i="2" s="1"/>
  <c r="AKS47" i="2"/>
  <c r="AKR96" i="2" l="1"/>
  <c r="AKR91" i="2"/>
  <c r="AKR80" i="2"/>
  <c r="AKR77" i="2"/>
  <c r="AKR63" i="2"/>
  <c r="AKR189" i="2" l="1"/>
  <c r="AKR188" i="2"/>
  <c r="AKQ80" i="2"/>
  <c r="AKQ96" i="2"/>
  <c r="AKQ91" i="2"/>
  <c r="AKQ77" i="2"/>
  <c r="AKQ63" i="2"/>
  <c r="AKR190" i="2" l="1"/>
  <c r="AKR191" i="2" s="1"/>
  <c r="AKQ188" i="2"/>
  <c r="AKQ189" i="2"/>
  <c r="AKP96" i="2"/>
  <c r="AKP91" i="2"/>
  <c r="AKP80" i="2"/>
  <c r="AKP77" i="2"/>
  <c r="AKP63" i="2"/>
  <c r="AKO63" i="2"/>
  <c r="AKP188" i="2" l="1"/>
  <c r="AKQ190" i="2"/>
  <c r="AKQ191" i="2" s="1"/>
  <c r="AKP189" i="2"/>
  <c r="AKO96" i="2"/>
  <c r="AKO91" i="2"/>
  <c r="AKN91" i="2"/>
  <c r="AKO80" i="2"/>
  <c r="AKO77" i="2"/>
  <c r="AKO52" i="2"/>
  <c r="AKO38" i="2"/>
  <c r="AKP190" i="2" l="1"/>
  <c r="AKP191" i="2" s="1"/>
  <c r="AKO188" i="2"/>
  <c r="AKO189" i="2"/>
  <c r="AKN96" i="2"/>
  <c r="AKN189" i="2" s="1"/>
  <c r="AKN52" i="2"/>
  <c r="AKN63" i="2"/>
  <c r="AKN80" i="2"/>
  <c r="AKN77" i="2"/>
  <c r="AKH85" i="2"/>
  <c r="AKI85" i="2"/>
  <c r="AKO190" i="2" l="1"/>
  <c r="AKO191" i="2" s="1"/>
  <c r="AKN188" i="2"/>
  <c r="AKN190" i="2" s="1"/>
  <c r="AKN191" i="2" s="1"/>
  <c r="AKM35" i="2" l="1"/>
  <c r="AKM189" i="2" s="1"/>
  <c r="AKM188" i="2" l="1"/>
  <c r="AKM112" i="2" s="1"/>
  <c r="AKM190" i="2" s="1"/>
  <c r="AKM191" i="2" s="1"/>
  <c r="AKL35" i="2" l="1"/>
  <c r="AKL189" i="2" s="1"/>
  <c r="AKK35" i="2"/>
  <c r="AKK189" i="2" s="1"/>
  <c r="AKJ35" i="2"/>
  <c r="AKJ189" i="2" s="1"/>
  <c r="AKI35" i="2"/>
  <c r="AKH35" i="2"/>
  <c r="AKI100" i="2"/>
  <c r="AKH100" i="2"/>
  <c r="AKI98" i="2"/>
  <c r="AKH98" i="2"/>
  <c r="AKI57" i="2"/>
  <c r="AKI87" i="2"/>
  <c r="AKH87" i="2"/>
  <c r="AGH189" i="2"/>
  <c r="AGH188" i="2"/>
  <c r="AKK188" i="2" l="1"/>
  <c r="AKK112" i="2" s="1"/>
  <c r="AKK190" i="2" s="1"/>
  <c r="AKK191" i="2" s="1"/>
  <c r="AKJ188" i="2"/>
  <c r="AKL188" i="2"/>
  <c r="AKL112" i="2" s="1"/>
  <c r="AGH190" i="2"/>
  <c r="AGH191" i="2" s="1"/>
  <c r="AKH104" i="2"/>
  <c r="AKI104" i="2"/>
  <c r="AKI89" i="2"/>
  <c r="AKH89" i="2"/>
  <c r="AKI190" i="2" l="1"/>
  <c r="AKI191" i="2" s="1"/>
  <c r="AKH190" i="2"/>
  <c r="AKH191" i="2" s="1"/>
  <c r="AKJ112" i="2"/>
  <c r="AKJ190" i="2" s="1"/>
  <c r="AKJ191" i="2" s="1"/>
  <c r="AKL190" i="2"/>
  <c r="AKL191" i="2" s="1"/>
  <c r="AKB144" i="2"/>
  <c r="AKC144" i="2"/>
  <c r="AKD144" i="2"/>
  <c r="AKE144" i="2"/>
  <c r="AKF144" i="2"/>
  <c r="AKA144" i="2"/>
  <c r="AKG109" i="2"/>
  <c r="AKB107" i="2"/>
  <c r="AKC107" i="2"/>
  <c r="AKD107" i="2"/>
  <c r="AKE107" i="2"/>
  <c r="AKF107" i="2"/>
  <c r="AKG107" i="2"/>
  <c r="AKA107" i="2"/>
  <c r="AKB63" i="2"/>
  <c r="AKC63" i="2"/>
  <c r="AKD63" i="2"/>
  <c r="AKE63" i="2"/>
  <c r="AKF63" i="2"/>
  <c r="AKG63" i="2"/>
  <c r="AKG142" i="2" s="1"/>
  <c r="AKB140" i="2"/>
  <c r="AKC140" i="2"/>
  <c r="AKD140" i="2"/>
  <c r="AKE140" i="2"/>
  <c r="AKF140" i="2"/>
  <c r="AKG140" i="2"/>
  <c r="AKB141" i="2"/>
  <c r="AKC141" i="2"/>
  <c r="AKD141" i="2"/>
  <c r="AKE141" i="2"/>
  <c r="AKF141" i="2"/>
  <c r="AKG141" i="2"/>
  <c r="AKA140" i="2"/>
  <c r="AKA141" i="2"/>
  <c r="AKA63" i="2"/>
  <c r="AJZ107" i="2"/>
  <c r="AJZ108" i="2"/>
  <c r="AJZ109" i="2" s="1"/>
  <c r="AJZ140" i="2"/>
  <c r="AJZ141" i="2"/>
  <c r="AJZ144" i="2"/>
  <c r="AJZ63" i="2"/>
  <c r="AJZ188" i="2" l="1"/>
  <c r="AKG188" i="2"/>
  <c r="AKG190" i="2" s="1"/>
  <c r="AKG191" i="2" s="1"/>
  <c r="AKA108" i="2"/>
  <c r="AKA109" i="2" s="1"/>
  <c r="AKA188" i="2" s="1"/>
  <c r="AKA190" i="2" s="1"/>
  <c r="AKA191" i="2" s="1"/>
  <c r="AKF108" i="2"/>
  <c r="AKF109" i="2" s="1"/>
  <c r="AKF188" i="2" s="1"/>
  <c r="AKF190" i="2" s="1"/>
  <c r="AKF191" i="2" s="1"/>
  <c r="AKE108" i="2"/>
  <c r="AKE109" i="2" s="1"/>
  <c r="AKE188" i="2" s="1"/>
  <c r="AKE190" i="2" s="1"/>
  <c r="AKE191" i="2" s="1"/>
  <c r="AKD108" i="2"/>
  <c r="AKD109" i="2" s="1"/>
  <c r="AKD188" i="2" s="1"/>
  <c r="AKD190" i="2" s="1"/>
  <c r="AKD191" i="2" s="1"/>
  <c r="AKC108" i="2"/>
  <c r="AKC109" i="2" s="1"/>
  <c r="AKC188" i="2" s="1"/>
  <c r="AKC190" i="2" s="1"/>
  <c r="AKC191" i="2" s="1"/>
  <c r="AKB108" i="2"/>
  <c r="AKB109" i="2" s="1"/>
  <c r="AKB188" i="2" s="1"/>
  <c r="AKB190" i="2" s="1"/>
  <c r="AKB191" i="2" s="1"/>
  <c r="AJZ113" i="2"/>
  <c r="AJZ189" i="2" s="1"/>
  <c r="AJZ142" i="2"/>
  <c r="AJZ190" i="2" l="1"/>
  <c r="AJZ191" i="2" s="1"/>
  <c r="AJY107" i="2"/>
  <c r="AJY108" i="2"/>
  <c r="AJY109" i="2" s="1"/>
  <c r="AJY63" i="2"/>
  <c r="AJY142" i="2" s="1"/>
  <c r="AJY140" i="2"/>
  <c r="AJY141" i="2"/>
  <c r="AJY144" i="2"/>
  <c r="AJY188" i="2" l="1"/>
  <c r="AJY113" i="2"/>
  <c r="AJY189" i="2" s="1"/>
  <c r="AJX108" i="2"/>
  <c r="AJX109" i="2" s="1"/>
  <c r="AJX107" i="2"/>
  <c r="AJX63" i="2"/>
  <c r="AJX142" i="2" s="1"/>
  <c r="AJX140" i="2"/>
  <c r="AJX141" i="2"/>
  <c r="AJX144" i="2"/>
  <c r="AJY190" i="2" l="1"/>
  <c r="AJY191" i="2" s="1"/>
  <c r="AJX188" i="2"/>
  <c r="AJX113" i="2"/>
  <c r="AJX189" i="2" s="1"/>
  <c r="AJX190" i="2" l="1"/>
  <c r="AJX191" i="2" s="1"/>
  <c r="AJW108" i="2"/>
  <c r="AJW109" i="2" s="1"/>
  <c r="AJW107" i="2"/>
  <c r="AJW63" i="2"/>
  <c r="AJW142" i="2" s="1"/>
  <c r="AJW140" i="2"/>
  <c r="AJW141" i="2"/>
  <c r="AJW144" i="2"/>
  <c r="AJW188" i="2" l="1"/>
  <c r="AJW113" i="2"/>
  <c r="AJW189" i="2" s="1"/>
  <c r="AJR108" i="2"/>
  <c r="AJR109" i="2" s="1"/>
  <c r="AJS108" i="2"/>
  <c r="AJS109" i="2" s="1"/>
  <c r="AJT108" i="2"/>
  <c r="AJT109" i="2" s="1"/>
  <c r="AJU108" i="2"/>
  <c r="AJU109" i="2" s="1"/>
  <c r="AJV108" i="2"/>
  <c r="AJV109" i="2" s="1"/>
  <c r="AJV63" i="2"/>
  <c r="AJV144" i="2"/>
  <c r="AJV141" i="2"/>
  <c r="AJV140" i="2"/>
  <c r="AJV107" i="2"/>
  <c r="AJW190" i="2" l="1"/>
  <c r="AJW191" i="2" s="1"/>
  <c r="AJV188" i="2"/>
  <c r="AJV113" i="2"/>
  <c r="AJV142" i="2"/>
  <c r="AJV189" i="2" l="1"/>
  <c r="AJV190" i="2" s="1"/>
  <c r="AJV191" i="2" s="1"/>
  <c r="AJU140" i="2" l="1"/>
  <c r="AJU141" i="2"/>
  <c r="AJU144" i="2"/>
  <c r="AJU63" i="2"/>
  <c r="AJU107" i="2"/>
  <c r="AJU188" i="2" s="1"/>
  <c r="AJU113" i="2" l="1"/>
  <c r="AJU189" i="2" s="1"/>
  <c r="AJU190" i="2" s="1"/>
  <c r="AJU191" i="2" s="1"/>
  <c r="AJU142" i="2"/>
  <c r="AJT144" i="2" l="1"/>
  <c r="AJT140" i="2"/>
  <c r="AJT141" i="2"/>
  <c r="AJT63" i="2"/>
  <c r="AJT107" i="2"/>
  <c r="AJT188" i="2" s="1"/>
  <c r="AJS141" i="2"/>
  <c r="AJS140" i="2"/>
  <c r="AJR107" i="2"/>
  <c r="AJR188" i="2" s="1"/>
  <c r="AJS63" i="2"/>
  <c r="AJR63" i="2"/>
  <c r="AJS144" i="2"/>
  <c r="AJR144" i="2"/>
  <c r="AJS107" i="2"/>
  <c r="AJS188" i="2" s="1"/>
  <c r="AJS142" i="2" l="1"/>
  <c r="AJS113" i="2"/>
  <c r="AJS189" i="2" s="1"/>
  <c r="AJS190" i="2" s="1"/>
  <c r="AJS191" i="2" s="1"/>
  <c r="AJR142" i="2"/>
  <c r="AJT113" i="2"/>
  <c r="AJT189" i="2" s="1"/>
  <c r="AJT190" i="2" s="1"/>
  <c r="AJT191" i="2" s="1"/>
  <c r="AJR140" i="2"/>
  <c r="AJR141" i="2"/>
  <c r="AJT142" i="2"/>
  <c r="ACY189" i="2"/>
  <c r="ACX189" i="2"/>
  <c r="ACW189" i="2"/>
  <c r="ACV189" i="2"/>
  <c r="ACU189" i="2"/>
  <c r="ACT189" i="2"/>
  <c r="ACS189" i="2"/>
  <c r="ACR189" i="2"/>
  <c r="ACQ189" i="2"/>
  <c r="ACP189" i="2"/>
  <c r="ACO189" i="2"/>
  <c r="ACN189" i="2"/>
  <c r="ACM189" i="2"/>
  <c r="ACL189" i="2"/>
  <c r="ACK189" i="2"/>
  <c r="ACJ189" i="2"/>
  <c r="ACI189" i="2"/>
  <c r="ACH189" i="2"/>
  <c r="ACG189" i="2"/>
  <c r="ACF189" i="2"/>
  <c r="ACE189" i="2"/>
  <c r="ACD189" i="2"/>
  <c r="ACC189" i="2"/>
  <c r="ACB189" i="2"/>
  <c r="ACA189" i="2"/>
  <c r="ABZ189" i="2"/>
  <c r="ABY189" i="2"/>
  <c r="ABX189" i="2"/>
  <c r="ABW189" i="2"/>
  <c r="ABV189" i="2"/>
  <c r="ABU189" i="2"/>
  <c r="ABT189" i="2"/>
  <c r="ABS189" i="2"/>
  <c r="ABR189" i="2"/>
  <c r="ABQ189" i="2"/>
  <c r="ABP189" i="2"/>
  <c r="ABO189" i="2"/>
  <c r="ABN189" i="2"/>
  <c r="ABM189" i="2"/>
  <c r="ABL189" i="2"/>
  <c r="ABK189" i="2"/>
  <c r="ABJ189" i="2"/>
  <c r="ABI189" i="2"/>
  <c r="ABH189" i="2"/>
  <c r="ABG189" i="2"/>
  <c r="ABF189" i="2"/>
  <c r="ABE189" i="2"/>
  <c r="ABD189" i="2"/>
  <c r="ABC189" i="2"/>
  <c r="ABB189" i="2"/>
  <c r="ABA189" i="2"/>
  <c r="AAZ189" i="2"/>
  <c r="AAY189" i="2"/>
  <c r="AAX189" i="2"/>
  <c r="AAW189" i="2"/>
  <c r="AAV189" i="2"/>
  <c r="AAU189" i="2"/>
  <c r="AAT189" i="2"/>
  <c r="AAS189" i="2"/>
  <c r="AAR189" i="2"/>
  <c r="AAQ189" i="2"/>
  <c r="AAP189" i="2"/>
  <c r="AAO189" i="2"/>
  <c r="AAN189" i="2"/>
  <c r="AAM189" i="2"/>
  <c r="AAL189" i="2"/>
  <c r="AAK189" i="2"/>
  <c r="AAJ189" i="2"/>
  <c r="AAI189" i="2"/>
  <c r="AAH189" i="2"/>
  <c r="AAG189" i="2"/>
  <c r="AAF189" i="2"/>
  <c r="AAE189" i="2"/>
  <c r="AAD189" i="2"/>
  <c r="AAC189" i="2"/>
  <c r="AAB189" i="2"/>
  <c r="AAA189" i="2"/>
  <c r="ZZ189" i="2"/>
  <c r="ZY189" i="2"/>
  <c r="ZX189" i="2"/>
  <c r="ZW189" i="2"/>
  <c r="ZV189" i="2"/>
  <c r="ZU189" i="2"/>
  <c r="ZT189" i="2"/>
  <c r="ZS189" i="2"/>
  <c r="ZR189" i="2"/>
  <c r="ZQ189" i="2"/>
  <c r="ACY188" i="2"/>
  <c r="ACX188" i="2"/>
  <c r="ACW188" i="2"/>
  <c r="ACV188" i="2"/>
  <c r="ACU188" i="2"/>
  <c r="ACT188" i="2"/>
  <c r="ACS188" i="2"/>
  <c r="ACR188" i="2"/>
  <c r="ACQ188" i="2"/>
  <c r="ACP188" i="2"/>
  <c r="ACO188" i="2"/>
  <c r="ACN188" i="2"/>
  <c r="ACM188" i="2"/>
  <c r="ACL188" i="2"/>
  <c r="ACK188" i="2"/>
  <c r="ACJ188" i="2"/>
  <c r="ACI188" i="2"/>
  <c r="ACH188" i="2"/>
  <c r="ACG188" i="2"/>
  <c r="ACF188" i="2"/>
  <c r="ACE188" i="2"/>
  <c r="ACD188" i="2"/>
  <c r="ACC188" i="2"/>
  <c r="ACB188" i="2"/>
  <c r="ACA188" i="2"/>
  <c r="ABZ188" i="2"/>
  <c r="ABY188" i="2"/>
  <c r="ABX188" i="2"/>
  <c r="ABW188" i="2"/>
  <c r="ABV188" i="2"/>
  <c r="ABU188" i="2"/>
  <c r="ABT188" i="2"/>
  <c r="ABS188" i="2"/>
  <c r="ABR188" i="2"/>
  <c r="ABQ188" i="2"/>
  <c r="ABP188" i="2"/>
  <c r="ABO188" i="2"/>
  <c r="ABN188" i="2"/>
  <c r="ABM188" i="2"/>
  <c r="ABL188" i="2"/>
  <c r="ABK188" i="2"/>
  <c r="ABJ188" i="2"/>
  <c r="ABI188" i="2"/>
  <c r="ABH188" i="2"/>
  <c r="ABG188" i="2"/>
  <c r="ABF188" i="2"/>
  <c r="ABE188" i="2"/>
  <c r="ABD188" i="2"/>
  <c r="ABC188" i="2"/>
  <c r="ABB188" i="2"/>
  <c r="ABA188" i="2"/>
  <c r="AAZ188" i="2"/>
  <c r="AAY188" i="2"/>
  <c r="AAX188" i="2"/>
  <c r="AAW188" i="2"/>
  <c r="AAV188" i="2"/>
  <c r="AAU188" i="2"/>
  <c r="AAT188" i="2"/>
  <c r="AAS188" i="2"/>
  <c r="AAR188" i="2"/>
  <c r="AAQ188" i="2"/>
  <c r="AAP188" i="2"/>
  <c r="AAO188" i="2"/>
  <c r="AAN188" i="2"/>
  <c r="AAM188" i="2"/>
  <c r="AAL188" i="2"/>
  <c r="AAK188" i="2"/>
  <c r="AAJ188" i="2"/>
  <c r="AAI188" i="2"/>
  <c r="AAH188" i="2"/>
  <c r="AAG188" i="2"/>
  <c r="AAF188" i="2"/>
  <c r="AAE188" i="2"/>
  <c r="AAD188" i="2"/>
  <c r="AAC188" i="2"/>
  <c r="AAB188" i="2"/>
  <c r="AAA188" i="2"/>
  <c r="ZZ188" i="2"/>
  <c r="ZY188" i="2"/>
  <c r="ZX188" i="2"/>
  <c r="ZW188" i="2"/>
  <c r="ZV188" i="2"/>
  <c r="ZU188" i="2"/>
  <c r="ZT188" i="2"/>
  <c r="ZS188" i="2"/>
  <c r="ZR188" i="2"/>
  <c r="ZQ188" i="2"/>
  <c r="AGG189" i="2"/>
  <c r="AGF189" i="2"/>
  <c r="AGE189" i="2"/>
  <c r="AGD189" i="2"/>
  <c r="AGC189" i="2"/>
  <c r="AGB189" i="2"/>
  <c r="AGA189" i="2"/>
  <c r="AFZ189" i="2"/>
  <c r="AFY189" i="2"/>
  <c r="AFX189" i="2"/>
  <c r="AFW189" i="2"/>
  <c r="AFV189" i="2"/>
  <c r="AFU189" i="2"/>
  <c r="AFT189" i="2"/>
  <c r="AFS189" i="2"/>
  <c r="AFR189" i="2"/>
  <c r="AFQ189" i="2"/>
  <c r="AFP189" i="2"/>
  <c r="AFO189" i="2"/>
  <c r="AFN189" i="2"/>
  <c r="AFM189" i="2"/>
  <c r="AFL189" i="2"/>
  <c r="AFK189" i="2"/>
  <c r="AFJ189" i="2"/>
  <c r="AFI189" i="2"/>
  <c r="AFH189" i="2"/>
  <c r="AFG189" i="2"/>
  <c r="AFF189" i="2"/>
  <c r="AFE189" i="2"/>
  <c r="AFD189" i="2"/>
  <c r="AFC189" i="2"/>
  <c r="AFB189" i="2"/>
  <c r="AFA189" i="2"/>
  <c r="AEZ189" i="2"/>
  <c r="AEY189" i="2"/>
  <c r="AEX189" i="2"/>
  <c r="AEW189" i="2"/>
  <c r="AEV189" i="2"/>
  <c r="AEU189" i="2"/>
  <c r="AET189" i="2"/>
  <c r="AES189" i="2"/>
  <c r="AER189" i="2"/>
  <c r="AEQ189" i="2"/>
  <c r="AEP189" i="2"/>
  <c r="AEO189" i="2"/>
  <c r="AEN189" i="2"/>
  <c r="AEM189" i="2"/>
  <c r="AEL189" i="2"/>
  <c r="AEK189" i="2"/>
  <c r="AEJ189" i="2"/>
  <c r="AEI189" i="2"/>
  <c r="AEH189" i="2"/>
  <c r="AEG189" i="2"/>
  <c r="AEF189" i="2"/>
  <c r="AEE189" i="2"/>
  <c r="AED189" i="2"/>
  <c r="AEC189" i="2"/>
  <c r="AEB189" i="2"/>
  <c r="AEA189" i="2"/>
  <c r="ADZ189" i="2"/>
  <c r="ADY189" i="2"/>
  <c r="ADX189" i="2"/>
  <c r="ADW189" i="2"/>
  <c r="ADV189" i="2"/>
  <c r="ADU189" i="2"/>
  <c r="ADT189" i="2"/>
  <c r="ADS189" i="2"/>
  <c r="ADR189" i="2"/>
  <c r="ADQ189" i="2"/>
  <c r="ADP189" i="2"/>
  <c r="ADO189" i="2"/>
  <c r="ADN189" i="2"/>
  <c r="ADM189" i="2"/>
  <c r="ADL189" i="2"/>
  <c r="ADK189" i="2"/>
  <c r="ADJ189" i="2"/>
  <c r="ADI189" i="2"/>
  <c r="ADH189" i="2"/>
  <c r="ADG189" i="2"/>
  <c r="ADF189" i="2"/>
  <c r="ADE189" i="2"/>
  <c r="ADD189" i="2"/>
  <c r="ADC189" i="2"/>
  <c r="ADB189" i="2"/>
  <c r="ADA189" i="2"/>
  <c r="ACZ189" i="2"/>
  <c r="AGG188" i="2"/>
  <c r="AGF188" i="2"/>
  <c r="AGE188" i="2"/>
  <c r="AGD188" i="2"/>
  <c r="AGC188" i="2"/>
  <c r="AGB188" i="2"/>
  <c r="AGA188" i="2"/>
  <c r="AFZ188" i="2"/>
  <c r="AFY188" i="2"/>
  <c r="AFX188" i="2"/>
  <c r="AFW188" i="2"/>
  <c r="AFV188" i="2"/>
  <c r="AFU188" i="2"/>
  <c r="AFT188" i="2"/>
  <c r="AFS188" i="2"/>
  <c r="AFR188" i="2"/>
  <c r="AFQ188" i="2"/>
  <c r="AFP188" i="2"/>
  <c r="AFO188" i="2"/>
  <c r="AFN188" i="2"/>
  <c r="AFM188" i="2"/>
  <c r="AFL188" i="2"/>
  <c r="AFK188" i="2"/>
  <c r="AFJ188" i="2"/>
  <c r="AFI188" i="2"/>
  <c r="AFH188" i="2"/>
  <c r="AFG188" i="2"/>
  <c r="AFF188" i="2"/>
  <c r="AFE188" i="2"/>
  <c r="AFD188" i="2"/>
  <c r="AFC188" i="2"/>
  <c r="AFB188" i="2"/>
  <c r="AFA188" i="2"/>
  <c r="AEZ188" i="2"/>
  <c r="AEY188" i="2"/>
  <c r="AEX188" i="2"/>
  <c r="AEW188" i="2"/>
  <c r="AEV188" i="2"/>
  <c r="AEU188" i="2"/>
  <c r="AET188" i="2"/>
  <c r="AES188" i="2"/>
  <c r="AER188" i="2"/>
  <c r="AEQ188" i="2"/>
  <c r="AEP188" i="2"/>
  <c r="AEO188" i="2"/>
  <c r="AEN188" i="2"/>
  <c r="AEM188" i="2"/>
  <c r="AEL188" i="2"/>
  <c r="AEK188" i="2"/>
  <c r="AEJ188" i="2"/>
  <c r="AEI188" i="2"/>
  <c r="AEH188" i="2"/>
  <c r="AEG188" i="2"/>
  <c r="AEF188" i="2"/>
  <c r="AEE188" i="2"/>
  <c r="AED188" i="2"/>
  <c r="AEC188" i="2"/>
  <c r="AEB188" i="2"/>
  <c r="AEA188" i="2"/>
  <c r="ADZ188" i="2"/>
  <c r="ADY188" i="2"/>
  <c r="ADX188" i="2"/>
  <c r="ADW188" i="2"/>
  <c r="ADV188" i="2"/>
  <c r="ADU188" i="2"/>
  <c r="ADT188" i="2"/>
  <c r="ADS188" i="2"/>
  <c r="ADR188" i="2"/>
  <c r="ADQ188" i="2"/>
  <c r="ADP188" i="2"/>
  <c r="ADO188" i="2"/>
  <c r="ADN188" i="2"/>
  <c r="ADM188" i="2"/>
  <c r="ADL188" i="2"/>
  <c r="ADK188" i="2"/>
  <c r="ADJ188" i="2"/>
  <c r="ADI188" i="2"/>
  <c r="ADH188" i="2"/>
  <c r="ADG188" i="2"/>
  <c r="ADF188" i="2"/>
  <c r="ADE188" i="2"/>
  <c r="ADD188" i="2"/>
  <c r="ADC188" i="2"/>
  <c r="ADB188" i="2"/>
  <c r="ADA188" i="2"/>
  <c r="ACZ188" i="2"/>
  <c r="AJR113" i="2" l="1"/>
  <c r="AJR189" i="2" s="1"/>
  <c r="AJR190" i="2" s="1"/>
  <c r="AJR191" i="2" s="1"/>
  <c r="ABH190" i="2"/>
  <c r="ABH191" i="2" s="1"/>
  <c r="ABT190" i="2"/>
  <c r="ABT191" i="2" s="1"/>
  <c r="ACF190" i="2"/>
  <c r="ACF191" i="2" s="1"/>
  <c r="ACR190" i="2"/>
  <c r="ACR191" i="2" s="1"/>
  <c r="ABU190" i="2"/>
  <c r="ABU191" i="2" s="1"/>
  <c r="ACG190" i="2"/>
  <c r="ACG191" i="2" s="1"/>
  <c r="ACS190" i="2"/>
  <c r="ACS191" i="2" s="1"/>
  <c r="ZZ190" i="2"/>
  <c r="ZZ191" i="2" s="1"/>
  <c r="AAL190" i="2"/>
  <c r="AAL191" i="2" s="1"/>
  <c r="AAX190" i="2"/>
  <c r="AAX191" i="2" s="1"/>
  <c r="ABJ190" i="2"/>
  <c r="ABJ191" i="2" s="1"/>
  <c r="ABV190" i="2"/>
  <c r="ABV191" i="2" s="1"/>
  <c r="ACH190" i="2"/>
  <c r="ACH191" i="2" s="1"/>
  <c r="ACT190" i="2"/>
  <c r="ACT191" i="2" s="1"/>
  <c r="ADB190" i="2"/>
  <c r="ADB191" i="2" s="1"/>
  <c r="AEL190" i="2"/>
  <c r="AEL191" i="2" s="1"/>
  <c r="AFV190" i="2"/>
  <c r="AFV191" i="2" s="1"/>
  <c r="ZY190" i="2"/>
  <c r="ZY191" i="2" s="1"/>
  <c r="AAK190" i="2"/>
  <c r="AAK191" i="2" s="1"/>
  <c r="AAW190" i="2"/>
  <c r="AAW191" i="2" s="1"/>
  <c r="ABI190" i="2"/>
  <c r="ABI191" i="2" s="1"/>
  <c r="ADN190" i="2"/>
  <c r="ADN191" i="2" s="1"/>
  <c r="AEX190" i="2"/>
  <c r="AEX191" i="2" s="1"/>
  <c r="ADZ190" i="2"/>
  <c r="ADZ191" i="2" s="1"/>
  <c r="AFJ190" i="2"/>
  <c r="AFJ191" i="2" s="1"/>
  <c r="ZR190" i="2"/>
  <c r="ZR191" i="2" s="1"/>
  <c r="AAD190" i="2"/>
  <c r="AAD191" i="2" s="1"/>
  <c r="AAP190" i="2"/>
  <c r="AAP191" i="2" s="1"/>
  <c r="ABB190" i="2"/>
  <c r="ABB191" i="2" s="1"/>
  <c r="ABN190" i="2"/>
  <c r="ABN191" i="2" s="1"/>
  <c r="ABZ190" i="2"/>
  <c r="ABZ191" i="2" s="1"/>
  <c r="ACL190" i="2"/>
  <c r="ACL191" i="2" s="1"/>
  <c r="ACX190" i="2"/>
  <c r="ACX191" i="2" s="1"/>
  <c r="ADH190" i="2"/>
  <c r="ADH191" i="2" s="1"/>
  <c r="AER190" i="2"/>
  <c r="AER191" i="2" s="1"/>
  <c r="AFD190" i="2"/>
  <c r="AFD191" i="2" s="1"/>
  <c r="AFP190" i="2"/>
  <c r="AFP191" i="2" s="1"/>
  <c r="AEF190" i="2"/>
  <c r="AEF191" i="2" s="1"/>
  <c r="ACZ190" i="2"/>
  <c r="ACZ191" i="2" s="1"/>
  <c r="ZS190" i="2"/>
  <c r="ZS191" i="2" s="1"/>
  <c r="AAE190" i="2"/>
  <c r="AAE191" i="2" s="1"/>
  <c r="AAQ190" i="2"/>
  <c r="AAQ191" i="2" s="1"/>
  <c r="ABC190" i="2"/>
  <c r="ABC191" i="2" s="1"/>
  <c r="ABO190" i="2"/>
  <c r="ABO191" i="2" s="1"/>
  <c r="ACA190" i="2"/>
  <c r="ACA191" i="2" s="1"/>
  <c r="ACM190" i="2"/>
  <c r="ACM191" i="2" s="1"/>
  <c r="ACY190" i="2"/>
  <c r="ACY191" i="2" s="1"/>
  <c r="ZV190" i="2"/>
  <c r="ZV191" i="2" s="1"/>
  <c r="AAH190" i="2"/>
  <c r="AAH191" i="2" s="1"/>
  <c r="AAT190" i="2"/>
  <c r="AAT191" i="2" s="1"/>
  <c r="ABF190" i="2"/>
  <c r="ABF191" i="2" s="1"/>
  <c r="ABR190" i="2"/>
  <c r="ABR191" i="2" s="1"/>
  <c r="ACD190" i="2"/>
  <c r="ACD191" i="2" s="1"/>
  <c r="ACP190" i="2"/>
  <c r="ACP191" i="2" s="1"/>
  <c r="ADL190" i="2"/>
  <c r="ADL191" i="2" s="1"/>
  <c r="ADX190" i="2"/>
  <c r="ADX191" i="2" s="1"/>
  <c r="AEJ190" i="2"/>
  <c r="AEJ191" i="2" s="1"/>
  <c r="ZW190" i="2"/>
  <c r="ZW191" i="2" s="1"/>
  <c r="AAI190" i="2"/>
  <c r="AAI191" i="2" s="1"/>
  <c r="AAU190" i="2"/>
  <c r="AAU191" i="2" s="1"/>
  <c r="ABG190" i="2"/>
  <c r="ABG191" i="2" s="1"/>
  <c r="ABS190" i="2"/>
  <c r="ABS191" i="2" s="1"/>
  <c r="ACE190" i="2"/>
  <c r="ACE191" i="2" s="1"/>
  <c r="ACQ190" i="2"/>
  <c r="ACQ191" i="2" s="1"/>
  <c r="ZQ190" i="2"/>
  <c r="ZQ191" i="2" s="1"/>
  <c r="AAC190" i="2"/>
  <c r="AAC191" i="2" s="1"/>
  <c r="AAO190" i="2"/>
  <c r="AAO191" i="2" s="1"/>
  <c r="ABA190" i="2"/>
  <c r="ABA191" i="2" s="1"/>
  <c r="ABM190" i="2"/>
  <c r="ABM191" i="2" s="1"/>
  <c r="ABY190" i="2"/>
  <c r="ABY191" i="2" s="1"/>
  <c r="ACK190" i="2"/>
  <c r="ACK191" i="2" s="1"/>
  <c r="ACW190" i="2"/>
  <c r="ACW191" i="2" s="1"/>
  <c r="ZU190" i="2"/>
  <c r="ZU191" i="2" s="1"/>
  <c r="AAG190" i="2"/>
  <c r="AAG191" i="2" s="1"/>
  <c r="AAS190" i="2"/>
  <c r="AAS191" i="2" s="1"/>
  <c r="ABE190" i="2"/>
  <c r="ABE191" i="2" s="1"/>
  <c r="ABQ190" i="2"/>
  <c r="ABQ191" i="2" s="1"/>
  <c r="ACC190" i="2"/>
  <c r="ACC191" i="2" s="1"/>
  <c r="ACO190" i="2"/>
  <c r="ACO191" i="2" s="1"/>
  <c r="ZT190" i="2"/>
  <c r="ZT191" i="2" s="1"/>
  <c r="AAF190" i="2"/>
  <c r="AAF191" i="2" s="1"/>
  <c r="AAR190" i="2"/>
  <c r="AAR191" i="2" s="1"/>
  <c r="ABD190" i="2"/>
  <c r="ABD191" i="2" s="1"/>
  <c r="ABP190" i="2"/>
  <c r="ABP191" i="2" s="1"/>
  <c r="ACB190" i="2"/>
  <c r="ACB191" i="2" s="1"/>
  <c r="ACN190" i="2"/>
  <c r="ACN191" i="2" s="1"/>
  <c r="ZX190" i="2"/>
  <c r="ZX191" i="2" s="1"/>
  <c r="AAJ190" i="2"/>
  <c r="AAJ191" i="2" s="1"/>
  <c r="AAV190" i="2"/>
  <c r="AAV191" i="2" s="1"/>
  <c r="AAA190" i="2"/>
  <c r="AAA191" i="2" s="1"/>
  <c r="AAM190" i="2"/>
  <c r="AAM191" i="2" s="1"/>
  <c r="AAY190" i="2"/>
  <c r="AAY191" i="2" s="1"/>
  <c r="ABK190" i="2"/>
  <c r="ABK191" i="2" s="1"/>
  <c r="ABW190" i="2"/>
  <c r="ABW191" i="2" s="1"/>
  <c r="ACI190" i="2"/>
  <c r="ACI191" i="2" s="1"/>
  <c r="ACU190" i="2"/>
  <c r="ACU191" i="2" s="1"/>
  <c r="AAB190" i="2"/>
  <c r="AAB191" i="2" s="1"/>
  <c r="AAN190" i="2"/>
  <c r="AAN191" i="2" s="1"/>
  <c r="AAZ190" i="2"/>
  <c r="AAZ191" i="2" s="1"/>
  <c r="ABL190" i="2"/>
  <c r="ABL191" i="2" s="1"/>
  <c r="ABX190" i="2"/>
  <c r="ABX191" i="2" s="1"/>
  <c r="ACJ190" i="2"/>
  <c r="ACJ191" i="2" s="1"/>
  <c r="ACV190" i="2"/>
  <c r="ACV191" i="2" s="1"/>
  <c r="AEW190" i="2"/>
  <c r="AEW191" i="2" s="1"/>
  <c r="AFI190" i="2"/>
  <c r="AFI191" i="2" s="1"/>
  <c r="AFU190" i="2"/>
  <c r="AFU191" i="2" s="1"/>
  <c r="AGG190" i="2"/>
  <c r="AGG191" i="2" s="1"/>
  <c r="ADK190" i="2"/>
  <c r="ADK191" i="2" s="1"/>
  <c r="ADW190" i="2"/>
  <c r="ADW191" i="2" s="1"/>
  <c r="AEI190" i="2"/>
  <c r="AEI191" i="2" s="1"/>
  <c r="AEU190" i="2"/>
  <c r="AEU191" i="2" s="1"/>
  <c r="AFG190" i="2"/>
  <c r="AFG191" i="2" s="1"/>
  <c r="AFS190" i="2"/>
  <c r="AFS191" i="2" s="1"/>
  <c r="AGE190" i="2"/>
  <c r="AGE191" i="2" s="1"/>
  <c r="AEV190" i="2"/>
  <c r="AEV191" i="2" s="1"/>
  <c r="AFH190" i="2"/>
  <c r="AFH191" i="2" s="1"/>
  <c r="AFT190" i="2"/>
  <c r="AFT191" i="2" s="1"/>
  <c r="AGF190" i="2"/>
  <c r="AGF191" i="2" s="1"/>
  <c r="ADJ190" i="2"/>
  <c r="ADJ191" i="2" s="1"/>
  <c r="ADV190" i="2"/>
  <c r="ADV191" i="2" s="1"/>
  <c r="AEH190" i="2"/>
  <c r="AEH191" i="2" s="1"/>
  <c r="AET190" i="2"/>
  <c r="AET191" i="2" s="1"/>
  <c r="AFF190" i="2"/>
  <c r="AFF191" i="2" s="1"/>
  <c r="AFR190" i="2"/>
  <c r="AFR191" i="2" s="1"/>
  <c r="AGD190" i="2"/>
  <c r="AGD191" i="2" s="1"/>
  <c r="ADT190" i="2"/>
  <c r="ADT191" i="2" s="1"/>
  <c r="ADA190" i="2"/>
  <c r="ADA191" i="2" s="1"/>
  <c r="ADM190" i="2"/>
  <c r="ADM191" i="2" s="1"/>
  <c r="ADY190" i="2"/>
  <c r="ADY191" i="2" s="1"/>
  <c r="AEK190" i="2"/>
  <c r="AEK191" i="2" s="1"/>
  <c r="ADE190" i="2"/>
  <c r="ADE191" i="2" s="1"/>
  <c r="ADQ190" i="2"/>
  <c r="ADQ191" i="2" s="1"/>
  <c r="AEC190" i="2"/>
  <c r="AEC191" i="2" s="1"/>
  <c r="AEO190" i="2"/>
  <c r="AEO191" i="2" s="1"/>
  <c r="AFA190" i="2"/>
  <c r="AFA191" i="2" s="1"/>
  <c r="AFM190" i="2"/>
  <c r="AFM191" i="2" s="1"/>
  <c r="AFY190" i="2"/>
  <c r="AFY191" i="2" s="1"/>
  <c r="ADF190" i="2"/>
  <c r="ADF191" i="2" s="1"/>
  <c r="ADR190" i="2"/>
  <c r="ADR191" i="2" s="1"/>
  <c r="AED190" i="2"/>
  <c r="AED191" i="2" s="1"/>
  <c r="AEP190" i="2"/>
  <c r="AEP191" i="2" s="1"/>
  <c r="AFB190" i="2"/>
  <c r="AFB191" i="2" s="1"/>
  <c r="AFN190" i="2"/>
  <c r="AFN191" i="2" s="1"/>
  <c r="AFZ190" i="2"/>
  <c r="AFZ191" i="2" s="1"/>
  <c r="ADS190" i="2"/>
  <c r="ADS191" i="2" s="1"/>
  <c r="AFO190" i="2"/>
  <c r="AFO191" i="2" s="1"/>
  <c r="ADI190" i="2"/>
  <c r="ADI191" i="2" s="1"/>
  <c r="ADU190" i="2"/>
  <c r="ADU191" i="2" s="1"/>
  <c r="AEG190" i="2"/>
  <c r="AEG191" i="2" s="1"/>
  <c r="AES190" i="2"/>
  <c r="AES191" i="2" s="1"/>
  <c r="AFE190" i="2"/>
  <c r="AFE191" i="2" s="1"/>
  <c r="AFQ190" i="2"/>
  <c r="AFQ191" i="2" s="1"/>
  <c r="AGC190" i="2"/>
  <c r="AGC191" i="2" s="1"/>
  <c r="ADC190" i="2"/>
  <c r="ADC191" i="2" s="1"/>
  <c r="ADO190" i="2"/>
  <c r="ADO191" i="2" s="1"/>
  <c r="AEA190" i="2"/>
  <c r="AEA191" i="2" s="1"/>
  <c r="AEM190" i="2"/>
  <c r="AEM191" i="2" s="1"/>
  <c r="AEY190" i="2"/>
  <c r="AEY191" i="2" s="1"/>
  <c r="AFK190" i="2"/>
  <c r="AFK191" i="2" s="1"/>
  <c r="AFW190" i="2"/>
  <c r="AFW191" i="2" s="1"/>
  <c r="ADD190" i="2"/>
  <c r="ADD191" i="2" s="1"/>
  <c r="ADP190" i="2"/>
  <c r="ADP191" i="2" s="1"/>
  <c r="AEB190" i="2"/>
  <c r="AEB191" i="2" s="1"/>
  <c r="AEN190" i="2"/>
  <c r="AEN191" i="2" s="1"/>
  <c r="AEZ190" i="2"/>
  <c r="AEZ191" i="2" s="1"/>
  <c r="AFL190" i="2"/>
  <c r="AFL191" i="2" s="1"/>
  <c r="AFX190" i="2"/>
  <c r="AFX191" i="2" s="1"/>
  <c r="AEE190" i="2"/>
  <c r="AEE191" i="2" s="1"/>
  <c r="AFC190" i="2"/>
  <c r="AFC191" i="2" s="1"/>
  <c r="ADG190" i="2"/>
  <c r="ADG191" i="2" s="1"/>
  <c r="AEQ190" i="2"/>
  <c r="AEQ191" i="2" s="1"/>
  <c r="AGA190" i="2"/>
  <c r="AGA191" i="2" s="1"/>
  <c r="AGB190" i="2"/>
  <c r="AGB191" i="2" s="1"/>
  <c r="LM188" i="2" l="1"/>
  <c r="PR188" i="2"/>
  <c r="WJ188" i="2"/>
  <c r="WK188" i="2"/>
  <c r="WL188" i="2"/>
  <c r="WM188" i="2"/>
  <c r="WN188" i="2"/>
  <c r="WO188" i="2"/>
  <c r="WP188" i="2"/>
  <c r="WQ188" i="2"/>
  <c r="WR188" i="2"/>
  <c r="WS188" i="2"/>
  <c r="WT188" i="2"/>
  <c r="WU188" i="2"/>
  <c r="WV188" i="2"/>
  <c r="WW188" i="2"/>
  <c r="WX188" i="2"/>
  <c r="WY188" i="2"/>
  <c r="WZ188" i="2"/>
  <c r="XA188" i="2"/>
  <c r="XB188" i="2"/>
  <c r="XC188" i="2"/>
  <c r="XD188" i="2"/>
  <c r="XE188" i="2"/>
  <c r="XF188" i="2"/>
  <c r="XG188" i="2"/>
  <c r="XH188" i="2"/>
  <c r="XI188" i="2"/>
  <c r="XJ188" i="2"/>
  <c r="XK188" i="2"/>
  <c r="XL188" i="2"/>
  <c r="XM188" i="2"/>
  <c r="XN188" i="2"/>
  <c r="XO188" i="2"/>
  <c r="XP188" i="2"/>
  <c r="XQ188" i="2"/>
  <c r="XR188" i="2"/>
  <c r="XS188" i="2"/>
  <c r="XT188" i="2"/>
  <c r="XU188" i="2"/>
  <c r="XV188" i="2"/>
  <c r="XW188" i="2"/>
  <c r="XX188" i="2"/>
  <c r="XY188" i="2"/>
  <c r="XZ188" i="2"/>
  <c r="YA188" i="2"/>
  <c r="YB188" i="2"/>
  <c r="YC188" i="2"/>
  <c r="YD188" i="2"/>
  <c r="YE188" i="2"/>
  <c r="YF188" i="2"/>
  <c r="YG188" i="2"/>
  <c r="YH188" i="2"/>
  <c r="YI188" i="2"/>
  <c r="YJ188" i="2"/>
  <c r="YK188" i="2"/>
  <c r="YL188" i="2"/>
  <c r="YM188" i="2"/>
  <c r="YN188" i="2"/>
  <c r="YO188" i="2"/>
  <c r="YP188" i="2"/>
  <c r="YQ188" i="2"/>
  <c r="YR188" i="2"/>
  <c r="YS188" i="2"/>
  <c r="YT188" i="2"/>
  <c r="YU188" i="2"/>
  <c r="YV188" i="2"/>
  <c r="YW188" i="2"/>
  <c r="YX188" i="2"/>
  <c r="YY188" i="2"/>
  <c r="YZ188" i="2"/>
  <c r="ZA188" i="2"/>
  <c r="ZB188" i="2"/>
  <c r="ZC188" i="2"/>
  <c r="ZD188" i="2"/>
  <c r="ZE188" i="2"/>
  <c r="ZF188" i="2"/>
  <c r="ZG188" i="2"/>
  <c r="ZH188" i="2"/>
  <c r="ZI188" i="2"/>
  <c r="ZJ188" i="2"/>
  <c r="ZK188" i="2"/>
  <c r="ZL188" i="2"/>
  <c r="ZM188" i="2"/>
  <c r="ZN188" i="2"/>
  <c r="ZO188" i="2"/>
  <c r="ZP188" i="2"/>
  <c r="WJ189" i="2"/>
  <c r="WK189" i="2"/>
  <c r="WL189" i="2"/>
  <c r="WM189" i="2"/>
  <c r="WN189" i="2"/>
  <c r="WO189" i="2"/>
  <c r="WP189" i="2"/>
  <c r="WQ189" i="2"/>
  <c r="WR189" i="2"/>
  <c r="WS189" i="2"/>
  <c r="WT189" i="2"/>
  <c r="WU189" i="2"/>
  <c r="WV189" i="2"/>
  <c r="WW189" i="2"/>
  <c r="WX189" i="2"/>
  <c r="WY189" i="2"/>
  <c r="WZ189" i="2"/>
  <c r="XA189" i="2"/>
  <c r="XB189" i="2"/>
  <c r="XC189" i="2"/>
  <c r="XD189" i="2"/>
  <c r="XE189" i="2"/>
  <c r="XF189" i="2"/>
  <c r="XG189" i="2"/>
  <c r="XH189" i="2"/>
  <c r="XI189" i="2"/>
  <c r="XJ189" i="2"/>
  <c r="XK189" i="2"/>
  <c r="XL189" i="2"/>
  <c r="XM189" i="2"/>
  <c r="XN189" i="2"/>
  <c r="XO189" i="2"/>
  <c r="XP189" i="2"/>
  <c r="XQ189" i="2"/>
  <c r="XR189" i="2"/>
  <c r="XS189" i="2"/>
  <c r="XT189" i="2"/>
  <c r="XU189" i="2"/>
  <c r="XV189" i="2"/>
  <c r="XW189" i="2"/>
  <c r="XX189" i="2"/>
  <c r="XY189" i="2"/>
  <c r="XZ189" i="2"/>
  <c r="YA189" i="2"/>
  <c r="YB189" i="2"/>
  <c r="YC189" i="2"/>
  <c r="YD189" i="2"/>
  <c r="YE189" i="2"/>
  <c r="YF189" i="2"/>
  <c r="YG189" i="2"/>
  <c r="YH189" i="2"/>
  <c r="YI189" i="2"/>
  <c r="YJ189" i="2"/>
  <c r="YK189" i="2"/>
  <c r="YL189" i="2"/>
  <c r="YM189" i="2"/>
  <c r="YN189" i="2"/>
  <c r="YO189" i="2"/>
  <c r="YP189" i="2"/>
  <c r="YQ189" i="2"/>
  <c r="YR189" i="2"/>
  <c r="YS189" i="2"/>
  <c r="YT189" i="2"/>
  <c r="YU189" i="2"/>
  <c r="YV189" i="2"/>
  <c r="YW189" i="2"/>
  <c r="YX189" i="2"/>
  <c r="YY189" i="2"/>
  <c r="YZ189" i="2"/>
  <c r="ZA189" i="2"/>
  <c r="ZB189" i="2"/>
  <c r="ZC189" i="2"/>
  <c r="ZD189" i="2"/>
  <c r="ZE189" i="2"/>
  <c r="ZF189" i="2"/>
  <c r="ZG189" i="2"/>
  <c r="ZH189" i="2"/>
  <c r="ZI189" i="2"/>
  <c r="ZJ189" i="2"/>
  <c r="ZK189" i="2"/>
  <c r="ZL189" i="2"/>
  <c r="ZM189" i="2"/>
  <c r="ZN189" i="2"/>
  <c r="ZO189" i="2"/>
  <c r="ZP189" i="2"/>
  <c r="WH188" i="2"/>
  <c r="WI188" i="2"/>
  <c r="WH189" i="2"/>
  <c r="WI189" i="2"/>
  <c r="TA188" i="2"/>
  <c r="TB188" i="2"/>
  <c r="TC188" i="2"/>
  <c r="TD188" i="2"/>
  <c r="TE188" i="2"/>
  <c r="TF188" i="2"/>
  <c r="TG188" i="2"/>
  <c r="TH188" i="2"/>
  <c r="TI188" i="2"/>
  <c r="TJ188" i="2"/>
  <c r="TK188" i="2"/>
  <c r="TL188" i="2"/>
  <c r="TM188" i="2"/>
  <c r="TN188" i="2"/>
  <c r="TO188" i="2"/>
  <c r="TP188" i="2"/>
  <c r="TQ188" i="2"/>
  <c r="TR188" i="2"/>
  <c r="TS188" i="2"/>
  <c r="TT188" i="2"/>
  <c r="TU188" i="2"/>
  <c r="TV188" i="2"/>
  <c r="TW188" i="2"/>
  <c r="TX188" i="2"/>
  <c r="TY188" i="2"/>
  <c r="TZ188" i="2"/>
  <c r="UA188" i="2"/>
  <c r="UB188" i="2"/>
  <c r="UC188" i="2"/>
  <c r="UD188" i="2"/>
  <c r="UE188" i="2"/>
  <c r="UF188" i="2"/>
  <c r="UG188" i="2"/>
  <c r="UH188" i="2"/>
  <c r="UI188" i="2"/>
  <c r="UJ188" i="2"/>
  <c r="UK188" i="2"/>
  <c r="UL188" i="2"/>
  <c r="UM188" i="2"/>
  <c r="UN188" i="2"/>
  <c r="UO188" i="2"/>
  <c r="UP188" i="2"/>
  <c r="UQ188" i="2"/>
  <c r="UR188" i="2"/>
  <c r="US188" i="2"/>
  <c r="UT188" i="2"/>
  <c r="UU188" i="2"/>
  <c r="UV188" i="2"/>
  <c r="UW188" i="2"/>
  <c r="UX188" i="2"/>
  <c r="UY188" i="2"/>
  <c r="UZ188" i="2"/>
  <c r="VA188" i="2"/>
  <c r="VB188" i="2"/>
  <c r="VC188" i="2"/>
  <c r="VD188" i="2"/>
  <c r="VE188" i="2"/>
  <c r="VF188" i="2"/>
  <c r="VG188" i="2"/>
  <c r="VH188" i="2"/>
  <c r="VI188" i="2"/>
  <c r="VJ188" i="2"/>
  <c r="VK188" i="2"/>
  <c r="VL188" i="2"/>
  <c r="VM188" i="2"/>
  <c r="VN188" i="2"/>
  <c r="VO188" i="2"/>
  <c r="VP188" i="2"/>
  <c r="VQ188" i="2"/>
  <c r="VR188" i="2"/>
  <c r="VS188" i="2"/>
  <c r="VT188" i="2"/>
  <c r="VU188" i="2"/>
  <c r="VV188" i="2"/>
  <c r="VW188" i="2"/>
  <c r="VX188" i="2"/>
  <c r="VY188" i="2"/>
  <c r="VZ188" i="2"/>
  <c r="WA188" i="2"/>
  <c r="WB188" i="2"/>
  <c r="WC188" i="2"/>
  <c r="WD188" i="2"/>
  <c r="WE188" i="2"/>
  <c r="WF188" i="2"/>
  <c r="WG188" i="2"/>
  <c r="TA189" i="2"/>
  <c r="TB189" i="2"/>
  <c r="TC189" i="2"/>
  <c r="TD189" i="2"/>
  <c r="TE189" i="2"/>
  <c r="TF189" i="2"/>
  <c r="TG189" i="2"/>
  <c r="TH189" i="2"/>
  <c r="TI189" i="2"/>
  <c r="TJ189" i="2"/>
  <c r="TK189" i="2"/>
  <c r="TL189" i="2"/>
  <c r="TM189" i="2"/>
  <c r="TN189" i="2"/>
  <c r="TO189" i="2"/>
  <c r="TP189" i="2"/>
  <c r="TQ189" i="2"/>
  <c r="TR189" i="2"/>
  <c r="TS189" i="2"/>
  <c r="TT189" i="2"/>
  <c r="TU189" i="2"/>
  <c r="TV189" i="2"/>
  <c r="TW189" i="2"/>
  <c r="TX189" i="2"/>
  <c r="TY189" i="2"/>
  <c r="TZ189" i="2"/>
  <c r="UA189" i="2"/>
  <c r="UB189" i="2"/>
  <c r="UC189" i="2"/>
  <c r="UD189" i="2"/>
  <c r="UE189" i="2"/>
  <c r="UF189" i="2"/>
  <c r="UG189" i="2"/>
  <c r="UH189" i="2"/>
  <c r="UI189" i="2"/>
  <c r="UJ189" i="2"/>
  <c r="UK189" i="2"/>
  <c r="UL189" i="2"/>
  <c r="UM189" i="2"/>
  <c r="UN189" i="2"/>
  <c r="UO189" i="2"/>
  <c r="UP189" i="2"/>
  <c r="UQ189" i="2"/>
  <c r="UR189" i="2"/>
  <c r="US189" i="2"/>
  <c r="UT189" i="2"/>
  <c r="UU189" i="2"/>
  <c r="UV189" i="2"/>
  <c r="UW189" i="2"/>
  <c r="UX189" i="2"/>
  <c r="UY189" i="2"/>
  <c r="UZ189" i="2"/>
  <c r="VA189" i="2"/>
  <c r="VB189" i="2"/>
  <c r="VC189" i="2"/>
  <c r="VD189" i="2"/>
  <c r="VE189" i="2"/>
  <c r="VF189" i="2"/>
  <c r="VG189" i="2"/>
  <c r="VH189" i="2"/>
  <c r="VI189" i="2"/>
  <c r="VJ189" i="2"/>
  <c r="VK189" i="2"/>
  <c r="VL189" i="2"/>
  <c r="VM189" i="2"/>
  <c r="VN189" i="2"/>
  <c r="VO189" i="2"/>
  <c r="VP189" i="2"/>
  <c r="VQ189" i="2"/>
  <c r="VR189" i="2"/>
  <c r="VS189" i="2"/>
  <c r="VT189" i="2"/>
  <c r="VU189" i="2"/>
  <c r="VV189" i="2"/>
  <c r="VW189" i="2"/>
  <c r="VX189" i="2"/>
  <c r="VY189" i="2"/>
  <c r="VZ189" i="2"/>
  <c r="WA189" i="2"/>
  <c r="WB189" i="2"/>
  <c r="WC189" i="2"/>
  <c r="WD189" i="2"/>
  <c r="WE189" i="2"/>
  <c r="WF189" i="2"/>
  <c r="WG189" i="2"/>
  <c r="SY188" i="2"/>
  <c r="SZ188" i="2"/>
  <c r="SY189" i="2"/>
  <c r="SZ189" i="2"/>
  <c r="PS188" i="2"/>
  <c r="PT188" i="2"/>
  <c r="PU188" i="2"/>
  <c r="PV188" i="2"/>
  <c r="PW188" i="2"/>
  <c r="PX188" i="2"/>
  <c r="PY188" i="2"/>
  <c r="PZ188" i="2"/>
  <c r="QA188" i="2"/>
  <c r="QB188" i="2"/>
  <c r="QC188" i="2"/>
  <c r="QD188" i="2"/>
  <c r="QE188" i="2"/>
  <c r="QF188" i="2"/>
  <c r="QG188" i="2"/>
  <c r="QH188" i="2"/>
  <c r="QI188" i="2"/>
  <c r="QJ188" i="2"/>
  <c r="QK188" i="2"/>
  <c r="QL188" i="2"/>
  <c r="QM188" i="2"/>
  <c r="QN188" i="2"/>
  <c r="QO188" i="2"/>
  <c r="QP188" i="2"/>
  <c r="QQ188" i="2"/>
  <c r="QR188" i="2"/>
  <c r="QS188" i="2"/>
  <c r="QT188" i="2"/>
  <c r="QU188" i="2"/>
  <c r="QV188" i="2"/>
  <c r="QW188" i="2"/>
  <c r="QX188" i="2"/>
  <c r="QY188" i="2"/>
  <c r="QZ188" i="2"/>
  <c r="RA188" i="2"/>
  <c r="RB188" i="2"/>
  <c r="RC188" i="2"/>
  <c r="RD188" i="2"/>
  <c r="RE188" i="2"/>
  <c r="RF188" i="2"/>
  <c r="RG188" i="2"/>
  <c r="RH188" i="2"/>
  <c r="RI188" i="2"/>
  <c r="RJ188" i="2"/>
  <c r="RK188" i="2"/>
  <c r="RL188" i="2"/>
  <c r="RM188" i="2"/>
  <c r="RN188" i="2"/>
  <c r="RO188" i="2"/>
  <c r="RP188" i="2"/>
  <c r="RQ188" i="2"/>
  <c r="RR188" i="2"/>
  <c r="RS188" i="2"/>
  <c r="RT188" i="2"/>
  <c r="RU188" i="2"/>
  <c r="RV188" i="2"/>
  <c r="RW188" i="2"/>
  <c r="RX188" i="2"/>
  <c r="RY188" i="2"/>
  <c r="RZ188" i="2"/>
  <c r="SA188" i="2"/>
  <c r="SB188" i="2"/>
  <c r="SC188" i="2"/>
  <c r="SD188" i="2"/>
  <c r="SE188" i="2"/>
  <c r="SF188" i="2"/>
  <c r="SG188" i="2"/>
  <c r="SH188" i="2"/>
  <c r="SI188" i="2"/>
  <c r="SJ188" i="2"/>
  <c r="SK188" i="2"/>
  <c r="SL188" i="2"/>
  <c r="SM188" i="2"/>
  <c r="SN188" i="2"/>
  <c r="SO188" i="2"/>
  <c r="SP188" i="2"/>
  <c r="SQ188" i="2"/>
  <c r="SR188" i="2"/>
  <c r="SS188" i="2"/>
  <c r="ST188" i="2"/>
  <c r="SU188" i="2"/>
  <c r="SV188" i="2"/>
  <c r="SW188" i="2"/>
  <c r="SX188" i="2"/>
  <c r="PR189" i="2"/>
  <c r="PS189" i="2"/>
  <c r="PT189" i="2"/>
  <c r="PU189" i="2"/>
  <c r="PV189" i="2"/>
  <c r="PW189" i="2"/>
  <c r="PX189" i="2"/>
  <c r="PY189" i="2"/>
  <c r="PZ189" i="2"/>
  <c r="QA189" i="2"/>
  <c r="QB189" i="2"/>
  <c r="QC189" i="2"/>
  <c r="QD189" i="2"/>
  <c r="QE189" i="2"/>
  <c r="QF189" i="2"/>
  <c r="QG189" i="2"/>
  <c r="QH189" i="2"/>
  <c r="QI189" i="2"/>
  <c r="QJ189" i="2"/>
  <c r="QK189" i="2"/>
  <c r="QL189" i="2"/>
  <c r="QM189" i="2"/>
  <c r="QN189" i="2"/>
  <c r="QO189" i="2"/>
  <c r="QP189" i="2"/>
  <c r="QQ189" i="2"/>
  <c r="QR189" i="2"/>
  <c r="QS189" i="2"/>
  <c r="QT189" i="2"/>
  <c r="QU189" i="2"/>
  <c r="QV189" i="2"/>
  <c r="QW189" i="2"/>
  <c r="QX189" i="2"/>
  <c r="QY189" i="2"/>
  <c r="QZ189" i="2"/>
  <c r="RA189" i="2"/>
  <c r="RB189" i="2"/>
  <c r="RC189" i="2"/>
  <c r="RD189" i="2"/>
  <c r="RE189" i="2"/>
  <c r="RF189" i="2"/>
  <c r="RG189" i="2"/>
  <c r="RH189" i="2"/>
  <c r="RI189" i="2"/>
  <c r="RJ189" i="2"/>
  <c r="RK189" i="2"/>
  <c r="RL189" i="2"/>
  <c r="RM189" i="2"/>
  <c r="RN189" i="2"/>
  <c r="RO189" i="2"/>
  <c r="RP189" i="2"/>
  <c r="RQ189" i="2"/>
  <c r="RR189" i="2"/>
  <c r="RS189" i="2"/>
  <c r="RT189" i="2"/>
  <c r="RU189" i="2"/>
  <c r="RV189" i="2"/>
  <c r="RW189" i="2"/>
  <c r="RX189" i="2"/>
  <c r="RY189" i="2"/>
  <c r="RZ189" i="2"/>
  <c r="SA189" i="2"/>
  <c r="SB189" i="2"/>
  <c r="SC189" i="2"/>
  <c r="SD189" i="2"/>
  <c r="SE189" i="2"/>
  <c r="SF189" i="2"/>
  <c r="SG189" i="2"/>
  <c r="SH189" i="2"/>
  <c r="SI189" i="2"/>
  <c r="SJ189" i="2"/>
  <c r="SK189" i="2"/>
  <c r="SL189" i="2"/>
  <c r="SM189" i="2"/>
  <c r="SN189" i="2"/>
  <c r="SO189" i="2"/>
  <c r="SP189" i="2"/>
  <c r="SQ189" i="2"/>
  <c r="SR189" i="2"/>
  <c r="SS189" i="2"/>
  <c r="ST189" i="2"/>
  <c r="SU189" i="2"/>
  <c r="SV189" i="2"/>
  <c r="SW189" i="2"/>
  <c r="SX189" i="2"/>
  <c r="PQ188" i="2"/>
  <c r="PP188" i="2"/>
  <c r="PP189" i="2"/>
  <c r="PQ189" i="2"/>
  <c r="MG188" i="2"/>
  <c r="MH188" i="2"/>
  <c r="MI188" i="2"/>
  <c r="MJ188" i="2"/>
  <c r="MK188" i="2"/>
  <c r="ML188" i="2"/>
  <c r="MM188" i="2"/>
  <c r="MN188" i="2"/>
  <c r="MO188" i="2"/>
  <c r="MP188" i="2"/>
  <c r="MQ188" i="2"/>
  <c r="MR188" i="2"/>
  <c r="MS188" i="2"/>
  <c r="MT188" i="2"/>
  <c r="MU188" i="2"/>
  <c r="MV188" i="2"/>
  <c r="MW188" i="2"/>
  <c r="MX188" i="2"/>
  <c r="MY188" i="2"/>
  <c r="MZ188" i="2"/>
  <c r="NA188" i="2"/>
  <c r="NB188" i="2"/>
  <c r="NC188" i="2"/>
  <c r="ND188" i="2"/>
  <c r="NE188" i="2"/>
  <c r="NF188" i="2"/>
  <c r="NG188" i="2"/>
  <c r="NH188" i="2"/>
  <c r="NI188" i="2"/>
  <c r="NJ188" i="2"/>
  <c r="NK188" i="2"/>
  <c r="NL188" i="2"/>
  <c r="NM188" i="2"/>
  <c r="NN188" i="2"/>
  <c r="NO188" i="2"/>
  <c r="NP188" i="2"/>
  <c r="NQ188" i="2"/>
  <c r="NR188" i="2"/>
  <c r="NS188" i="2"/>
  <c r="NT188" i="2"/>
  <c r="NU188" i="2"/>
  <c r="NV188" i="2"/>
  <c r="NW188" i="2"/>
  <c r="NX188" i="2"/>
  <c r="NY188" i="2"/>
  <c r="NZ188" i="2"/>
  <c r="OA188" i="2"/>
  <c r="OB188" i="2"/>
  <c r="OC188" i="2"/>
  <c r="OD188" i="2"/>
  <c r="OE188" i="2"/>
  <c r="OF188" i="2"/>
  <c r="OG188" i="2"/>
  <c r="OH188" i="2"/>
  <c r="OI188" i="2"/>
  <c r="OJ188" i="2"/>
  <c r="OK188" i="2"/>
  <c r="OL188" i="2"/>
  <c r="OM188" i="2"/>
  <c r="ON188" i="2"/>
  <c r="OO188" i="2"/>
  <c r="OP188" i="2"/>
  <c r="OQ188" i="2"/>
  <c r="OR188" i="2"/>
  <c r="OS188" i="2"/>
  <c r="OT188" i="2"/>
  <c r="OU188" i="2"/>
  <c r="OV188" i="2"/>
  <c r="OW188" i="2"/>
  <c r="OX188" i="2"/>
  <c r="OY188" i="2"/>
  <c r="OZ188" i="2"/>
  <c r="PA188" i="2"/>
  <c r="PB188" i="2"/>
  <c r="PC188" i="2"/>
  <c r="PD188" i="2"/>
  <c r="PE188" i="2"/>
  <c r="PF188" i="2"/>
  <c r="PG188" i="2"/>
  <c r="PH188" i="2"/>
  <c r="PI188" i="2"/>
  <c r="PJ188" i="2"/>
  <c r="PK188" i="2"/>
  <c r="PL188" i="2"/>
  <c r="PM188" i="2"/>
  <c r="PN188" i="2"/>
  <c r="PO188" i="2"/>
  <c r="MG189" i="2"/>
  <c r="MH189" i="2"/>
  <c r="MI189" i="2"/>
  <c r="MJ189" i="2"/>
  <c r="MK189" i="2"/>
  <c r="ML189" i="2"/>
  <c r="MM189" i="2"/>
  <c r="MN189" i="2"/>
  <c r="MO189" i="2"/>
  <c r="MP189" i="2"/>
  <c r="MQ189" i="2"/>
  <c r="MR189" i="2"/>
  <c r="MS189" i="2"/>
  <c r="MT189" i="2"/>
  <c r="MU189" i="2"/>
  <c r="MV189" i="2"/>
  <c r="MW189" i="2"/>
  <c r="MX189" i="2"/>
  <c r="MY189" i="2"/>
  <c r="MZ189" i="2"/>
  <c r="NA189" i="2"/>
  <c r="NB189" i="2"/>
  <c r="NC189" i="2"/>
  <c r="ND189" i="2"/>
  <c r="NE189" i="2"/>
  <c r="NF189" i="2"/>
  <c r="NG189" i="2"/>
  <c r="NH189" i="2"/>
  <c r="NI189" i="2"/>
  <c r="NJ189" i="2"/>
  <c r="NK189" i="2"/>
  <c r="NL189" i="2"/>
  <c r="NM189" i="2"/>
  <c r="NN189" i="2"/>
  <c r="NO189" i="2"/>
  <c r="NP189" i="2"/>
  <c r="NQ189" i="2"/>
  <c r="NR189" i="2"/>
  <c r="NS189" i="2"/>
  <c r="NT189" i="2"/>
  <c r="NU189" i="2"/>
  <c r="NV189" i="2"/>
  <c r="NW189" i="2"/>
  <c r="NX189" i="2"/>
  <c r="NY189" i="2"/>
  <c r="NZ189" i="2"/>
  <c r="OA189" i="2"/>
  <c r="OB189" i="2"/>
  <c r="OC189" i="2"/>
  <c r="OD189" i="2"/>
  <c r="OE189" i="2"/>
  <c r="OF189" i="2"/>
  <c r="OG189" i="2"/>
  <c r="OH189" i="2"/>
  <c r="OI189" i="2"/>
  <c r="OJ189" i="2"/>
  <c r="OK189" i="2"/>
  <c r="OL189" i="2"/>
  <c r="OM189" i="2"/>
  <c r="ON189" i="2"/>
  <c r="OO189" i="2"/>
  <c r="OP189" i="2"/>
  <c r="OQ189" i="2"/>
  <c r="OR189" i="2"/>
  <c r="OS189" i="2"/>
  <c r="OT189" i="2"/>
  <c r="OU189" i="2"/>
  <c r="OV189" i="2"/>
  <c r="OW189" i="2"/>
  <c r="OX189" i="2"/>
  <c r="OY189" i="2"/>
  <c r="OZ189" i="2"/>
  <c r="PA189" i="2"/>
  <c r="PB189" i="2"/>
  <c r="PC189" i="2"/>
  <c r="PD189" i="2"/>
  <c r="PE189" i="2"/>
  <c r="PF189" i="2"/>
  <c r="PG189" i="2"/>
  <c r="PH189" i="2"/>
  <c r="PI189" i="2"/>
  <c r="PJ189" i="2"/>
  <c r="PK189" i="2"/>
  <c r="PL189" i="2"/>
  <c r="PM189" i="2"/>
  <c r="PN189" i="2"/>
  <c r="PO189" i="2"/>
  <c r="IZ188" i="2"/>
  <c r="JA188" i="2"/>
  <c r="JB188" i="2"/>
  <c r="JC188" i="2"/>
  <c r="JD188" i="2"/>
  <c r="JE188" i="2"/>
  <c r="JF188" i="2"/>
  <c r="JG188" i="2"/>
  <c r="JH188" i="2"/>
  <c r="JI188" i="2"/>
  <c r="JJ188" i="2"/>
  <c r="JJ189" i="2"/>
  <c r="JK188" i="2"/>
  <c r="JK189" i="2"/>
  <c r="JL188" i="2"/>
  <c r="JM188" i="2"/>
  <c r="JN188" i="2"/>
  <c r="JO188" i="2"/>
  <c r="JP188" i="2"/>
  <c r="JQ188" i="2"/>
  <c r="JR188" i="2"/>
  <c r="JS188" i="2"/>
  <c r="JT188" i="2"/>
  <c r="JU188" i="2"/>
  <c r="JV188" i="2"/>
  <c r="JV189" i="2"/>
  <c r="JW188" i="2"/>
  <c r="JW189" i="2"/>
  <c r="JX188" i="2"/>
  <c r="JY188" i="2"/>
  <c r="JZ188" i="2"/>
  <c r="KA188" i="2"/>
  <c r="KB188" i="2"/>
  <c r="KC188" i="2"/>
  <c r="KD188" i="2"/>
  <c r="KE188" i="2"/>
  <c r="KF188" i="2"/>
  <c r="KG188" i="2"/>
  <c r="KH188" i="2"/>
  <c r="KH189" i="2"/>
  <c r="KI188" i="2"/>
  <c r="KI189" i="2"/>
  <c r="KJ188" i="2"/>
  <c r="KK188" i="2"/>
  <c r="KL188" i="2"/>
  <c r="KM188" i="2"/>
  <c r="KN188" i="2"/>
  <c r="KO188" i="2"/>
  <c r="KP188" i="2"/>
  <c r="KQ188" i="2"/>
  <c r="KR188" i="2"/>
  <c r="KS188" i="2"/>
  <c r="KT188" i="2"/>
  <c r="KT189" i="2"/>
  <c r="KU188" i="2"/>
  <c r="KU189" i="2"/>
  <c r="KV188" i="2"/>
  <c r="KW188" i="2"/>
  <c r="KX188" i="2"/>
  <c r="KY188" i="2"/>
  <c r="KZ188" i="2"/>
  <c r="LA188" i="2"/>
  <c r="LB188" i="2"/>
  <c r="LC188" i="2"/>
  <c r="LD188" i="2"/>
  <c r="LE188" i="2"/>
  <c r="LF188" i="2"/>
  <c r="LF189" i="2"/>
  <c r="LG188" i="2"/>
  <c r="LG189" i="2"/>
  <c r="LH188" i="2"/>
  <c r="LI188" i="2"/>
  <c r="LJ188" i="2"/>
  <c r="LK188" i="2"/>
  <c r="LL188" i="2"/>
  <c r="LN188" i="2"/>
  <c r="LO188" i="2"/>
  <c r="LP188" i="2"/>
  <c r="LQ188" i="2"/>
  <c r="LR188" i="2"/>
  <c r="LR189" i="2"/>
  <c r="LS188" i="2"/>
  <c r="LS189" i="2"/>
  <c r="LT188" i="2"/>
  <c r="LU188" i="2"/>
  <c r="LV188" i="2"/>
  <c r="LW188" i="2"/>
  <c r="LX188" i="2"/>
  <c r="LY188" i="2"/>
  <c r="LZ188" i="2"/>
  <c r="MA188" i="2"/>
  <c r="MB188" i="2"/>
  <c r="MC188" i="2"/>
  <c r="MD188" i="2"/>
  <c r="MD189" i="2"/>
  <c r="ME188" i="2"/>
  <c r="ME189" i="2"/>
  <c r="MF188" i="2"/>
  <c r="IZ189" i="2"/>
  <c r="JA189" i="2"/>
  <c r="JB189" i="2"/>
  <c r="JC189" i="2"/>
  <c r="JD189" i="2"/>
  <c r="JE189" i="2"/>
  <c r="JF189" i="2"/>
  <c r="JG189" i="2"/>
  <c r="JH189" i="2"/>
  <c r="JI189" i="2"/>
  <c r="JL189" i="2"/>
  <c r="JM189" i="2"/>
  <c r="JN189" i="2"/>
  <c r="JO189" i="2"/>
  <c r="JP189" i="2"/>
  <c r="JQ189" i="2"/>
  <c r="JR189" i="2"/>
  <c r="JS189" i="2"/>
  <c r="JT189" i="2"/>
  <c r="JU189" i="2"/>
  <c r="JX189" i="2"/>
  <c r="JY189" i="2"/>
  <c r="JZ189" i="2"/>
  <c r="KA189" i="2"/>
  <c r="KB189" i="2"/>
  <c r="KC189" i="2"/>
  <c r="KD189" i="2"/>
  <c r="KE189" i="2"/>
  <c r="KF189" i="2"/>
  <c r="KG189" i="2"/>
  <c r="KJ189" i="2"/>
  <c r="KK189" i="2"/>
  <c r="KL189" i="2"/>
  <c r="KM189" i="2"/>
  <c r="KN189" i="2"/>
  <c r="KO189" i="2"/>
  <c r="KP189" i="2"/>
  <c r="KQ189" i="2"/>
  <c r="KR189" i="2"/>
  <c r="KS189" i="2"/>
  <c r="KV189" i="2"/>
  <c r="KW189" i="2"/>
  <c r="KX189" i="2"/>
  <c r="KY189" i="2"/>
  <c r="KZ189" i="2"/>
  <c r="LA189" i="2"/>
  <c r="LB189" i="2"/>
  <c r="LC189" i="2"/>
  <c r="LD189" i="2"/>
  <c r="LE189" i="2"/>
  <c r="LH189" i="2"/>
  <c r="LI189" i="2"/>
  <c r="LJ189" i="2"/>
  <c r="LK189" i="2"/>
  <c r="LL189" i="2"/>
  <c r="LM189" i="2"/>
  <c r="LN189" i="2"/>
  <c r="LO189" i="2"/>
  <c r="LP189" i="2"/>
  <c r="LQ189" i="2"/>
  <c r="LT189" i="2"/>
  <c r="LU189" i="2"/>
  <c r="LV189" i="2"/>
  <c r="LW189" i="2"/>
  <c r="LX189" i="2"/>
  <c r="LY189" i="2"/>
  <c r="LZ189" i="2"/>
  <c r="MA189" i="2"/>
  <c r="MB189" i="2"/>
  <c r="MC189" i="2"/>
  <c r="MF189" i="2"/>
  <c r="IY189" i="2"/>
  <c r="IX189" i="2"/>
  <c r="IY188" i="2"/>
  <c r="IX188" i="2"/>
  <c r="IF35" i="2"/>
  <c r="IG35" i="2"/>
  <c r="IH35" i="2"/>
  <c r="II35" i="2"/>
  <c r="IJ35" i="2"/>
  <c r="IK35" i="2"/>
  <c r="IL35" i="2"/>
  <c r="IM35" i="2"/>
  <c r="IN35" i="2"/>
  <c r="IO35" i="2"/>
  <c r="IP35" i="2"/>
  <c r="IQ35" i="2"/>
  <c r="IR35" i="2"/>
  <c r="IS35" i="2"/>
  <c r="IT35" i="2"/>
  <c r="IU35" i="2"/>
  <c r="IV35" i="2"/>
  <c r="IW35" i="2"/>
  <c r="IE35" i="2"/>
  <c r="ID35" i="2"/>
  <c r="GD35" i="2"/>
  <c r="GE35" i="2"/>
  <c r="GF35" i="2"/>
  <c r="GG35" i="2"/>
  <c r="GH35" i="2"/>
  <c r="GI35" i="2"/>
  <c r="GJ35" i="2"/>
  <c r="GK35" i="2"/>
  <c r="GL35" i="2"/>
  <c r="GM35" i="2"/>
  <c r="GN35" i="2"/>
  <c r="GO35" i="2"/>
  <c r="GP35" i="2"/>
  <c r="GQ35" i="2"/>
  <c r="GR35" i="2"/>
  <c r="GS35" i="2"/>
  <c r="GT35" i="2"/>
  <c r="GU35" i="2"/>
  <c r="GV35" i="2"/>
  <c r="GW35" i="2"/>
  <c r="GX35" i="2"/>
  <c r="GY35" i="2"/>
  <c r="GZ35" i="2"/>
  <c r="HA35" i="2"/>
  <c r="HB35" i="2"/>
  <c r="HC35" i="2"/>
  <c r="HD35" i="2"/>
  <c r="HE35" i="2"/>
  <c r="HF35" i="2"/>
  <c r="HG35" i="2"/>
  <c r="HH35" i="2"/>
  <c r="HI35" i="2"/>
  <c r="HJ35" i="2"/>
  <c r="HK35" i="2"/>
  <c r="HL35" i="2"/>
  <c r="HM35" i="2"/>
  <c r="HN35" i="2"/>
  <c r="HO35" i="2"/>
  <c r="HP35" i="2"/>
  <c r="HQ35" i="2"/>
  <c r="HR35" i="2"/>
  <c r="HS35" i="2"/>
  <c r="HT35" i="2"/>
  <c r="HU35" i="2"/>
  <c r="HV35" i="2"/>
  <c r="HW35" i="2"/>
  <c r="HX35" i="2"/>
  <c r="HY35" i="2"/>
  <c r="HZ35" i="2"/>
  <c r="IA35" i="2"/>
  <c r="IB35" i="2"/>
  <c r="IC35" i="2"/>
  <c r="GC35" i="2"/>
  <c r="CA188" i="2"/>
  <c r="CA189" i="2"/>
  <c r="CB188" i="2"/>
  <c r="CC188" i="2"/>
  <c r="CD188" i="2"/>
  <c r="CE188" i="2"/>
  <c r="CF188" i="2"/>
  <c r="CG188" i="2"/>
  <c r="CH188" i="2"/>
  <c r="CI188" i="2"/>
  <c r="CJ188" i="2"/>
  <c r="CK188" i="2"/>
  <c r="CL188" i="2"/>
  <c r="CM188" i="2"/>
  <c r="CN188" i="2"/>
  <c r="CO188" i="2"/>
  <c r="CP188" i="2"/>
  <c r="CQ188" i="2"/>
  <c r="CR188" i="2"/>
  <c r="CS188" i="2"/>
  <c r="CT188" i="2"/>
  <c r="CU188" i="2"/>
  <c r="CV188" i="2"/>
  <c r="CW188" i="2"/>
  <c r="CX188" i="2"/>
  <c r="CY188" i="2"/>
  <c r="CZ188" i="2"/>
  <c r="DA188" i="2"/>
  <c r="DB188" i="2"/>
  <c r="DC188" i="2"/>
  <c r="DD188" i="2"/>
  <c r="DE188" i="2"/>
  <c r="DF188" i="2"/>
  <c r="DG188" i="2"/>
  <c r="DH188" i="2"/>
  <c r="DI188" i="2"/>
  <c r="DJ188" i="2"/>
  <c r="DK188" i="2"/>
  <c r="DL188" i="2"/>
  <c r="DM188" i="2"/>
  <c r="DN188" i="2"/>
  <c r="DO188" i="2"/>
  <c r="DP188" i="2"/>
  <c r="DQ188" i="2"/>
  <c r="DR188" i="2"/>
  <c r="DS188" i="2"/>
  <c r="DT188" i="2"/>
  <c r="DU188" i="2"/>
  <c r="DV188" i="2"/>
  <c r="DW188" i="2"/>
  <c r="DX188" i="2"/>
  <c r="DY188" i="2"/>
  <c r="DZ188" i="2"/>
  <c r="CB189" i="2"/>
  <c r="CC189" i="2"/>
  <c r="CD189" i="2"/>
  <c r="CE189" i="2"/>
  <c r="CF189" i="2"/>
  <c r="CG189" i="2"/>
  <c r="CH189" i="2"/>
  <c r="CI189" i="2"/>
  <c r="CJ189" i="2"/>
  <c r="CK189" i="2"/>
  <c r="CL189" i="2"/>
  <c r="CM189" i="2"/>
  <c r="CN189" i="2"/>
  <c r="CO189" i="2"/>
  <c r="CP189" i="2"/>
  <c r="CQ189" i="2"/>
  <c r="CR189" i="2"/>
  <c r="CS189" i="2"/>
  <c r="CT189" i="2"/>
  <c r="CU189" i="2"/>
  <c r="CV189" i="2"/>
  <c r="CW189" i="2"/>
  <c r="CX189" i="2"/>
  <c r="CY189" i="2"/>
  <c r="CZ189" i="2"/>
  <c r="DA189" i="2"/>
  <c r="DB189" i="2"/>
  <c r="DC189" i="2"/>
  <c r="DD189" i="2"/>
  <c r="DE189" i="2"/>
  <c r="DF189" i="2"/>
  <c r="DG189" i="2"/>
  <c r="DH189" i="2"/>
  <c r="DI189" i="2"/>
  <c r="DJ189" i="2"/>
  <c r="DK189" i="2"/>
  <c r="DL189" i="2"/>
  <c r="DM189" i="2"/>
  <c r="DN189" i="2"/>
  <c r="DO189" i="2"/>
  <c r="DP189" i="2"/>
  <c r="DQ189" i="2"/>
  <c r="DR189" i="2"/>
  <c r="DS189" i="2"/>
  <c r="DT189" i="2"/>
  <c r="DU189" i="2"/>
  <c r="DV189" i="2"/>
  <c r="DW189" i="2"/>
  <c r="DX189" i="2"/>
  <c r="DY189" i="2"/>
  <c r="DZ189" i="2"/>
  <c r="EA189" i="2"/>
  <c r="EA188" i="2"/>
  <c r="ED188" i="2"/>
  <c r="EE188" i="2"/>
  <c r="EF188" i="2"/>
  <c r="EG188" i="2"/>
  <c r="EH188" i="2"/>
  <c r="EI188" i="2"/>
  <c r="EJ188" i="2"/>
  <c r="EK188" i="2"/>
  <c r="EL188" i="2"/>
  <c r="EM188" i="2"/>
  <c r="EN188" i="2"/>
  <c r="EO188" i="2"/>
  <c r="EP188" i="2"/>
  <c r="EQ188" i="2"/>
  <c r="ER188" i="2"/>
  <c r="ES188" i="2"/>
  <c r="ET188" i="2"/>
  <c r="EU188" i="2"/>
  <c r="EV188" i="2"/>
  <c r="EW188" i="2"/>
  <c r="EX188" i="2"/>
  <c r="EY188" i="2"/>
  <c r="EZ188" i="2"/>
  <c r="FA188" i="2"/>
  <c r="FB188" i="2"/>
  <c r="FC188" i="2"/>
  <c r="FD188" i="2"/>
  <c r="FE188" i="2"/>
  <c r="FF188" i="2"/>
  <c r="FG188" i="2"/>
  <c r="FH188" i="2"/>
  <c r="FI188" i="2"/>
  <c r="FJ188" i="2"/>
  <c r="FK188" i="2"/>
  <c r="FL188" i="2"/>
  <c r="FM188" i="2"/>
  <c r="FN188" i="2"/>
  <c r="FO188" i="2"/>
  <c r="FP188" i="2"/>
  <c r="FQ188" i="2"/>
  <c r="FR188" i="2"/>
  <c r="FS188" i="2"/>
  <c r="FT188" i="2"/>
  <c r="FU188" i="2"/>
  <c r="FV188" i="2"/>
  <c r="FW188" i="2"/>
  <c r="FX188" i="2"/>
  <c r="FY188" i="2"/>
  <c r="FZ188" i="2"/>
  <c r="GA188" i="2"/>
  <c r="GB188" i="2"/>
  <c r="ED189" i="2"/>
  <c r="EE189" i="2"/>
  <c r="EF189" i="2"/>
  <c r="EG189" i="2"/>
  <c r="EH189" i="2"/>
  <c r="EI189" i="2"/>
  <c r="EJ189" i="2"/>
  <c r="EK189" i="2"/>
  <c r="EL189" i="2"/>
  <c r="EM189" i="2"/>
  <c r="EN189" i="2"/>
  <c r="EO189" i="2"/>
  <c r="EP189" i="2"/>
  <c r="EQ189" i="2"/>
  <c r="ER189" i="2"/>
  <c r="ES189" i="2"/>
  <c r="ET189" i="2"/>
  <c r="EU189" i="2"/>
  <c r="EV189" i="2"/>
  <c r="EW189" i="2"/>
  <c r="EX189" i="2"/>
  <c r="EY189" i="2"/>
  <c r="EZ189" i="2"/>
  <c r="FA189" i="2"/>
  <c r="FB189" i="2"/>
  <c r="FC189" i="2"/>
  <c r="FD189" i="2"/>
  <c r="FE189" i="2"/>
  <c r="FF189" i="2"/>
  <c r="FG189" i="2"/>
  <c r="FH189" i="2"/>
  <c r="FI189" i="2"/>
  <c r="FJ189" i="2"/>
  <c r="FK189" i="2"/>
  <c r="FL189" i="2"/>
  <c r="FM189" i="2"/>
  <c r="FN189" i="2"/>
  <c r="FO189" i="2"/>
  <c r="FP189" i="2"/>
  <c r="FQ189" i="2"/>
  <c r="FR189" i="2"/>
  <c r="FS189" i="2"/>
  <c r="FT189" i="2"/>
  <c r="FU189" i="2"/>
  <c r="FV189" i="2"/>
  <c r="FW189" i="2"/>
  <c r="FX189" i="2"/>
  <c r="FY189" i="2"/>
  <c r="FZ189" i="2"/>
  <c r="GA189" i="2"/>
  <c r="GB189" i="2"/>
  <c r="EC189" i="2"/>
  <c r="EB189" i="2"/>
  <c r="AGI189" i="2"/>
  <c r="AGI188" i="2"/>
  <c r="EC188" i="2"/>
  <c r="EB188" i="2"/>
  <c r="AGK189" i="2"/>
  <c r="AGL189" i="2"/>
  <c r="AGM189" i="2"/>
  <c r="AGN189" i="2"/>
  <c r="AGO189" i="2"/>
  <c r="AGP189" i="2"/>
  <c r="AGQ189" i="2"/>
  <c r="AGR189" i="2"/>
  <c r="AGS189" i="2"/>
  <c r="AGT189" i="2"/>
  <c r="AGU189" i="2"/>
  <c r="AGV189" i="2"/>
  <c r="AGW189" i="2"/>
  <c r="AGX189" i="2"/>
  <c r="AGY189" i="2"/>
  <c r="AGZ189" i="2"/>
  <c r="AHA189" i="2"/>
  <c r="AHB189" i="2"/>
  <c r="AHC189" i="2"/>
  <c r="AHD189" i="2"/>
  <c r="AHE189" i="2"/>
  <c r="AHF189" i="2"/>
  <c r="AHG189" i="2"/>
  <c r="AHH189" i="2"/>
  <c r="AHI189" i="2"/>
  <c r="AHJ189" i="2"/>
  <c r="AHK189" i="2"/>
  <c r="AHL189" i="2"/>
  <c r="AHM189" i="2"/>
  <c r="AHN189" i="2"/>
  <c r="AHO189" i="2"/>
  <c r="AHP189" i="2"/>
  <c r="AHQ189" i="2"/>
  <c r="AHR189" i="2"/>
  <c r="AHS189" i="2"/>
  <c r="AHT189" i="2"/>
  <c r="AHU189" i="2"/>
  <c r="AHV189" i="2"/>
  <c r="AHW189" i="2"/>
  <c r="AHX189" i="2"/>
  <c r="AHY189" i="2"/>
  <c r="AHZ189" i="2"/>
  <c r="AIA189" i="2"/>
  <c r="AIB189" i="2"/>
  <c r="AIC189" i="2"/>
  <c r="AID189" i="2"/>
  <c r="AIE189" i="2"/>
  <c r="AIF189" i="2"/>
  <c r="AIG189" i="2"/>
  <c r="AIH189" i="2"/>
  <c r="AII189" i="2"/>
  <c r="AIJ189" i="2"/>
  <c r="AIK189" i="2"/>
  <c r="AIL189" i="2"/>
  <c r="AIM189" i="2"/>
  <c r="AIN189" i="2"/>
  <c r="AIO189" i="2"/>
  <c r="AIP189" i="2"/>
  <c r="AIQ189" i="2"/>
  <c r="AIR189" i="2"/>
  <c r="AIS189" i="2"/>
  <c r="AIT189" i="2"/>
  <c r="AIU189" i="2"/>
  <c r="AIV189" i="2"/>
  <c r="AIW189" i="2"/>
  <c r="AIX189" i="2"/>
  <c r="AIY189" i="2"/>
  <c r="AIZ189" i="2"/>
  <c r="AJA189" i="2"/>
  <c r="AJB189" i="2"/>
  <c r="AJC189" i="2"/>
  <c r="AJD189" i="2"/>
  <c r="AJE189" i="2"/>
  <c r="AJF189" i="2"/>
  <c r="AJG189" i="2"/>
  <c r="AJH189" i="2"/>
  <c r="AJI189" i="2"/>
  <c r="AJJ189" i="2"/>
  <c r="AJK189" i="2"/>
  <c r="AJL189" i="2"/>
  <c r="AJM189" i="2"/>
  <c r="AJN189" i="2"/>
  <c r="AJO189" i="2"/>
  <c r="AJP189" i="2"/>
  <c r="AJQ189" i="2"/>
  <c r="AGJ189" i="2"/>
  <c r="AGK188" i="2"/>
  <c r="AGL188" i="2"/>
  <c r="AGM188" i="2"/>
  <c r="AGN188" i="2"/>
  <c r="AGO188" i="2"/>
  <c r="AGP188" i="2"/>
  <c r="AGQ188" i="2"/>
  <c r="AGR188" i="2"/>
  <c r="AGS188" i="2"/>
  <c r="AGT188" i="2"/>
  <c r="AGU188" i="2"/>
  <c r="AGV188" i="2"/>
  <c r="AGW188" i="2"/>
  <c r="AGX188" i="2"/>
  <c r="AGY188" i="2"/>
  <c r="AGZ188" i="2"/>
  <c r="AHA188" i="2"/>
  <c r="AHB188" i="2"/>
  <c r="AHC188" i="2"/>
  <c r="AHD188" i="2"/>
  <c r="AHE188" i="2"/>
  <c r="AHF188" i="2"/>
  <c r="AHG188" i="2"/>
  <c r="AHH188" i="2"/>
  <c r="AHI188" i="2"/>
  <c r="AHJ188" i="2"/>
  <c r="AHK188" i="2"/>
  <c r="AHL188" i="2"/>
  <c r="AHM188" i="2"/>
  <c r="AHN188" i="2"/>
  <c r="AHO188" i="2"/>
  <c r="AHP188" i="2"/>
  <c r="AHQ188" i="2"/>
  <c r="AHR188" i="2"/>
  <c r="AHS188" i="2"/>
  <c r="AHT188" i="2"/>
  <c r="AHU188" i="2"/>
  <c r="AHV188" i="2"/>
  <c r="AHW188" i="2"/>
  <c r="AHX188" i="2"/>
  <c r="AHY188" i="2"/>
  <c r="AHZ188" i="2"/>
  <c r="AIA188" i="2"/>
  <c r="AIB188" i="2"/>
  <c r="AIC188" i="2"/>
  <c r="AID188" i="2"/>
  <c r="AIE188" i="2"/>
  <c r="AIF188" i="2"/>
  <c r="AIG188" i="2"/>
  <c r="AIH188" i="2"/>
  <c r="AII188" i="2"/>
  <c r="AIJ188" i="2"/>
  <c r="AIK188" i="2"/>
  <c r="AIL188" i="2"/>
  <c r="AIM188" i="2"/>
  <c r="AIN188" i="2"/>
  <c r="AIO188" i="2"/>
  <c r="AIP188" i="2"/>
  <c r="AIQ188" i="2"/>
  <c r="AIR188" i="2"/>
  <c r="AIS188" i="2"/>
  <c r="AIT188" i="2"/>
  <c r="AIU188" i="2"/>
  <c r="AIV188" i="2"/>
  <c r="AIW188" i="2"/>
  <c r="AIX188" i="2"/>
  <c r="AIY188" i="2"/>
  <c r="AIZ188" i="2"/>
  <c r="AJA188" i="2"/>
  <c r="AJB188" i="2"/>
  <c r="AJC188" i="2"/>
  <c r="AJD188" i="2"/>
  <c r="AJE188" i="2"/>
  <c r="AJF188" i="2"/>
  <c r="AJG188" i="2"/>
  <c r="AJH188" i="2"/>
  <c r="AJI188" i="2"/>
  <c r="AJJ188" i="2"/>
  <c r="AJK188" i="2"/>
  <c r="AJL188" i="2"/>
  <c r="AJM188" i="2"/>
  <c r="AJN188" i="2"/>
  <c r="AJO188" i="2"/>
  <c r="AJP188" i="2"/>
  <c r="AJQ188" i="2"/>
  <c r="AGJ188" i="2"/>
  <c r="BZ47" i="2"/>
  <c r="BZ48" i="2" s="1"/>
  <c r="BY47" i="2"/>
  <c r="BY48" i="2" s="1"/>
  <c r="BX47" i="2"/>
  <c r="BX48" i="2" s="1"/>
  <c r="BS35" i="2"/>
  <c r="BT35" i="2"/>
  <c r="BU35" i="2"/>
  <c r="BV35" i="2"/>
  <c r="BW35" i="2"/>
  <c r="BX35" i="2"/>
  <c r="BX76" i="2" s="1"/>
  <c r="BY35" i="2"/>
  <c r="BY76" i="2" s="1"/>
  <c r="BZ35" i="2"/>
  <c r="BZ76" i="2" s="1"/>
  <c r="BR35" i="2"/>
  <c r="BR48" i="2"/>
  <c r="BR188" i="2" s="1"/>
  <c r="BR112" i="2" s="1"/>
  <c r="BS48" i="2"/>
  <c r="BS188" i="2" s="1"/>
  <c r="BT48" i="2"/>
  <c r="BT188" i="2" s="1"/>
  <c r="BU48" i="2"/>
  <c r="BU188" i="2" s="1"/>
  <c r="BU112" i="2" s="1"/>
  <c r="BV48" i="2"/>
  <c r="BV188" i="2" s="1"/>
  <c r="BV112" i="2" s="1"/>
  <c r="BW48" i="2"/>
  <c r="BW188" i="2" s="1"/>
  <c r="BW112" i="2" s="1"/>
  <c r="BQ48" i="2"/>
  <c r="BQ188" i="2" s="1"/>
  <c r="D35" i="2"/>
  <c r="E35" i="2"/>
  <c r="F35" i="2"/>
  <c r="G35" i="2"/>
  <c r="H35" i="2"/>
  <c r="I35" i="2"/>
  <c r="J35" i="2"/>
  <c r="K35" i="2"/>
  <c r="L35" i="2"/>
  <c r="M35" i="2"/>
  <c r="N35" i="2"/>
  <c r="O35" i="2"/>
  <c r="P35" i="2"/>
  <c r="Q35" i="2"/>
  <c r="R35" i="2"/>
  <c r="S35" i="2"/>
  <c r="T35" i="2"/>
  <c r="U35" i="2"/>
  <c r="V35" i="2"/>
  <c r="W35" i="2"/>
  <c r="X35" i="2"/>
  <c r="Y35" i="2"/>
  <c r="Z35" i="2"/>
  <c r="AA35" i="2"/>
  <c r="AB35" i="2"/>
  <c r="AC35" i="2"/>
  <c r="AD35" i="2"/>
  <c r="AE35" i="2"/>
  <c r="AF35" i="2"/>
  <c r="AG35" i="2"/>
  <c r="AH35" i="2"/>
  <c r="AI35" i="2"/>
  <c r="AJ35" i="2"/>
  <c r="AK35" i="2"/>
  <c r="AL35" i="2"/>
  <c r="AM35" i="2"/>
  <c r="AN35" i="2"/>
  <c r="AO35" i="2"/>
  <c r="AP35" i="2"/>
  <c r="AQ35" i="2"/>
  <c r="AR35" i="2"/>
  <c r="AS35" i="2"/>
  <c r="AT35" i="2"/>
  <c r="AU35" i="2"/>
  <c r="AV35" i="2"/>
  <c r="AW35" i="2"/>
  <c r="AX35" i="2"/>
  <c r="AY35" i="2"/>
  <c r="AZ35" i="2"/>
  <c r="BA35" i="2"/>
  <c r="BB35" i="2"/>
  <c r="BC35" i="2"/>
  <c r="BD35" i="2"/>
  <c r="BE35" i="2"/>
  <c r="BF35" i="2"/>
  <c r="BG35" i="2"/>
  <c r="BH35" i="2"/>
  <c r="BI35" i="2"/>
  <c r="BJ35" i="2"/>
  <c r="BK35" i="2"/>
  <c r="BL35" i="2"/>
  <c r="BM35" i="2"/>
  <c r="BN35" i="2"/>
  <c r="BO35" i="2"/>
  <c r="BP35" i="2"/>
  <c r="BQ35" i="2"/>
  <c r="S190" i="2"/>
  <c r="S191" i="2" s="1"/>
  <c r="R190" i="2"/>
  <c r="R191" i="2" s="1"/>
  <c r="Q190" i="2"/>
  <c r="Q191" i="2" s="1"/>
  <c r="P190" i="2"/>
  <c r="P191" i="2" s="1"/>
  <c r="O190" i="2"/>
  <c r="O191" i="2" s="1"/>
  <c r="N190" i="2"/>
  <c r="N191" i="2" s="1"/>
  <c r="L190" i="2"/>
  <c r="L191" i="2" s="1"/>
  <c r="K188" i="2"/>
  <c r="K190" i="2" s="1"/>
  <c r="K191" i="2" s="1"/>
  <c r="J188" i="2"/>
  <c r="J190" i="2" s="1"/>
  <c r="J191" i="2" s="1"/>
  <c r="I188" i="2"/>
  <c r="I190" i="2" s="1"/>
  <c r="I191" i="2" s="1"/>
  <c r="H188" i="2"/>
  <c r="H190" i="2" s="1"/>
  <c r="H191" i="2" s="1"/>
  <c r="BO76" i="2"/>
  <c r="BN76" i="2"/>
  <c r="D76" i="2"/>
  <c r="BM48" i="2"/>
  <c r="BM188" i="2" s="1"/>
  <c r="BM112" i="2" s="1"/>
  <c r="BL48" i="2"/>
  <c r="BL188" i="2" s="1"/>
  <c r="BL112" i="2" s="1"/>
  <c r="BL190" i="2" s="1"/>
  <c r="BL191" i="2" s="1"/>
  <c r="BK48" i="2"/>
  <c r="BK188" i="2" s="1"/>
  <c r="BK112" i="2" s="1"/>
  <c r="BJ48" i="2"/>
  <c r="BJ188" i="2" s="1"/>
  <c r="BJ112" i="2" s="1"/>
  <c r="BJ190" i="2" s="1"/>
  <c r="BJ191" i="2" s="1"/>
  <c r="BI48" i="2"/>
  <c r="BI188" i="2" s="1"/>
  <c r="BI112" i="2" s="1"/>
  <c r="BH48" i="2"/>
  <c r="BH188" i="2" s="1"/>
  <c r="BG48" i="2"/>
  <c r="BG188" i="2" s="1"/>
  <c r="BG112" i="2" s="1"/>
  <c r="BF48" i="2"/>
  <c r="BF188" i="2" s="1"/>
  <c r="BF190" i="2" s="1"/>
  <c r="BF191" i="2" s="1"/>
  <c r="BE48" i="2"/>
  <c r="BE188" i="2" s="1"/>
  <c r="BE190" i="2" s="1"/>
  <c r="BE191" i="2" s="1"/>
  <c r="BD48" i="2"/>
  <c r="BD188" i="2" s="1"/>
  <c r="BD190" i="2" s="1"/>
  <c r="BD191" i="2" s="1"/>
  <c r="BC48" i="2"/>
  <c r="BC188" i="2" s="1"/>
  <c r="BC190" i="2" s="1"/>
  <c r="BC191" i="2" s="1"/>
  <c r="BB48" i="2"/>
  <c r="BB188" i="2" s="1"/>
  <c r="BB190" i="2" s="1"/>
  <c r="BB191" i="2" s="1"/>
  <c r="BA48" i="2"/>
  <c r="BA188" i="2" s="1"/>
  <c r="BA190" i="2" s="1"/>
  <c r="BA191" i="2" s="1"/>
  <c r="AZ48" i="2"/>
  <c r="AZ188" i="2" s="1"/>
  <c r="AZ190" i="2" s="1"/>
  <c r="AZ191" i="2" s="1"/>
  <c r="AY48" i="2"/>
  <c r="AY188" i="2" s="1"/>
  <c r="AY190" i="2" s="1"/>
  <c r="AY191" i="2" s="1"/>
  <c r="AX48" i="2"/>
  <c r="AX188" i="2" s="1"/>
  <c r="AX190" i="2" s="1"/>
  <c r="AX191" i="2" s="1"/>
  <c r="AW48" i="2"/>
  <c r="AW188" i="2" s="1"/>
  <c r="AW190" i="2" s="1"/>
  <c r="AW191" i="2" s="1"/>
  <c r="AV48" i="2"/>
  <c r="AV188" i="2" s="1"/>
  <c r="AV190" i="2" s="1"/>
  <c r="AV191" i="2" s="1"/>
  <c r="AU48" i="2"/>
  <c r="AU188" i="2" s="1"/>
  <c r="AU190" i="2" s="1"/>
  <c r="AU191" i="2" s="1"/>
  <c r="AT48" i="2"/>
  <c r="AT188" i="2" s="1"/>
  <c r="AT190" i="2" s="1"/>
  <c r="AT191" i="2" s="1"/>
  <c r="AS48" i="2"/>
  <c r="AS188" i="2" s="1"/>
  <c r="AS190" i="2" s="1"/>
  <c r="AS191" i="2" s="1"/>
  <c r="AR48" i="2"/>
  <c r="AR188" i="2" s="1"/>
  <c r="AR190" i="2" s="1"/>
  <c r="AR191" i="2" s="1"/>
  <c r="AQ48" i="2"/>
  <c r="AQ188" i="2" s="1"/>
  <c r="AQ190" i="2" s="1"/>
  <c r="AQ191" i="2" s="1"/>
  <c r="AP48" i="2"/>
  <c r="AP188" i="2" s="1"/>
  <c r="AP190" i="2" s="1"/>
  <c r="AP191" i="2" s="1"/>
  <c r="AO48" i="2"/>
  <c r="AO188" i="2" s="1"/>
  <c r="AO190" i="2" s="1"/>
  <c r="AO191" i="2" s="1"/>
  <c r="AN48" i="2"/>
  <c r="AN188" i="2" s="1"/>
  <c r="AN190" i="2" s="1"/>
  <c r="AN191" i="2" s="1"/>
  <c r="AM48" i="2"/>
  <c r="AM188" i="2" s="1"/>
  <c r="AM190" i="2" s="1"/>
  <c r="AM191" i="2" s="1"/>
  <c r="AL48" i="2"/>
  <c r="AL188" i="2" s="1"/>
  <c r="AL190" i="2" s="1"/>
  <c r="AL191" i="2" s="1"/>
  <c r="AK48" i="2"/>
  <c r="AK188" i="2" s="1"/>
  <c r="AK190" i="2" s="1"/>
  <c r="AK191" i="2" s="1"/>
  <c r="AJ48" i="2"/>
  <c r="AJ188" i="2" s="1"/>
  <c r="AJ190" i="2" s="1"/>
  <c r="AJ191" i="2" s="1"/>
  <c r="AI48" i="2"/>
  <c r="AI188" i="2" s="1"/>
  <c r="AI190" i="2" s="1"/>
  <c r="AI191" i="2" s="1"/>
  <c r="AH48" i="2"/>
  <c r="AH188" i="2" s="1"/>
  <c r="AH190" i="2" s="1"/>
  <c r="AH191" i="2" s="1"/>
  <c r="AG48" i="2"/>
  <c r="AG188" i="2" s="1"/>
  <c r="AG190" i="2" s="1"/>
  <c r="AG191" i="2" s="1"/>
  <c r="AF48" i="2"/>
  <c r="AF188" i="2" s="1"/>
  <c r="AF190" i="2" s="1"/>
  <c r="AF191" i="2" s="1"/>
  <c r="AE48" i="2"/>
  <c r="AE188" i="2" s="1"/>
  <c r="AE190" i="2" s="1"/>
  <c r="AE191" i="2" s="1"/>
  <c r="AD48" i="2"/>
  <c r="AD188" i="2" s="1"/>
  <c r="AD190" i="2" s="1"/>
  <c r="AD191" i="2" s="1"/>
  <c r="AC48" i="2"/>
  <c r="AC188" i="2" s="1"/>
  <c r="AC190" i="2" s="1"/>
  <c r="AC191" i="2" s="1"/>
  <c r="AB48" i="2"/>
  <c r="AB188" i="2" s="1"/>
  <c r="AB190" i="2" s="1"/>
  <c r="AB191" i="2" s="1"/>
  <c r="AA48" i="2"/>
  <c r="AA188" i="2" s="1"/>
  <c r="AA190" i="2" s="1"/>
  <c r="AA191" i="2" s="1"/>
  <c r="Z48" i="2"/>
  <c r="Z188" i="2" s="1"/>
  <c r="Z190" i="2" s="1"/>
  <c r="Z191" i="2" s="1"/>
  <c r="Y48" i="2"/>
  <c r="Y188" i="2" s="1"/>
  <c r="Y190" i="2" s="1"/>
  <c r="Y191" i="2" s="1"/>
  <c r="X48" i="2"/>
  <c r="X188" i="2" s="1"/>
  <c r="X190" i="2" s="1"/>
  <c r="X191" i="2" s="1"/>
  <c r="W48" i="2"/>
  <c r="W188" i="2" s="1"/>
  <c r="W190" i="2" s="1"/>
  <c r="W191" i="2" s="1"/>
  <c r="V48" i="2"/>
  <c r="V188" i="2" s="1"/>
  <c r="V190" i="2" s="1"/>
  <c r="V191" i="2" s="1"/>
  <c r="U48" i="2"/>
  <c r="U188" i="2" s="1"/>
  <c r="U190" i="2" s="1"/>
  <c r="U191" i="2" s="1"/>
  <c r="T48" i="2"/>
  <c r="T188" i="2" s="1"/>
  <c r="T190" i="2" s="1"/>
  <c r="T191" i="2" s="1"/>
  <c r="S47" i="2"/>
  <c r="R47" i="2"/>
  <c r="Q47" i="2"/>
  <c r="P47" i="2"/>
  <c r="O47" i="2"/>
  <c r="N47" i="2"/>
  <c r="G48" i="2"/>
  <c r="G188" i="2" s="1"/>
  <c r="G190" i="2" s="1"/>
  <c r="G191" i="2" s="1"/>
  <c r="F48" i="2"/>
  <c r="F188" i="2" s="1"/>
  <c r="F190" i="2" s="1"/>
  <c r="F191" i="2" s="1"/>
  <c r="E48" i="2"/>
  <c r="E188" i="2" s="1"/>
  <c r="E190" i="2" s="1"/>
  <c r="E191" i="2" s="1"/>
  <c r="D48" i="2"/>
  <c r="BP47" i="2"/>
  <c r="BP48" i="2" s="1"/>
  <c r="BP188" i="2" s="1"/>
  <c r="BP112" i="2" s="1"/>
  <c r="BP190" i="2" s="1"/>
  <c r="BP191" i="2" s="1"/>
  <c r="BO47" i="2"/>
  <c r="BO48" i="2" s="1"/>
  <c r="BN47" i="2"/>
  <c r="BN48" i="2" s="1"/>
  <c r="L47" i="2"/>
  <c r="K47" i="2"/>
  <c r="J47" i="2"/>
  <c r="I47" i="2"/>
  <c r="H47" i="2"/>
  <c r="D188" i="2" l="1"/>
  <c r="LM190" i="2"/>
  <c r="LM191" i="2" s="1"/>
  <c r="ZJ190" i="2"/>
  <c r="ZJ191" i="2" s="1"/>
  <c r="YX190" i="2"/>
  <c r="YX191" i="2" s="1"/>
  <c r="YL190" i="2"/>
  <c r="YL191" i="2" s="1"/>
  <c r="XZ190" i="2"/>
  <c r="XZ191" i="2" s="1"/>
  <c r="XN190" i="2"/>
  <c r="XN191" i="2" s="1"/>
  <c r="WP190" i="2"/>
  <c r="WP191" i="2" s="1"/>
  <c r="SN190" i="2"/>
  <c r="SN191" i="2" s="1"/>
  <c r="PT190" i="2"/>
  <c r="PT191" i="2" s="1"/>
  <c r="KG190" i="2"/>
  <c r="KG191" i="2" s="1"/>
  <c r="MF190" i="2"/>
  <c r="MF191" i="2" s="1"/>
  <c r="ZE190" i="2"/>
  <c r="ZE191" i="2" s="1"/>
  <c r="YG190" i="2"/>
  <c r="YG191" i="2" s="1"/>
  <c r="XU190" i="2"/>
  <c r="XU191" i="2" s="1"/>
  <c r="XI190" i="2"/>
  <c r="XI191" i="2" s="1"/>
  <c r="WW190" i="2"/>
  <c r="WW191" i="2" s="1"/>
  <c r="WK190" i="2"/>
  <c r="WK191" i="2" s="1"/>
  <c r="JA190" i="2"/>
  <c r="JA191" i="2" s="1"/>
  <c r="CA190" i="2"/>
  <c r="CA191" i="2" s="1"/>
  <c r="SV190" i="2"/>
  <c r="SV191" i="2" s="1"/>
  <c r="SJ190" i="2"/>
  <c r="SJ191" i="2" s="1"/>
  <c r="RX190" i="2"/>
  <c r="RX191" i="2" s="1"/>
  <c r="RL190" i="2"/>
  <c r="RL191" i="2" s="1"/>
  <c r="QZ190" i="2"/>
  <c r="QZ191" i="2" s="1"/>
  <c r="QN190" i="2"/>
  <c r="QN191" i="2" s="1"/>
  <c r="QB190" i="2"/>
  <c r="QB191" i="2" s="1"/>
  <c r="ST190" i="2"/>
  <c r="ST191" i="2" s="1"/>
  <c r="SH190" i="2"/>
  <c r="SH191" i="2" s="1"/>
  <c r="RV190" i="2"/>
  <c r="RV191" i="2" s="1"/>
  <c r="RJ190" i="2"/>
  <c r="RJ191" i="2" s="1"/>
  <c r="QX190" i="2"/>
  <c r="QX191" i="2" s="1"/>
  <c r="QL190" i="2"/>
  <c r="QL191" i="2" s="1"/>
  <c r="SC190" i="2"/>
  <c r="SC191" i="2" s="1"/>
  <c r="ZF190" i="2"/>
  <c r="ZF191" i="2" s="1"/>
  <c r="YT190" i="2"/>
  <c r="YT191" i="2" s="1"/>
  <c r="YH190" i="2"/>
  <c r="YH191" i="2" s="1"/>
  <c r="XV190" i="2"/>
  <c r="XV191" i="2" s="1"/>
  <c r="XJ190" i="2"/>
  <c r="XJ191" i="2" s="1"/>
  <c r="WX190" i="2"/>
  <c r="WX191" i="2" s="1"/>
  <c r="WL190" i="2"/>
  <c r="WL191" i="2" s="1"/>
  <c r="IY190" i="2"/>
  <c r="IY191" i="2" s="1"/>
  <c r="XH190" i="2"/>
  <c r="XH191" i="2" s="1"/>
  <c r="WV190" i="2"/>
  <c r="WV191" i="2" s="1"/>
  <c r="KL190" i="2"/>
  <c r="KL191" i="2" s="1"/>
  <c r="ZL190" i="2"/>
  <c r="ZL191" i="2" s="1"/>
  <c r="YZ190" i="2"/>
  <c r="YZ191" i="2" s="1"/>
  <c r="YN190" i="2"/>
  <c r="YN191" i="2" s="1"/>
  <c r="YB190" i="2"/>
  <c r="YB191" i="2" s="1"/>
  <c r="XP190" i="2"/>
  <c r="XP191" i="2" s="1"/>
  <c r="XD190" i="2"/>
  <c r="XD191" i="2" s="1"/>
  <c r="ZH190" i="2"/>
  <c r="ZH191" i="2" s="1"/>
  <c r="YV190" i="2"/>
  <c r="YV191" i="2" s="1"/>
  <c r="YJ190" i="2"/>
  <c r="YJ191" i="2" s="1"/>
  <c r="XX190" i="2"/>
  <c r="XX191" i="2" s="1"/>
  <c r="XL190" i="2"/>
  <c r="XL191" i="2" s="1"/>
  <c r="WZ190" i="2"/>
  <c r="WZ191" i="2" s="1"/>
  <c r="WN190" i="2"/>
  <c r="WN191" i="2" s="1"/>
  <c r="CU190" i="2"/>
  <c r="CU191" i="2" s="1"/>
  <c r="CI190" i="2"/>
  <c r="CI191" i="2" s="1"/>
  <c r="WM190" i="2"/>
  <c r="WM191" i="2" s="1"/>
  <c r="EN190" i="2"/>
  <c r="EN191" i="2" s="1"/>
  <c r="PS190" i="2"/>
  <c r="PS191" i="2" s="1"/>
  <c r="MB190" i="2"/>
  <c r="MB191" i="2" s="1"/>
  <c r="DV190" i="2"/>
  <c r="DV191" i="2" s="1"/>
  <c r="DJ190" i="2"/>
  <c r="DJ191" i="2" s="1"/>
  <c r="CX190" i="2"/>
  <c r="CX191" i="2" s="1"/>
  <c r="CL190" i="2"/>
  <c r="CL191" i="2" s="1"/>
  <c r="JG190" i="2"/>
  <c r="JG191" i="2" s="1"/>
  <c r="AGI190" i="2"/>
  <c r="AGI191" i="2" s="1"/>
  <c r="FT190" i="2"/>
  <c r="FT191" i="2" s="1"/>
  <c r="YW190" i="2"/>
  <c r="YW191" i="2" s="1"/>
  <c r="YK190" i="2"/>
  <c r="YK191" i="2" s="1"/>
  <c r="EU190" i="2"/>
  <c r="EU191" i="2" s="1"/>
  <c r="DD190" i="2"/>
  <c r="DD191" i="2" s="1"/>
  <c r="CZ190" i="2"/>
  <c r="CZ191" i="2" s="1"/>
  <c r="WJ190" i="2"/>
  <c r="WJ191" i="2" s="1"/>
  <c r="AGW190" i="2"/>
  <c r="AGW191" i="2" s="1"/>
  <c r="WE190" i="2"/>
  <c r="WE191" i="2" s="1"/>
  <c r="VS190" i="2"/>
  <c r="VS191" i="2" s="1"/>
  <c r="VG190" i="2"/>
  <c r="VG191" i="2" s="1"/>
  <c r="UI190" i="2"/>
  <c r="UI191" i="2" s="1"/>
  <c r="TW190" i="2"/>
  <c r="TW191" i="2" s="1"/>
  <c r="PV190" i="2"/>
  <c r="PV191" i="2" s="1"/>
  <c r="DW190" i="2"/>
  <c r="DW191" i="2" s="1"/>
  <c r="JI190" i="2"/>
  <c r="JI191" i="2" s="1"/>
  <c r="SM190" i="2"/>
  <c r="SM191" i="2" s="1"/>
  <c r="SA190" i="2"/>
  <c r="SA191" i="2" s="1"/>
  <c r="RO190" i="2"/>
  <c r="RO191" i="2" s="1"/>
  <c r="RC190" i="2"/>
  <c r="RC191" i="2" s="1"/>
  <c r="QQ190" i="2"/>
  <c r="QQ191" i="2" s="1"/>
  <c r="QE190" i="2"/>
  <c r="QE191" i="2" s="1"/>
  <c r="WA190" i="2"/>
  <c r="WA191" i="2" s="1"/>
  <c r="VO190" i="2"/>
  <c r="VO191" i="2" s="1"/>
  <c r="VC190" i="2"/>
  <c r="VC191" i="2" s="1"/>
  <c r="UQ190" i="2"/>
  <c r="UQ191" i="2" s="1"/>
  <c r="UE190" i="2"/>
  <c r="UE191" i="2" s="1"/>
  <c r="TS190" i="2"/>
  <c r="TS191" i="2" s="1"/>
  <c r="QO190" i="2"/>
  <c r="QO191" i="2" s="1"/>
  <c r="QC190" i="2"/>
  <c r="QC191" i="2" s="1"/>
  <c r="PB190" i="2"/>
  <c r="PB191" i="2" s="1"/>
  <c r="OP190" i="2"/>
  <c r="OP191" i="2" s="1"/>
  <c r="OD190" i="2"/>
  <c r="OD191" i="2" s="1"/>
  <c r="NR190" i="2"/>
  <c r="NR191" i="2" s="1"/>
  <c r="NF190" i="2"/>
  <c r="NF191" i="2" s="1"/>
  <c r="MT190" i="2"/>
  <c r="MT191" i="2" s="1"/>
  <c r="MH190" i="2"/>
  <c r="MH191" i="2" s="1"/>
  <c r="MG190" i="2"/>
  <c r="MG191" i="2" s="1"/>
  <c r="PZ190" i="2"/>
  <c r="PZ191" i="2" s="1"/>
  <c r="EB190" i="2"/>
  <c r="EB191" i="2" s="1"/>
  <c r="FY190" i="2"/>
  <c r="FY191" i="2" s="1"/>
  <c r="FM190" i="2"/>
  <c r="FM191" i="2" s="1"/>
  <c r="EA190" i="2"/>
  <c r="EA191" i="2" s="1"/>
  <c r="DP190" i="2"/>
  <c r="DP191" i="2" s="1"/>
  <c r="CV190" i="2"/>
  <c r="CV191" i="2" s="1"/>
  <c r="CJ190" i="2"/>
  <c r="CJ191" i="2" s="1"/>
  <c r="IX190" i="2"/>
  <c r="IX191" i="2" s="1"/>
  <c r="VH190" i="2"/>
  <c r="VH191" i="2" s="1"/>
  <c r="UV190" i="2"/>
  <c r="UV191" i="2" s="1"/>
  <c r="UJ190" i="2"/>
  <c r="UJ191" i="2" s="1"/>
  <c r="TX190" i="2"/>
  <c r="TX191" i="2" s="1"/>
  <c r="TL190" i="2"/>
  <c r="TL191" i="2" s="1"/>
  <c r="ZP190" i="2"/>
  <c r="ZP191" i="2" s="1"/>
  <c r="ZD190" i="2"/>
  <c r="ZD191" i="2" s="1"/>
  <c r="YR190" i="2"/>
  <c r="YR191" i="2" s="1"/>
  <c r="YF190" i="2"/>
  <c r="YF191" i="2" s="1"/>
  <c r="XT190" i="2"/>
  <c r="XT191" i="2" s="1"/>
  <c r="PE190" i="2"/>
  <c r="PE191" i="2" s="1"/>
  <c r="OS190" i="2"/>
  <c r="OS191" i="2" s="1"/>
  <c r="OG190" i="2"/>
  <c r="OG191" i="2" s="1"/>
  <c r="NU190" i="2"/>
  <c r="NU191" i="2" s="1"/>
  <c r="NI190" i="2"/>
  <c r="NI191" i="2" s="1"/>
  <c r="MW190" i="2"/>
  <c r="MW191" i="2" s="1"/>
  <c r="MK190" i="2"/>
  <c r="MK191" i="2" s="1"/>
  <c r="DA190" i="2"/>
  <c r="DA191" i="2" s="1"/>
  <c r="CO190" i="2"/>
  <c r="CO191" i="2" s="1"/>
  <c r="CC190" i="2"/>
  <c r="CC191" i="2" s="1"/>
  <c r="MV190" i="2"/>
  <c r="MV191" i="2" s="1"/>
  <c r="SB190" i="2"/>
  <c r="SB191" i="2" s="1"/>
  <c r="RP190" i="2"/>
  <c r="RP191" i="2" s="1"/>
  <c r="QR190" i="2"/>
  <c r="QR191" i="2" s="1"/>
  <c r="QF190" i="2"/>
  <c r="QF191" i="2" s="1"/>
  <c r="AJI190" i="2"/>
  <c r="AJI191" i="2" s="1"/>
  <c r="AIW190" i="2"/>
  <c r="AIW191" i="2" s="1"/>
  <c r="AIK190" i="2"/>
  <c r="AIK191" i="2" s="1"/>
  <c r="AHY190" i="2"/>
  <c r="AHY191" i="2" s="1"/>
  <c r="AHM190" i="2"/>
  <c r="AHM191" i="2" s="1"/>
  <c r="AHA190" i="2"/>
  <c r="AHA191" i="2" s="1"/>
  <c r="AGO190" i="2"/>
  <c r="AGO191" i="2" s="1"/>
  <c r="CT190" i="2"/>
  <c r="CT191" i="2" s="1"/>
  <c r="WQ190" i="2"/>
  <c r="WQ191" i="2" s="1"/>
  <c r="FG190" i="2"/>
  <c r="FG191" i="2" s="1"/>
  <c r="DB190" i="2"/>
  <c r="DB191" i="2" s="1"/>
  <c r="DQ190" i="2"/>
  <c r="DQ191" i="2" s="1"/>
  <c r="CS190" i="2"/>
  <c r="CS191" i="2" s="1"/>
  <c r="CR190" i="2"/>
  <c r="CR191" i="2" s="1"/>
  <c r="XK190" i="2"/>
  <c r="XK191" i="2" s="1"/>
  <c r="KO190" i="2"/>
  <c r="KO191" i="2" s="1"/>
  <c r="KE190" i="2"/>
  <c r="KE191" i="2" s="1"/>
  <c r="JU190" i="2"/>
  <c r="JU191" i="2" s="1"/>
  <c r="AGY190" i="2"/>
  <c r="AGY191" i="2" s="1"/>
  <c r="AGM190" i="2"/>
  <c r="AGM191" i="2" s="1"/>
  <c r="KX190" i="2"/>
  <c r="KX191" i="2" s="1"/>
  <c r="UN190" i="2"/>
  <c r="UN191" i="2" s="1"/>
  <c r="AGX190" i="2"/>
  <c r="AGX191" i="2" s="1"/>
  <c r="KW190" i="2"/>
  <c r="KW191" i="2" s="1"/>
  <c r="AJE190" i="2"/>
  <c r="AJE191" i="2" s="1"/>
  <c r="AIS190" i="2"/>
  <c r="AIS191" i="2" s="1"/>
  <c r="AIG190" i="2"/>
  <c r="AIG191" i="2" s="1"/>
  <c r="AHI190" i="2"/>
  <c r="AHI191" i="2" s="1"/>
  <c r="JR190" i="2"/>
  <c r="JR191" i="2" s="1"/>
  <c r="TD190" i="2"/>
  <c r="TD191" i="2" s="1"/>
  <c r="TG190" i="2"/>
  <c r="TG191" i="2" s="1"/>
  <c r="ON190" i="2"/>
  <c r="ON191" i="2" s="1"/>
  <c r="OB190" i="2"/>
  <c r="OB191" i="2" s="1"/>
  <c r="NP190" i="2"/>
  <c r="NP191" i="2" s="1"/>
  <c r="ND190" i="2"/>
  <c r="ND191" i="2" s="1"/>
  <c r="MR190" i="2"/>
  <c r="MR191" i="2" s="1"/>
  <c r="NS190" i="2"/>
  <c r="NS191" i="2" s="1"/>
  <c r="MU190" i="2"/>
  <c r="MU191" i="2" s="1"/>
  <c r="RA190" i="2"/>
  <c r="RA191" i="2" s="1"/>
  <c r="SX190" i="2"/>
  <c r="SX191" i="2" s="1"/>
  <c r="RZ190" i="2"/>
  <c r="RZ191" i="2" s="1"/>
  <c r="RN190" i="2"/>
  <c r="RN191" i="2" s="1"/>
  <c r="RB190" i="2"/>
  <c r="RB191" i="2" s="1"/>
  <c r="QP190" i="2"/>
  <c r="QP191" i="2" s="1"/>
  <c r="QD190" i="2"/>
  <c r="QD191" i="2" s="1"/>
  <c r="VM190" i="2"/>
  <c r="VM191" i="2" s="1"/>
  <c r="VA190" i="2"/>
  <c r="VA191" i="2" s="1"/>
  <c r="UO190" i="2"/>
  <c r="UO191" i="2" s="1"/>
  <c r="UC190" i="2"/>
  <c r="UC191" i="2" s="1"/>
  <c r="TQ190" i="2"/>
  <c r="TQ191" i="2" s="1"/>
  <c r="TE190" i="2"/>
  <c r="TE191" i="2" s="1"/>
  <c r="VP190" i="2"/>
  <c r="VP191" i="2" s="1"/>
  <c r="UR190" i="2"/>
  <c r="UR191" i="2" s="1"/>
  <c r="SK190" i="2"/>
  <c r="SK191" i="2" s="1"/>
  <c r="VN190" i="2"/>
  <c r="VN191" i="2" s="1"/>
  <c r="PK190" i="2"/>
  <c r="PK191" i="2" s="1"/>
  <c r="OY190" i="2"/>
  <c r="OY191" i="2" s="1"/>
  <c r="OM190" i="2"/>
  <c r="OM191" i="2" s="1"/>
  <c r="OA190" i="2"/>
  <c r="OA191" i="2" s="1"/>
  <c r="NO190" i="2"/>
  <c r="NO191" i="2" s="1"/>
  <c r="NC190" i="2"/>
  <c r="NC191" i="2" s="1"/>
  <c r="MQ190" i="2"/>
  <c r="MQ191" i="2" s="1"/>
  <c r="PP190" i="2"/>
  <c r="PP191" i="2" s="1"/>
  <c r="PY190" i="2"/>
  <c r="PY191" i="2" s="1"/>
  <c r="ZG190" i="2"/>
  <c r="ZG191" i="2" s="1"/>
  <c r="YU190" i="2"/>
  <c r="YU191" i="2" s="1"/>
  <c r="YI190" i="2"/>
  <c r="YI191" i="2" s="1"/>
  <c r="XW190" i="2"/>
  <c r="XW191" i="2" s="1"/>
  <c r="WY190" i="2"/>
  <c r="WY191" i="2" s="1"/>
  <c r="JJ190" i="2"/>
  <c r="JJ191" i="2" s="1"/>
  <c r="RY190" i="2"/>
  <c r="RY191" i="2" s="1"/>
  <c r="XB190" i="2"/>
  <c r="XB191" i="2" s="1"/>
  <c r="D190" i="2"/>
  <c r="D191" i="2" s="1"/>
  <c r="CY190" i="2"/>
  <c r="CY191" i="2" s="1"/>
  <c r="CM190" i="2"/>
  <c r="CM191" i="2" s="1"/>
  <c r="LE190" i="2"/>
  <c r="LE191" i="2" s="1"/>
  <c r="AJK190" i="2"/>
  <c r="AJK191" i="2" s="1"/>
  <c r="AHO190" i="2"/>
  <c r="AHO191" i="2" s="1"/>
  <c r="AHC190" i="2"/>
  <c r="AHC191" i="2" s="1"/>
  <c r="AGQ190" i="2"/>
  <c r="AGQ191" i="2" s="1"/>
  <c r="FR190" i="2"/>
  <c r="FR191" i="2" s="1"/>
  <c r="FF190" i="2"/>
  <c r="FF191" i="2" s="1"/>
  <c r="ET190" i="2"/>
  <c r="ET191" i="2" s="1"/>
  <c r="EH190" i="2"/>
  <c r="EH191" i="2" s="1"/>
  <c r="DU190" i="2"/>
  <c r="DU191" i="2" s="1"/>
  <c r="DI190" i="2"/>
  <c r="DI191" i="2" s="1"/>
  <c r="DY190" i="2"/>
  <c r="DY191" i="2" s="1"/>
  <c r="LH190" i="2"/>
  <c r="LH191" i="2" s="1"/>
  <c r="JP190" i="2"/>
  <c r="JP191" i="2" s="1"/>
  <c r="LY190" i="2"/>
  <c r="LY191" i="2" s="1"/>
  <c r="JN190" i="2"/>
  <c r="JN191" i="2" s="1"/>
  <c r="FQ190" i="2"/>
  <c r="FQ191" i="2" s="1"/>
  <c r="FE190" i="2"/>
  <c r="FE191" i="2" s="1"/>
  <c r="CW190" i="2"/>
  <c r="CW191" i="2" s="1"/>
  <c r="CK190" i="2"/>
  <c r="CK191" i="2" s="1"/>
  <c r="DX190" i="2"/>
  <c r="DX191" i="2" s="1"/>
  <c r="DL190" i="2"/>
  <c r="DL191" i="2" s="1"/>
  <c r="CN190" i="2"/>
  <c r="CN191" i="2" s="1"/>
  <c r="KC190" i="2"/>
  <c r="KC191" i="2" s="1"/>
  <c r="KS190" i="2"/>
  <c r="KS191" i="2" s="1"/>
  <c r="OR190" i="2"/>
  <c r="OR191" i="2" s="1"/>
  <c r="NT190" i="2"/>
  <c r="NT191" i="2" s="1"/>
  <c r="SP190" i="2"/>
  <c r="SP191" i="2" s="1"/>
  <c r="QT190" i="2"/>
  <c r="QT191" i="2" s="1"/>
  <c r="RM190" i="2"/>
  <c r="RM191" i="2" s="1"/>
  <c r="AJG190" i="2"/>
  <c r="AJG191" i="2" s="1"/>
  <c r="AIU190" i="2"/>
  <c r="AIU191" i="2" s="1"/>
  <c r="AII190" i="2"/>
  <c r="AII191" i="2" s="1"/>
  <c r="AHW190" i="2"/>
  <c r="AHW191" i="2" s="1"/>
  <c r="AHK190" i="2"/>
  <c r="AHK191" i="2" s="1"/>
  <c r="UU190" i="2"/>
  <c r="UU191" i="2" s="1"/>
  <c r="TK190" i="2"/>
  <c r="TK191" i="2" s="1"/>
  <c r="VT190" i="2"/>
  <c r="VT191" i="2" s="1"/>
  <c r="KV190" i="2"/>
  <c r="KV191" i="2" s="1"/>
  <c r="AGJ190" i="2"/>
  <c r="AGJ191" i="2" s="1"/>
  <c r="AJF190" i="2"/>
  <c r="AJF191" i="2" s="1"/>
  <c r="AIT190" i="2"/>
  <c r="AIT191" i="2" s="1"/>
  <c r="AIH190" i="2"/>
  <c r="AIH191" i="2" s="1"/>
  <c r="AHV190" i="2"/>
  <c r="AHV191" i="2" s="1"/>
  <c r="AHJ190" i="2"/>
  <c r="AHJ191" i="2" s="1"/>
  <c r="AGL190" i="2"/>
  <c r="AGL191" i="2" s="1"/>
  <c r="PN190" i="2"/>
  <c r="PN191" i="2" s="1"/>
  <c r="SW190" i="2"/>
  <c r="SW191" i="2" s="1"/>
  <c r="AJQ190" i="2"/>
  <c r="AJQ191" i="2" s="1"/>
  <c r="AHU190" i="2"/>
  <c r="AHU191" i="2" s="1"/>
  <c r="AGK190" i="2"/>
  <c r="AGK191" i="2" s="1"/>
  <c r="KN190" i="2"/>
  <c r="KN191" i="2" s="1"/>
  <c r="JZ190" i="2"/>
  <c r="JZ191" i="2" s="1"/>
  <c r="PM190" i="2"/>
  <c r="PM191" i="2" s="1"/>
  <c r="PA190" i="2"/>
  <c r="PA191" i="2" s="1"/>
  <c r="OO190" i="2"/>
  <c r="OO191" i="2" s="1"/>
  <c r="OC190" i="2"/>
  <c r="OC191" i="2" s="1"/>
  <c r="NQ190" i="2"/>
  <c r="NQ191" i="2" s="1"/>
  <c r="NE190" i="2"/>
  <c r="NE191" i="2" s="1"/>
  <c r="MS190" i="2"/>
  <c r="MS191" i="2" s="1"/>
  <c r="US190" i="2"/>
  <c r="US191" i="2" s="1"/>
  <c r="AIN190" i="2"/>
  <c r="AIN191" i="2" s="1"/>
  <c r="KF190" i="2"/>
  <c r="KF191" i="2" s="1"/>
  <c r="LQ190" i="2"/>
  <c r="LQ191" i="2" s="1"/>
  <c r="PQ190" i="2"/>
  <c r="PQ191" i="2" s="1"/>
  <c r="SL190" i="2"/>
  <c r="SL191" i="2" s="1"/>
  <c r="YY190" i="2"/>
  <c r="YY191" i="2" s="1"/>
  <c r="BX188" i="2"/>
  <c r="BX112" i="2" s="1"/>
  <c r="KT190" i="2"/>
  <c r="KT191" i="2" s="1"/>
  <c r="KI190" i="2"/>
  <c r="KI191" i="2" s="1"/>
  <c r="WG190" i="2"/>
  <c r="WG191" i="2" s="1"/>
  <c r="VU190" i="2"/>
  <c r="VU191" i="2" s="1"/>
  <c r="UK190" i="2"/>
  <c r="UK191" i="2" s="1"/>
  <c r="TY190" i="2"/>
  <c r="TY191" i="2" s="1"/>
  <c r="TA190" i="2"/>
  <c r="TA191" i="2" s="1"/>
  <c r="JO190" i="2"/>
  <c r="JO191" i="2" s="1"/>
  <c r="SZ190" i="2"/>
  <c r="SZ191" i="2" s="1"/>
  <c r="WF190" i="2"/>
  <c r="WF191" i="2" s="1"/>
  <c r="ZI190" i="2"/>
  <c r="ZI191" i="2" s="1"/>
  <c r="XY190" i="2"/>
  <c r="XY191" i="2" s="1"/>
  <c r="XM190" i="2"/>
  <c r="XM191" i="2" s="1"/>
  <c r="XA190" i="2"/>
  <c r="XA191" i="2" s="1"/>
  <c r="WO190" i="2"/>
  <c r="WO191" i="2" s="1"/>
  <c r="FJ190" i="2"/>
  <c r="FJ191" i="2" s="1"/>
  <c r="EL190" i="2"/>
  <c r="EL191" i="2" s="1"/>
  <c r="DM190" i="2"/>
  <c r="DM191" i="2" s="1"/>
  <c r="CG190" i="2"/>
  <c r="CG191" i="2" s="1"/>
  <c r="FI190" i="2"/>
  <c r="FI191" i="2" s="1"/>
  <c r="EK190" i="2"/>
  <c r="EK191" i="2" s="1"/>
  <c r="LV190" i="2"/>
  <c r="LV191" i="2" s="1"/>
  <c r="LK190" i="2"/>
  <c r="LK191" i="2" s="1"/>
  <c r="EJ190" i="2"/>
  <c r="EJ191" i="2" s="1"/>
  <c r="PO190" i="2"/>
  <c r="PO191" i="2" s="1"/>
  <c r="OQ190" i="2"/>
  <c r="OQ191" i="2" s="1"/>
  <c r="OE190" i="2"/>
  <c r="OE191" i="2" s="1"/>
  <c r="NG190" i="2"/>
  <c r="NG191" i="2" s="1"/>
  <c r="MI190" i="2"/>
  <c r="MI191" i="2" s="1"/>
  <c r="YS190" i="2"/>
  <c r="YS191" i="2" s="1"/>
  <c r="BO188" i="2"/>
  <c r="BO112" i="2" s="1"/>
  <c r="FS190" i="2"/>
  <c r="FS191" i="2" s="1"/>
  <c r="EI190" i="2"/>
  <c r="EI191" i="2" s="1"/>
  <c r="JY190" i="2"/>
  <c r="JY191" i="2" s="1"/>
  <c r="LI190" i="2"/>
  <c r="LI191" i="2" s="1"/>
  <c r="KY190" i="2"/>
  <c r="KY191" i="2" s="1"/>
  <c r="SD190" i="2"/>
  <c r="SD191" i="2" s="1"/>
  <c r="RR190" i="2"/>
  <c r="RR191" i="2" s="1"/>
  <c r="RF190" i="2"/>
  <c r="RF191" i="2" s="1"/>
  <c r="QH190" i="2"/>
  <c r="QH191" i="2" s="1"/>
  <c r="DK190" i="2"/>
  <c r="DK191" i="2" s="1"/>
  <c r="JF190" i="2"/>
  <c r="JF191" i="2" s="1"/>
  <c r="SO190" i="2"/>
  <c r="SO191" i="2" s="1"/>
  <c r="RE190" i="2"/>
  <c r="RE191" i="2" s="1"/>
  <c r="QS190" i="2"/>
  <c r="QS191" i="2" s="1"/>
  <c r="PU190" i="2"/>
  <c r="PU191" i="2" s="1"/>
  <c r="KK190" i="2"/>
  <c r="KK191" i="2" s="1"/>
  <c r="JQ190" i="2"/>
  <c r="JQ191" i="2" s="1"/>
  <c r="RD190" i="2"/>
  <c r="RD191" i="2" s="1"/>
  <c r="VX190" i="2"/>
  <c r="VX191" i="2" s="1"/>
  <c r="VL190" i="2"/>
  <c r="VL191" i="2" s="1"/>
  <c r="UB190" i="2"/>
  <c r="UB191" i="2" s="1"/>
  <c r="TP190" i="2"/>
  <c r="TP191" i="2" s="1"/>
  <c r="CP190" i="2"/>
  <c r="CP191" i="2" s="1"/>
  <c r="LP190" i="2"/>
  <c r="LP191" i="2" s="1"/>
  <c r="SQ190" i="2"/>
  <c r="SQ191" i="2" s="1"/>
  <c r="SE190" i="2"/>
  <c r="SE191" i="2" s="1"/>
  <c r="RS190" i="2"/>
  <c r="RS191" i="2" s="1"/>
  <c r="RG190" i="2"/>
  <c r="RG191" i="2" s="1"/>
  <c r="QU190" i="2"/>
  <c r="QU191" i="2" s="1"/>
  <c r="QI190" i="2"/>
  <c r="QI191" i="2" s="1"/>
  <c r="PW190" i="2"/>
  <c r="PW191" i="2" s="1"/>
  <c r="ZK190" i="2"/>
  <c r="ZK191" i="2" s="1"/>
  <c r="YM190" i="2"/>
  <c r="YM191" i="2" s="1"/>
  <c r="YA190" i="2"/>
  <c r="YA191" i="2" s="1"/>
  <c r="XO190" i="2"/>
  <c r="XO191" i="2" s="1"/>
  <c r="XC190" i="2"/>
  <c r="XC191" i="2" s="1"/>
  <c r="RQ190" i="2"/>
  <c r="RQ191" i="2" s="1"/>
  <c r="QG190" i="2"/>
  <c r="QG191" i="2" s="1"/>
  <c r="VI190" i="2"/>
  <c r="VI191" i="2" s="1"/>
  <c r="UW190" i="2"/>
  <c r="UW191" i="2" s="1"/>
  <c r="TM190" i="2"/>
  <c r="TM191" i="2" s="1"/>
  <c r="DZ190" i="2"/>
  <c r="DZ191" i="2" s="1"/>
  <c r="CD190" i="2"/>
  <c r="CD191" i="2" s="1"/>
  <c r="DH190" i="2"/>
  <c r="DH191" i="2" s="1"/>
  <c r="BY188" i="2"/>
  <c r="BY112" i="2" s="1"/>
  <c r="BY190" i="2" s="1"/>
  <c r="BY191" i="2" s="1"/>
  <c r="EO190" i="2"/>
  <c r="EO191" i="2" s="1"/>
  <c r="FP190" i="2"/>
  <c r="FP191" i="2" s="1"/>
  <c r="EF190" i="2"/>
  <c r="EF191" i="2" s="1"/>
  <c r="BZ188" i="2"/>
  <c r="BZ112" i="2" s="1"/>
  <c r="BZ190" i="2" s="1"/>
  <c r="BZ191" i="2" s="1"/>
  <c r="AJN190" i="2"/>
  <c r="AJN191" i="2" s="1"/>
  <c r="AJB190" i="2"/>
  <c r="AJB191" i="2" s="1"/>
  <c r="AIP190" i="2"/>
  <c r="AIP191" i="2" s="1"/>
  <c r="AID190" i="2"/>
  <c r="AID191" i="2" s="1"/>
  <c r="AHR190" i="2"/>
  <c r="AHR191" i="2" s="1"/>
  <c r="AHF190" i="2"/>
  <c r="AHF191" i="2" s="1"/>
  <c r="AGT190" i="2"/>
  <c r="AGT191" i="2" s="1"/>
  <c r="AJP190" i="2"/>
  <c r="AJP191" i="2" s="1"/>
  <c r="AJD190" i="2"/>
  <c r="AJD191" i="2" s="1"/>
  <c r="AIR190" i="2"/>
  <c r="AIR191" i="2" s="1"/>
  <c r="AIF190" i="2"/>
  <c r="AIF191" i="2" s="1"/>
  <c r="AHT190" i="2"/>
  <c r="AHT191" i="2" s="1"/>
  <c r="AHH190" i="2"/>
  <c r="AHH191" i="2" s="1"/>
  <c r="AGV190" i="2"/>
  <c r="AGV191" i="2" s="1"/>
  <c r="FX190" i="2"/>
  <c r="FX191" i="2" s="1"/>
  <c r="FL190" i="2"/>
  <c r="FL191" i="2" s="1"/>
  <c r="EZ190" i="2"/>
  <c r="EZ191" i="2" s="1"/>
  <c r="DR190" i="2"/>
  <c r="DR191" i="2" s="1"/>
  <c r="DF190" i="2"/>
  <c r="DF191" i="2" s="1"/>
  <c r="PH190" i="2"/>
  <c r="PH191" i="2" s="1"/>
  <c r="OV190" i="2"/>
  <c r="OV191" i="2" s="1"/>
  <c r="OJ190" i="2"/>
  <c r="OJ191" i="2" s="1"/>
  <c r="NX190" i="2"/>
  <c r="NX191" i="2" s="1"/>
  <c r="NL190" i="2"/>
  <c r="NL191" i="2" s="1"/>
  <c r="MZ190" i="2"/>
  <c r="MZ191" i="2" s="1"/>
  <c r="MN190" i="2"/>
  <c r="MN191" i="2" s="1"/>
  <c r="DN190" i="2"/>
  <c r="DN191" i="2" s="1"/>
  <c r="DT190" i="2"/>
  <c r="DT191" i="2" s="1"/>
  <c r="FA190" i="2"/>
  <c r="FA191" i="2" s="1"/>
  <c r="GB190" i="2"/>
  <c r="GB191" i="2" s="1"/>
  <c r="ER190" i="2"/>
  <c r="ER191" i="2" s="1"/>
  <c r="DS190" i="2"/>
  <c r="DS191" i="2" s="1"/>
  <c r="AJM190" i="2"/>
  <c r="AJM191" i="2" s="1"/>
  <c r="AJA190" i="2"/>
  <c r="AJA191" i="2" s="1"/>
  <c r="AIO190" i="2"/>
  <c r="AIO191" i="2" s="1"/>
  <c r="AIC190" i="2"/>
  <c r="AIC191" i="2" s="1"/>
  <c r="AHQ190" i="2"/>
  <c r="AHQ191" i="2" s="1"/>
  <c r="AHE190" i="2"/>
  <c r="AHE191" i="2" s="1"/>
  <c r="AGS190" i="2"/>
  <c r="AGS191" i="2" s="1"/>
  <c r="AJO190" i="2"/>
  <c r="AJO191" i="2" s="1"/>
  <c r="AJC190" i="2"/>
  <c r="AJC191" i="2" s="1"/>
  <c r="AIQ190" i="2"/>
  <c r="AIQ191" i="2" s="1"/>
  <c r="AIE190" i="2"/>
  <c r="AIE191" i="2" s="1"/>
  <c r="AHS190" i="2"/>
  <c r="AHS191" i="2" s="1"/>
  <c r="AHG190" i="2"/>
  <c r="AHG191" i="2" s="1"/>
  <c r="AGU190" i="2"/>
  <c r="AGU191" i="2" s="1"/>
  <c r="FW190" i="2"/>
  <c r="FW191" i="2" s="1"/>
  <c r="FK190" i="2"/>
  <c r="FK191" i="2" s="1"/>
  <c r="EY190" i="2"/>
  <c r="EY191" i="2" s="1"/>
  <c r="EM190" i="2"/>
  <c r="EM191" i="2" s="1"/>
  <c r="FZ190" i="2"/>
  <c r="FZ191" i="2" s="1"/>
  <c r="FN190" i="2"/>
  <c r="FN191" i="2" s="1"/>
  <c r="FB190" i="2"/>
  <c r="FB191" i="2" s="1"/>
  <c r="DE190" i="2"/>
  <c r="DE191" i="2" s="1"/>
  <c r="CH190" i="2"/>
  <c r="CH191" i="2" s="1"/>
  <c r="JM190" i="2"/>
  <c r="JM191" i="2" s="1"/>
  <c r="JD190" i="2"/>
  <c r="JD191" i="2" s="1"/>
  <c r="BN188" i="2"/>
  <c r="BN112" i="2" s="1"/>
  <c r="BN190" i="2" s="1"/>
  <c r="BN191" i="2" s="1"/>
  <c r="AIZ190" i="2"/>
  <c r="AIZ191" i="2" s="1"/>
  <c r="AIB190" i="2"/>
  <c r="AIB191" i="2" s="1"/>
  <c r="AHP190" i="2"/>
  <c r="AHP191" i="2" s="1"/>
  <c r="AHD190" i="2"/>
  <c r="AHD191" i="2" s="1"/>
  <c r="AGR190" i="2"/>
  <c r="AGR191" i="2" s="1"/>
  <c r="EX190" i="2"/>
  <c r="EX191" i="2" s="1"/>
  <c r="LA190" i="2"/>
  <c r="LA191" i="2" s="1"/>
  <c r="KR190" i="2"/>
  <c r="KR191" i="2" s="1"/>
  <c r="JL190" i="2"/>
  <c r="JL191" i="2" s="1"/>
  <c r="JC190" i="2"/>
  <c r="JC191" i="2" s="1"/>
  <c r="AJL190" i="2"/>
  <c r="AJL191" i="2" s="1"/>
  <c r="FU190" i="2"/>
  <c r="FU191" i="2" s="1"/>
  <c r="EW190" i="2"/>
  <c r="EW191" i="2" s="1"/>
  <c r="CF190" i="2"/>
  <c r="CF191" i="2" s="1"/>
  <c r="LB190" i="2"/>
  <c r="LB191" i="2" s="1"/>
  <c r="LU190" i="2"/>
  <c r="LU191" i="2" s="1"/>
  <c r="LJ190" i="2"/>
  <c r="LJ191" i="2" s="1"/>
  <c r="KQ190" i="2"/>
  <c r="KQ191" i="2" s="1"/>
  <c r="JK190" i="2"/>
  <c r="JK191" i="2" s="1"/>
  <c r="JB190" i="2"/>
  <c r="JB191" i="2" s="1"/>
  <c r="UH190" i="2"/>
  <c r="UH191" i="2" s="1"/>
  <c r="TV190" i="2"/>
  <c r="TV191" i="2" s="1"/>
  <c r="TJ190" i="2"/>
  <c r="TJ191" i="2" s="1"/>
  <c r="WI190" i="2"/>
  <c r="WI191" i="2" s="1"/>
  <c r="LT190" i="2"/>
  <c r="LT191" i="2" s="1"/>
  <c r="KP190" i="2"/>
  <c r="KP191" i="2" s="1"/>
  <c r="PD190" i="2"/>
  <c r="PD191" i="2" s="1"/>
  <c r="OF190" i="2"/>
  <c r="OF191" i="2" s="1"/>
  <c r="NH190" i="2"/>
  <c r="NH191" i="2" s="1"/>
  <c r="MJ190" i="2"/>
  <c r="MJ191" i="2" s="1"/>
  <c r="WC190" i="2"/>
  <c r="WC191" i="2" s="1"/>
  <c r="VQ190" i="2"/>
  <c r="VQ191" i="2" s="1"/>
  <c r="VE190" i="2"/>
  <c r="VE191" i="2" s="1"/>
  <c r="UG190" i="2"/>
  <c r="UG191" i="2" s="1"/>
  <c r="TU190" i="2"/>
  <c r="TU191" i="2" s="1"/>
  <c r="TI190" i="2"/>
  <c r="TI191" i="2" s="1"/>
  <c r="WH190" i="2"/>
  <c r="WH191" i="2" s="1"/>
  <c r="LN190" i="2"/>
  <c r="LN191" i="2" s="1"/>
  <c r="JX190" i="2"/>
  <c r="JX191" i="2" s="1"/>
  <c r="JH190" i="2"/>
  <c r="JH191" i="2" s="1"/>
  <c r="IZ190" i="2"/>
  <c r="IZ191" i="2" s="1"/>
  <c r="PC190" i="2"/>
  <c r="PC191" i="2" s="1"/>
  <c r="WB190" i="2"/>
  <c r="WB191" i="2" s="1"/>
  <c r="VD190" i="2"/>
  <c r="VD191" i="2" s="1"/>
  <c r="UF190" i="2"/>
  <c r="UF191" i="2" s="1"/>
  <c r="TT190" i="2"/>
  <c r="TT191" i="2" s="1"/>
  <c r="TH190" i="2"/>
  <c r="TH191" i="2" s="1"/>
  <c r="MA190" i="2"/>
  <c r="MA191" i="2" s="1"/>
  <c r="MD190" i="2"/>
  <c r="MD191" i="2" s="1"/>
  <c r="LS190" i="2"/>
  <c r="LS191" i="2" s="1"/>
  <c r="KD190" i="2"/>
  <c r="KD191" i="2" s="1"/>
  <c r="SU190" i="2"/>
  <c r="SU191" i="2" s="1"/>
  <c r="SI190" i="2"/>
  <c r="SI191" i="2" s="1"/>
  <c r="RW190" i="2"/>
  <c r="RW191" i="2" s="1"/>
  <c r="RK190" i="2"/>
  <c r="RK191" i="2" s="1"/>
  <c r="QY190" i="2"/>
  <c r="QY191" i="2" s="1"/>
  <c r="QM190" i="2"/>
  <c r="QM191" i="2" s="1"/>
  <c r="QA190" i="2"/>
  <c r="QA191" i="2" s="1"/>
  <c r="SY190" i="2"/>
  <c r="SY191" i="2" s="1"/>
  <c r="AJH190" i="2"/>
  <c r="AJH191" i="2" s="1"/>
  <c r="AIV190" i="2"/>
  <c r="AIV191" i="2" s="1"/>
  <c r="AIJ190" i="2"/>
  <c r="AIJ191" i="2" s="1"/>
  <c r="AHX190" i="2"/>
  <c r="AHX191" i="2" s="1"/>
  <c r="EV190" i="2"/>
  <c r="EV191" i="2" s="1"/>
  <c r="CB190" i="2"/>
  <c r="CB191" i="2" s="1"/>
  <c r="DO190" i="2"/>
  <c r="DO191" i="2" s="1"/>
  <c r="DC190" i="2"/>
  <c r="DC191" i="2" s="1"/>
  <c r="CQ190" i="2"/>
  <c r="CQ191" i="2" s="1"/>
  <c r="CE190" i="2"/>
  <c r="CE191" i="2" s="1"/>
  <c r="MC190" i="2"/>
  <c r="MC191" i="2" s="1"/>
  <c r="KM190" i="2"/>
  <c r="KM191" i="2" s="1"/>
  <c r="VZ190" i="2"/>
  <c r="VZ191" i="2" s="1"/>
  <c r="VB190" i="2"/>
  <c r="VB191" i="2" s="1"/>
  <c r="UP190" i="2"/>
  <c r="UP191" i="2" s="1"/>
  <c r="UD190" i="2"/>
  <c r="UD191" i="2" s="1"/>
  <c r="TR190" i="2"/>
  <c r="TR191" i="2" s="1"/>
  <c r="TF190" i="2"/>
  <c r="TF191" i="2" s="1"/>
  <c r="JE190" i="2"/>
  <c r="JE191" i="2" s="1"/>
  <c r="KU190" i="2"/>
  <c r="KU191" i="2" s="1"/>
  <c r="SS190" i="2"/>
  <c r="SS191" i="2" s="1"/>
  <c r="SG190" i="2"/>
  <c r="SG191" i="2" s="1"/>
  <c r="RU190" i="2"/>
  <c r="RU191" i="2" s="1"/>
  <c r="RI190" i="2"/>
  <c r="RI191" i="2" s="1"/>
  <c r="QW190" i="2"/>
  <c r="QW191" i="2" s="1"/>
  <c r="QK190" i="2"/>
  <c r="QK191" i="2" s="1"/>
  <c r="UZ190" i="2"/>
  <c r="UZ191" i="2" s="1"/>
  <c r="WR190" i="2"/>
  <c r="WR191" i="2" s="1"/>
  <c r="ZM190" i="2"/>
  <c r="ZM191" i="2" s="1"/>
  <c r="ZA190" i="2"/>
  <c r="ZA191" i="2" s="1"/>
  <c r="YO190" i="2"/>
  <c r="YO191" i="2" s="1"/>
  <c r="YC190" i="2"/>
  <c r="YC191" i="2" s="1"/>
  <c r="XQ190" i="2"/>
  <c r="XQ191" i="2" s="1"/>
  <c r="XE190" i="2"/>
  <c r="XE191" i="2" s="1"/>
  <c r="WS190" i="2"/>
  <c r="WS191" i="2" s="1"/>
  <c r="BQ112" i="2"/>
  <c r="BQ190" i="2" s="1"/>
  <c r="BQ191" i="2" s="1"/>
  <c r="BK190" i="2"/>
  <c r="BK191" i="2" s="1"/>
  <c r="KZ190" i="2"/>
  <c r="KZ191" i="2" s="1"/>
  <c r="AIY190" i="2"/>
  <c r="AIY191" i="2" s="1"/>
  <c r="AIM190" i="2"/>
  <c r="AIM191" i="2" s="1"/>
  <c r="AIA190" i="2"/>
  <c r="AIA191" i="2" s="1"/>
  <c r="FV190" i="2"/>
  <c r="FV191" i="2" s="1"/>
  <c r="GA190" i="2"/>
  <c r="GA191" i="2" s="1"/>
  <c r="FO190" i="2"/>
  <c r="FO191" i="2" s="1"/>
  <c r="FC190" i="2"/>
  <c r="FC191" i="2" s="1"/>
  <c r="EQ190" i="2"/>
  <c r="EQ191" i="2" s="1"/>
  <c r="EE190" i="2"/>
  <c r="EE191" i="2" s="1"/>
  <c r="DG190" i="2"/>
  <c r="DG191" i="2" s="1"/>
  <c r="JV190" i="2"/>
  <c r="JV191" i="2" s="1"/>
  <c r="SR190" i="2"/>
  <c r="SR191" i="2" s="1"/>
  <c r="SF190" i="2"/>
  <c r="SF191" i="2" s="1"/>
  <c r="RT190" i="2"/>
  <c r="RT191" i="2" s="1"/>
  <c r="RH190" i="2"/>
  <c r="RH191" i="2" s="1"/>
  <c r="QV190" i="2"/>
  <c r="QV191" i="2" s="1"/>
  <c r="QJ190" i="2"/>
  <c r="QJ191" i="2" s="1"/>
  <c r="PX190" i="2"/>
  <c r="PX191" i="2" s="1"/>
  <c r="EC190" i="2"/>
  <c r="EC191" i="2" s="1"/>
  <c r="EP190" i="2"/>
  <c r="EP191" i="2" s="1"/>
  <c r="ED190" i="2"/>
  <c r="ED191" i="2" s="1"/>
  <c r="LG190" i="2"/>
  <c r="LG191" i="2" s="1"/>
  <c r="JT190" i="2"/>
  <c r="JT191" i="2" s="1"/>
  <c r="VY190" i="2"/>
  <c r="VY191" i="2" s="1"/>
  <c r="BV190" i="2"/>
  <c r="BV191" i="2" s="1"/>
  <c r="AHL190" i="2"/>
  <c r="AHL191" i="2" s="1"/>
  <c r="AGZ190" i="2"/>
  <c r="AGZ191" i="2" s="1"/>
  <c r="AGN190" i="2"/>
  <c r="AGN191" i="2" s="1"/>
  <c r="AJJ190" i="2"/>
  <c r="AJJ191" i="2" s="1"/>
  <c r="AIX190" i="2"/>
  <c r="AIX191" i="2" s="1"/>
  <c r="AIL190" i="2"/>
  <c r="AIL191" i="2" s="1"/>
  <c r="AHZ190" i="2"/>
  <c r="AHZ191" i="2" s="1"/>
  <c r="AHN190" i="2"/>
  <c r="AHN191" i="2" s="1"/>
  <c r="AHB190" i="2"/>
  <c r="AHB191" i="2" s="1"/>
  <c r="AGP190" i="2"/>
  <c r="AGP191" i="2" s="1"/>
  <c r="LR190" i="2"/>
  <c r="LR191" i="2" s="1"/>
  <c r="JS190" i="2"/>
  <c r="JS191" i="2" s="1"/>
  <c r="LF190" i="2"/>
  <c r="LF191" i="2" s="1"/>
  <c r="KB190" i="2"/>
  <c r="KB191" i="2" s="1"/>
  <c r="VW190" i="2"/>
  <c r="VW191" i="2" s="1"/>
  <c r="VK190" i="2"/>
  <c r="VK191" i="2" s="1"/>
  <c r="UY190" i="2"/>
  <c r="UY191" i="2" s="1"/>
  <c r="UM190" i="2"/>
  <c r="UM191" i="2" s="1"/>
  <c r="UA190" i="2"/>
  <c r="UA191" i="2" s="1"/>
  <c r="TO190" i="2"/>
  <c r="TO191" i="2" s="1"/>
  <c r="TC190" i="2"/>
  <c r="TC191" i="2" s="1"/>
  <c r="ME190" i="2"/>
  <c r="ME191" i="2" s="1"/>
  <c r="LZ190" i="2"/>
  <c r="LZ191" i="2" s="1"/>
  <c r="KJ190" i="2"/>
  <c r="KJ191" i="2" s="1"/>
  <c r="KA190" i="2"/>
  <c r="KA191" i="2" s="1"/>
  <c r="PL190" i="2"/>
  <c r="PL191" i="2" s="1"/>
  <c r="OZ190" i="2"/>
  <c r="OZ191" i="2" s="1"/>
  <c r="VV190" i="2"/>
  <c r="VV191" i="2" s="1"/>
  <c r="VJ190" i="2"/>
  <c r="VJ191" i="2" s="1"/>
  <c r="UX190" i="2"/>
  <c r="UX191" i="2" s="1"/>
  <c r="UL190" i="2"/>
  <c r="UL191" i="2" s="1"/>
  <c r="TZ190" i="2"/>
  <c r="TZ191" i="2" s="1"/>
  <c r="TN190" i="2"/>
  <c r="TN191" i="2" s="1"/>
  <c r="TB190" i="2"/>
  <c r="TB191" i="2" s="1"/>
  <c r="LO190" i="2"/>
  <c r="LO191" i="2" s="1"/>
  <c r="LD190" i="2"/>
  <c r="LD191" i="2" s="1"/>
  <c r="JW190" i="2"/>
  <c r="JW191" i="2" s="1"/>
  <c r="FD190" i="2"/>
  <c r="FD191" i="2" s="1"/>
  <c r="ES190" i="2"/>
  <c r="ES191" i="2" s="1"/>
  <c r="EG190" i="2"/>
  <c r="EG191" i="2" s="1"/>
  <c r="FH190" i="2"/>
  <c r="FH191" i="2" s="1"/>
  <c r="LX190" i="2"/>
  <c r="LX191" i="2" s="1"/>
  <c r="LC190" i="2"/>
  <c r="LC191" i="2" s="1"/>
  <c r="PG190" i="2"/>
  <c r="PG191" i="2" s="1"/>
  <c r="OU190" i="2"/>
  <c r="OU191" i="2" s="1"/>
  <c r="OI190" i="2"/>
  <c r="OI191" i="2" s="1"/>
  <c r="NW190" i="2"/>
  <c r="NW191" i="2" s="1"/>
  <c r="NK190" i="2"/>
  <c r="NK191" i="2" s="1"/>
  <c r="MY190" i="2"/>
  <c r="MY191" i="2" s="1"/>
  <c r="MM190" i="2"/>
  <c r="MM191" i="2" s="1"/>
  <c r="PJ190" i="2"/>
  <c r="PJ191" i="2" s="1"/>
  <c r="OX190" i="2"/>
  <c r="OX191" i="2" s="1"/>
  <c r="OL190" i="2"/>
  <c r="OL191" i="2" s="1"/>
  <c r="NZ190" i="2"/>
  <c r="NZ191" i="2" s="1"/>
  <c r="NN190" i="2"/>
  <c r="NN191" i="2" s="1"/>
  <c r="NB190" i="2"/>
  <c r="NB191" i="2" s="1"/>
  <c r="MP190" i="2"/>
  <c r="MP191" i="2" s="1"/>
  <c r="ZO190" i="2"/>
  <c r="ZO191" i="2" s="1"/>
  <c r="ZC190" i="2"/>
  <c r="ZC191" i="2" s="1"/>
  <c r="YQ190" i="2"/>
  <c r="YQ191" i="2" s="1"/>
  <c r="YE190" i="2"/>
  <c r="YE191" i="2" s="1"/>
  <c r="XS190" i="2"/>
  <c r="XS191" i="2" s="1"/>
  <c r="XG190" i="2"/>
  <c r="XG191" i="2" s="1"/>
  <c r="WU190" i="2"/>
  <c r="WU191" i="2" s="1"/>
  <c r="PR190" i="2"/>
  <c r="PR191" i="2" s="1"/>
  <c r="KH190" i="2"/>
  <c r="KH191" i="2" s="1"/>
  <c r="BS112" i="2"/>
  <c r="BS190" i="2" s="1"/>
  <c r="BS191" i="2" s="1"/>
  <c r="LW190" i="2"/>
  <c r="LW191" i="2" s="1"/>
  <c r="LL190" i="2"/>
  <c r="LL191" i="2" s="1"/>
  <c r="PF190" i="2"/>
  <c r="PF191" i="2" s="1"/>
  <c r="OT190" i="2"/>
  <c r="OT191" i="2" s="1"/>
  <c r="OH190" i="2"/>
  <c r="OH191" i="2" s="1"/>
  <c r="NV190" i="2"/>
  <c r="NV191" i="2" s="1"/>
  <c r="NJ190" i="2"/>
  <c r="NJ191" i="2" s="1"/>
  <c r="MX190" i="2"/>
  <c r="MX191" i="2" s="1"/>
  <c r="ML190" i="2"/>
  <c r="ML191" i="2" s="1"/>
  <c r="PI190" i="2"/>
  <c r="PI191" i="2" s="1"/>
  <c r="OW190" i="2"/>
  <c r="OW191" i="2" s="1"/>
  <c r="OK190" i="2"/>
  <c r="OK191" i="2" s="1"/>
  <c r="NY190" i="2"/>
  <c r="NY191" i="2" s="1"/>
  <c r="NM190" i="2"/>
  <c r="NM191" i="2" s="1"/>
  <c r="NA190" i="2"/>
  <c r="NA191" i="2" s="1"/>
  <c r="MO190" i="2"/>
  <c r="MO191" i="2" s="1"/>
  <c r="WD190" i="2"/>
  <c r="WD191" i="2" s="1"/>
  <c r="VR190" i="2"/>
  <c r="VR191" i="2" s="1"/>
  <c r="VF190" i="2"/>
  <c r="VF191" i="2" s="1"/>
  <c r="UT190" i="2"/>
  <c r="UT191" i="2" s="1"/>
  <c r="ZN190" i="2"/>
  <c r="ZN191" i="2" s="1"/>
  <c r="ZB190" i="2"/>
  <c r="ZB191" i="2" s="1"/>
  <c r="YP190" i="2"/>
  <c r="YP191" i="2" s="1"/>
  <c r="YD190" i="2"/>
  <c r="YD191" i="2" s="1"/>
  <c r="XR190" i="2"/>
  <c r="XR191" i="2" s="1"/>
  <c r="XF190" i="2"/>
  <c r="XF191" i="2" s="1"/>
  <c r="WT190" i="2"/>
  <c r="WT191" i="2" s="1"/>
  <c r="BH112" i="2"/>
  <c r="BH190" i="2" s="1"/>
  <c r="BH191" i="2" s="1"/>
  <c r="BT112" i="2"/>
  <c r="BT190" i="2" s="1"/>
  <c r="BT191" i="2" s="1"/>
  <c r="BW190" i="2"/>
  <c r="BW191" i="2" s="1"/>
  <c r="BG190" i="2"/>
  <c r="BG191" i="2" s="1"/>
  <c r="BI190" i="2"/>
  <c r="BI191" i="2" s="1"/>
  <c r="BM190" i="2"/>
  <c r="BM191" i="2" s="1"/>
  <c r="BU190" i="2"/>
  <c r="BU191" i="2" s="1"/>
  <c r="BR190" i="2"/>
  <c r="BR191" i="2" s="1"/>
  <c r="BO190" i="2" l="1"/>
  <c r="BO191" i="2" s="1"/>
  <c r="BX190" i="2"/>
  <c r="BX191" i="2" s="1"/>
  <c r="M190" i="2"/>
  <c r="M191" i="2" s="1"/>
  <c r="M47" i="2"/>
</calcChain>
</file>

<file path=xl/sharedStrings.xml><?xml version="1.0" encoding="utf-8"?>
<sst xmlns="http://schemas.openxmlformats.org/spreadsheetml/2006/main" count="14897" uniqueCount="965">
  <si>
    <t>project</t>
  </si>
  <si>
    <t>year</t>
  </si>
  <si>
    <t>GS1694</t>
  </si>
  <si>
    <t>Share of HHs in Operation</t>
  </si>
  <si>
    <t>N_LT,y [animals]</t>
  </si>
  <si>
    <t>t [h]</t>
  </si>
  <si>
    <t>MS%,i,j</t>
  </si>
  <si>
    <t>Start Monitoring Period</t>
  </si>
  <si>
    <t>End Monitoring Period</t>
  </si>
  <si>
    <t>Operation days of digesters that are operational in this monitoring period</t>
  </si>
  <si>
    <t>BE[tCO2e]</t>
  </si>
  <si>
    <t>PE [tCO2e]</t>
  </si>
  <si>
    <t>Leakage [tCO2e]</t>
  </si>
  <si>
    <t>ER[tCO2e]</t>
  </si>
  <si>
    <t>Annual ER acc. to PDD [tCO2e]</t>
  </si>
  <si>
    <t>Nominal ER in monitoring Period [tCO2e]</t>
  </si>
  <si>
    <t>D_CH4</t>
  </si>
  <si>
    <t>GWP_CH4</t>
  </si>
  <si>
    <t>VS</t>
  </si>
  <si>
    <t>B_0</t>
  </si>
  <si>
    <t>UF_b</t>
  </si>
  <si>
    <t>FC_BL,y t of coal per household</t>
  </si>
  <si>
    <t>FC_PE,y  [t of coal] per household</t>
  </si>
  <si>
    <t>Number of Households counted</t>
  </si>
  <si>
    <t>Number of HHs in Operation</t>
  </si>
  <si>
    <t>MCF_j,k [1]</t>
  </si>
  <si>
    <t>FC_BL,y t of coal total</t>
  </si>
  <si>
    <t>platform</t>
  </si>
  <si>
    <t>name</t>
  </si>
  <si>
    <t>PoA</t>
  </si>
  <si>
    <t>CDM</t>
  </si>
  <si>
    <t>Kolar Biogas Project</t>
  </si>
  <si>
    <t>GESN4KXQZPSAIGANRNCR124WUY5RHE</t>
  </si>
  <si>
    <t>AMS-I.E</t>
  </si>
  <si>
    <t>AMS-III.R</t>
  </si>
  <si>
    <t>period_start</t>
  </si>
  <si>
    <t>period_end</t>
  </si>
  <si>
    <t>Nepal Biogas Support Program-PoA</t>
  </si>
  <si>
    <t>Z36X1S3M65OLXAHEUE7ELY7571XD4Q</t>
  </si>
  <si>
    <t>https://cdm.unfccc.int/ProgrammeOfActivities/poa_db/7BSCYZMH2U05TWXFJKELND18PRQ96O/view; https://cdm.unfccc.int/ProgrammeOfActivities/poa_db/7BSCYZMH2U05TWXFJKELND18PRQ96O/view?cp=1</t>
  </si>
  <si>
    <t>monitoring_link</t>
  </si>
  <si>
    <t>https://cdm.unfccc.int/PoAIssuance/iss_db/poaiss339237849/view</t>
  </si>
  <si>
    <t>B_y</t>
  </si>
  <si>
    <t>f_NRB</t>
  </si>
  <si>
    <t>NCV_biomass</t>
  </si>
  <si>
    <t>EF_projected_fossil_fuel</t>
  </si>
  <si>
    <t>monitoring_period</t>
  </si>
  <si>
    <t>CPA</t>
  </si>
  <si>
    <t>BE</t>
  </si>
  <si>
    <t>B_y_HH</t>
  </si>
  <si>
    <t>ER</t>
  </si>
  <si>
    <t>HH</t>
  </si>
  <si>
    <t>NP</t>
  </si>
  <si>
    <t>PE</t>
  </si>
  <si>
    <t>https://cdm.unfccc.int/Projects/DB/RWTUV1321009660.45/view</t>
  </si>
  <si>
    <t>Biogas Support Program - Nepal Activity-3</t>
  </si>
  <si>
    <t>S7QF2KS8S4QOQ3DH1SL9YQ574HC6HW</t>
  </si>
  <si>
    <t>country</t>
  </si>
  <si>
    <t>project_type</t>
  </si>
  <si>
    <t>project_subtype</t>
  </si>
  <si>
    <t>Methane avoidance</t>
  </si>
  <si>
    <t>Domestic manure</t>
  </si>
  <si>
    <t>HH_active</t>
  </si>
  <si>
    <t>BC_PJ,HH,y</t>
  </si>
  <si>
    <t>BC_BL,HH,y</t>
  </si>
  <si>
    <t>notes</t>
  </si>
  <si>
    <t>AMS-I.E_version</t>
  </si>
  <si>
    <t>EF_projected fell drastically, while consumption per household increased significantly, HH operation was 100%</t>
  </si>
  <si>
    <t>L2NUOX90UBYL2UJQFIBL54VZZ5W4A4</t>
  </si>
  <si>
    <t>Biogas Support Program - Nepal Activity-4</t>
  </si>
  <si>
    <t>number_of_days</t>
  </si>
  <si>
    <t>Sum of ER in this dataset is much lower than number of issued credits in CDM dataset --&gt; why?</t>
  </si>
  <si>
    <t>adjustment_factor_number_of_days</t>
  </si>
  <si>
    <t>https://cdm.unfccc.int/Projects/DB/RWTUV1321020993.82/view</t>
  </si>
  <si>
    <t xml:space="preserve">HH in operation spiked this year </t>
  </si>
  <si>
    <t>confidence_interval</t>
  </si>
  <si>
    <t>reliability</t>
  </si>
  <si>
    <t>%</t>
  </si>
  <si>
    <t>GS</t>
  </si>
  <si>
    <t>https://assurance-platform.goldstandard.org/project-documents/GS1694</t>
  </si>
  <si>
    <t>GS1239 Sichuan Rural Poor-Household Biogas Development Programme PoA- CPA Nb. SCHHBG-2014-087</t>
  </si>
  <si>
    <t>CN</t>
  </si>
  <si>
    <t>Biogas</t>
  </si>
  <si>
    <t>Heat</t>
  </si>
  <si>
    <t>https://registry.goldstandard.org/projects/details/148</t>
  </si>
  <si>
    <t>external_links</t>
  </si>
  <si>
    <t>https://www.upm-cdm.eu/successful-issuance-of-vintage-2022-gs-vers-from-upms-sichuan-household-biogas-poa/</t>
  </si>
  <si>
    <t>[January 2024] Due to the expiry of the Kyoto Protocol and the uncertain future of the CDM after 2020, UPM has decided to have all PoA carbon credits as from (and including) vintage 2020 going forward issued solely under the Gold Standard, as GS VERs. However, the waiver of CDM certification only applies to the PoA’s vintage 2020+ issuances, the PoA itself has not been withdrawn from the CDM. It remains registered both under the CDM and the Gold Standard for the Global Goals (GS4GG) and there is no change whatsoever in the approach or quality of this project.</t>
  </si>
  <si>
    <t>GS PoA ID</t>
  </si>
  <si>
    <t>CDM PoA ID</t>
  </si>
  <si>
    <t>CDM PoA Link</t>
  </si>
  <si>
    <t>https://cdm.unfccc.int/ProgrammeOfActivities/poa_db/5BGM96VOK3ATN4JPR70XSWIQ8CZH2F/view?cp=1</t>
  </si>
  <si>
    <t>5BGM96VOK3ATN4JPR70XSWIQ8CZH2F</t>
  </si>
  <si>
    <t>GS PoA Link</t>
  </si>
  <si>
    <t>project_link</t>
  </si>
  <si>
    <t>weighted_average_MCF</t>
  </si>
  <si>
    <t>GS1288</t>
  </si>
  <si>
    <t>GS1693</t>
  </si>
  <si>
    <t>GS1695</t>
  </si>
  <si>
    <t>GS1696</t>
  </si>
  <si>
    <t>GS1697</t>
  </si>
  <si>
    <t>GS1698</t>
  </si>
  <si>
    <t>GS1699</t>
  </si>
  <si>
    <t>GS1700</t>
  </si>
  <si>
    <t>GS1701</t>
  </si>
  <si>
    <t>GS1702</t>
  </si>
  <si>
    <t>GS1703</t>
  </si>
  <si>
    <t>GS1704</t>
  </si>
  <si>
    <t>GS1705</t>
  </si>
  <si>
    <t>GS1706</t>
  </si>
  <si>
    <t>GS1707</t>
  </si>
  <si>
    <t>GS1708</t>
  </si>
  <si>
    <t>GS1709</t>
  </si>
  <si>
    <t>GS1710</t>
  </si>
  <si>
    <t>GS1711</t>
  </si>
  <si>
    <t>GS1712</t>
  </si>
  <si>
    <t>GS1713</t>
  </si>
  <si>
    <t>GS1714</t>
  </si>
  <si>
    <t>GS1715</t>
  </si>
  <si>
    <t>GS1716</t>
  </si>
  <si>
    <t>GS1717</t>
  </si>
  <si>
    <t>GS1718</t>
  </si>
  <si>
    <t>GS1719</t>
  </si>
  <si>
    <t>GS1720</t>
  </si>
  <si>
    <t>GS1721</t>
  </si>
  <si>
    <t>GS1722</t>
  </si>
  <si>
    <t>GS1723</t>
  </si>
  <si>
    <t>GS1724</t>
  </si>
  <si>
    <t>GS1725</t>
  </si>
  <si>
    <t>GS1726</t>
  </si>
  <si>
    <t>GS1727</t>
  </si>
  <si>
    <t>GS1728</t>
  </si>
  <si>
    <t>GS1730</t>
  </si>
  <si>
    <t>GS1731</t>
  </si>
  <si>
    <t>GS1732</t>
  </si>
  <si>
    <t>GS1733</t>
  </si>
  <si>
    <t>GS1734</t>
  </si>
  <si>
    <t>GS1735</t>
  </si>
  <si>
    <t>GS1736</t>
  </si>
  <si>
    <t>GS1737</t>
  </si>
  <si>
    <t>GS1738</t>
  </si>
  <si>
    <t>GS1739</t>
  </si>
  <si>
    <t>GS1740</t>
  </si>
  <si>
    <t>GS1741</t>
  </si>
  <si>
    <t>GS1742</t>
  </si>
  <si>
    <t>GS1743</t>
  </si>
  <si>
    <t>GS1744</t>
  </si>
  <si>
    <t>GS1745</t>
  </si>
  <si>
    <t>GS2566</t>
  </si>
  <si>
    <t>GS2567</t>
  </si>
  <si>
    <t>GS2568</t>
  </si>
  <si>
    <t>GS2569</t>
  </si>
  <si>
    <t>GS2570</t>
  </si>
  <si>
    <t>GS2571</t>
  </si>
  <si>
    <t>GS2572</t>
  </si>
  <si>
    <t>GS2573</t>
  </si>
  <si>
    <t>GS2574</t>
  </si>
  <si>
    <t>GS2575</t>
  </si>
  <si>
    <t>GS2576</t>
  </si>
  <si>
    <t>GS2577</t>
  </si>
  <si>
    <t>GS2578</t>
  </si>
  <si>
    <t>GS2579</t>
  </si>
  <si>
    <t>GS2580</t>
  </si>
  <si>
    <t>GS2581</t>
  </si>
  <si>
    <t>GS2582</t>
  </si>
  <si>
    <t>GS2583</t>
  </si>
  <si>
    <t>GS2584</t>
  </si>
  <si>
    <t>GS2585</t>
  </si>
  <si>
    <t>GS3588</t>
  </si>
  <si>
    <t>GS3589</t>
  </si>
  <si>
    <t>GS3590</t>
  </si>
  <si>
    <t>GS3591</t>
  </si>
  <si>
    <t>GS3592</t>
  </si>
  <si>
    <t>GS3593</t>
  </si>
  <si>
    <t>GS3594</t>
  </si>
  <si>
    <t>GS3595</t>
  </si>
  <si>
    <t>GS3596</t>
  </si>
  <si>
    <t>GS3597</t>
  </si>
  <si>
    <t>GS3598</t>
  </si>
  <si>
    <t>GS3599</t>
  </si>
  <si>
    <t>GS3600</t>
  </si>
  <si>
    <t>GS3601</t>
  </si>
  <si>
    <t>https://registry.goldstandard.org/projects/details/166</t>
  </si>
  <si>
    <t>https://registry.goldstandard.org/projects/details/243</t>
  </si>
  <si>
    <t>https://registry.goldstandard.org/projects/details/244</t>
  </si>
  <si>
    <t>https://registry.goldstandard.org/projects/details/245</t>
  </si>
  <si>
    <t>https://registry.goldstandard.org/projects/details/246</t>
  </si>
  <si>
    <t>https://registry.goldstandard.org/projects/details/247</t>
  </si>
  <si>
    <t>https://registry.goldstandard.org/projects/details/248</t>
  </si>
  <si>
    <t>https://registry.goldstandard.org/projects/details/249</t>
  </si>
  <si>
    <t>https://registry.goldstandard.org/projects/details/252</t>
  </si>
  <si>
    <t>https://registry.goldstandard.org/projects/details/253</t>
  </si>
  <si>
    <t>https://registry.goldstandard.org/projects/details/254</t>
  </si>
  <si>
    <t>https://registry.goldstandard.org/projects/details/255</t>
  </si>
  <si>
    <t>https://registry.goldstandard.org/projects/details/256</t>
  </si>
  <si>
    <t>https://registry.goldstandard.org/projects/details/257</t>
  </si>
  <si>
    <t>https://registry.goldstandard.org/projects/details/258</t>
  </si>
  <si>
    <t>https://registry.goldstandard.org/projects/details/259</t>
  </si>
  <si>
    <t>https://registry.goldstandard.org/projects/details/260</t>
  </si>
  <si>
    <t>https://registry.goldstandard.org/projects/details/261</t>
  </si>
  <si>
    <t>https://registry.goldstandard.org/projects/details/263</t>
  </si>
  <si>
    <t>https://registry.goldstandard.org/projects/details/264</t>
  </si>
  <si>
    <t>https://registry.goldstandard.org/projects/details/265</t>
  </si>
  <si>
    <t>https://registry.goldstandard.org/projects/details/266</t>
  </si>
  <si>
    <t>https://registry.goldstandard.org/projects/details/267</t>
  </si>
  <si>
    <t>https://registry.goldstandard.org/projects/details/268</t>
  </si>
  <si>
    <t>https://registry.goldstandard.org/projects/details/269</t>
  </si>
  <si>
    <t>https://registry.goldstandard.org/projects/details/270</t>
  </si>
  <si>
    <t>https://registry.goldstandard.org/projects/details/271</t>
  </si>
  <si>
    <t>https://registry.goldstandard.org/projects/details/272</t>
  </si>
  <si>
    <t>https://registry.goldstandard.org/projects/details/273</t>
  </si>
  <si>
    <t>https://registry.goldstandard.org/projects/details/274</t>
  </si>
  <si>
    <t>https://registry.goldstandard.org/projects/details/275</t>
  </si>
  <si>
    <t>https://registry.goldstandard.org/projects/details/276</t>
  </si>
  <si>
    <t>https://registry.goldstandard.org/projects/details/277</t>
  </si>
  <si>
    <t>https://registry.goldstandard.org/projects/details/278</t>
  </si>
  <si>
    <t>https://registry.goldstandard.org/projects/details/280</t>
  </si>
  <si>
    <t>https://registry.goldstandard.org/projects/details/281</t>
  </si>
  <si>
    <t>https://registry.goldstandard.org/projects/details/282</t>
  </si>
  <si>
    <t>https://registry.goldstandard.org/projects/details/283</t>
  </si>
  <si>
    <t>https://registry.goldstandard.org/projects/details/285</t>
  </si>
  <si>
    <t>https://registry.goldstandard.org/projects/details/286</t>
  </si>
  <si>
    <t>https://registry.goldstandard.org/projects/details/287</t>
  </si>
  <si>
    <t>https://registry.goldstandard.org/projects/details/289</t>
  </si>
  <si>
    <t>https://registry.goldstandard.org/projects/details/290</t>
  </si>
  <si>
    <t>https://registry.goldstandard.org/projects/details/291</t>
  </si>
  <si>
    <t>https://registry.goldstandard.org/projects/details/292</t>
  </si>
  <si>
    <t>https://registry.goldstandard.org/projects/details/293</t>
  </si>
  <si>
    <t>https://registry.goldstandard.org/projects/details/294</t>
  </si>
  <si>
    <t>https://registry.goldstandard.org/projects/details/295</t>
  </si>
  <si>
    <t>https://registry.goldstandard.org/projects/details/296</t>
  </si>
  <si>
    <t>https://registry.goldstandard.org/projects/details/297</t>
  </si>
  <si>
    <t>https://registry.goldstandard.org/projects/details/298</t>
  </si>
  <si>
    <t>https://registry.goldstandard.org/projects/details/422</t>
  </si>
  <si>
    <t>https://registry.goldstandard.org/projects/details/423</t>
  </si>
  <si>
    <t>https://registry.goldstandard.org/projects/details/424</t>
  </si>
  <si>
    <t>https://registry.goldstandard.org/projects/details/425</t>
  </si>
  <si>
    <t>https://registry.goldstandard.org/projects/details/426</t>
  </si>
  <si>
    <t>https://registry.goldstandard.org/projects/details/427</t>
  </si>
  <si>
    <t>https://registry.goldstandard.org/projects/details/428</t>
  </si>
  <si>
    <t>https://registry.goldstandard.org/projects/details/429</t>
  </si>
  <si>
    <t>https://registry.goldstandard.org/projects/details/430</t>
  </si>
  <si>
    <t>https://registry.goldstandard.org/projects/details/431</t>
  </si>
  <si>
    <t>https://registry.goldstandard.org/projects/details/432</t>
  </si>
  <si>
    <t>https://registry.goldstandard.org/projects/details/433</t>
  </si>
  <si>
    <t>https://registry.goldstandard.org/projects/details/434</t>
  </si>
  <si>
    <t>https://registry.goldstandard.org/projects/details/435</t>
  </si>
  <si>
    <t>https://registry.goldstandard.org/projects/details/436</t>
  </si>
  <si>
    <t>https://registry.goldstandard.org/projects/details/437</t>
  </si>
  <si>
    <t>https://registry.goldstandard.org/projects/details/438</t>
  </si>
  <si>
    <t>https://registry.goldstandard.org/projects/details/439</t>
  </si>
  <si>
    <t>https://registry.goldstandard.org/projects/details/440</t>
  </si>
  <si>
    <t>https://registry.goldstandard.org/projects/details/441</t>
  </si>
  <si>
    <t>https://registry.goldstandard.org/projects/details/631</t>
  </si>
  <si>
    <t>https://registry.goldstandard.org/projects/details/632</t>
  </si>
  <si>
    <t>https://registry.goldstandard.org/projects/details/633</t>
  </si>
  <si>
    <t>https://registry.goldstandard.org/projects/details/634</t>
  </si>
  <si>
    <t>https://registry.goldstandard.org/projects/details/635</t>
  </si>
  <si>
    <t>https://registry.goldstandard.org/projects/details/639</t>
  </si>
  <si>
    <t>https://registry.goldstandard.org/projects/details/640</t>
  </si>
  <si>
    <t>https://registry.goldstandard.org/projects/details/641</t>
  </si>
  <si>
    <t>https://registry.goldstandard.org/projects/details/642</t>
  </si>
  <si>
    <t>https://registry.goldstandard.org/projects/details/643</t>
  </si>
  <si>
    <t>https://registry.goldstandard.org/projects/details/644</t>
  </si>
  <si>
    <t>https://registry.goldstandard.org/projects/details/645</t>
  </si>
  <si>
    <t>https://registry.goldstandard.org/projects/details/646</t>
  </si>
  <si>
    <t>https://registry.goldstandard.org/projects/details/647</t>
  </si>
  <si>
    <t>https://assurance-platform.goldstandard.org/project-documents/GS1288</t>
  </si>
  <si>
    <t>https://assurance-platform.goldstandard.org/project-documents/GS1693</t>
  </si>
  <si>
    <t>https://assurance-platform.goldstandard.org/project-documents/GS1695</t>
  </si>
  <si>
    <t>https://assurance-platform.goldstandard.org/project-documents/GS1696</t>
  </si>
  <si>
    <t>https://assurance-platform.goldstandard.org/project-documents/GS1697</t>
  </si>
  <si>
    <t>https://assurance-platform.goldstandard.org/project-documents/GS1698</t>
  </si>
  <si>
    <t>https://assurance-platform.goldstandard.org/project-documents/GS1699</t>
  </si>
  <si>
    <t>https://assurance-platform.goldstandard.org/project-documents/GS1700</t>
  </si>
  <si>
    <t>https://assurance-platform.goldstandard.org/project-documents/GS1701</t>
  </si>
  <si>
    <t>https://assurance-platform.goldstandard.org/project-documents/GS1702</t>
  </si>
  <si>
    <t>https://assurance-platform.goldstandard.org/project-documents/GS1703</t>
  </si>
  <si>
    <t>https://assurance-platform.goldstandard.org/project-documents/GS1704</t>
  </si>
  <si>
    <t>https://assurance-platform.goldstandard.org/project-documents/GS1705</t>
  </si>
  <si>
    <t>https://assurance-platform.goldstandard.org/project-documents/GS1706</t>
  </si>
  <si>
    <t>https://assurance-platform.goldstandard.org/project-documents/GS1707</t>
  </si>
  <si>
    <t>https://assurance-platform.goldstandard.org/project-documents/GS1708</t>
  </si>
  <si>
    <t>https://assurance-platform.goldstandard.org/project-documents/GS1709</t>
  </si>
  <si>
    <t>https://assurance-platform.goldstandard.org/project-documents/GS1710</t>
  </si>
  <si>
    <t>https://assurance-platform.goldstandard.org/project-documents/GS1711</t>
  </si>
  <si>
    <t>https://assurance-platform.goldstandard.org/project-documents/GS1712</t>
  </si>
  <si>
    <t>https://assurance-platform.goldstandard.org/project-documents/GS1713</t>
  </si>
  <si>
    <t>https://assurance-platform.goldstandard.org/project-documents/GS1714</t>
  </si>
  <si>
    <t>https://assurance-platform.goldstandard.org/project-documents/GS1715</t>
  </si>
  <si>
    <t>https://assurance-platform.goldstandard.org/project-documents/GS1716</t>
  </si>
  <si>
    <t>https://assurance-platform.goldstandard.org/project-documents/GS1717</t>
  </si>
  <si>
    <t>https://assurance-platform.goldstandard.org/project-documents/GS1718</t>
  </si>
  <si>
    <t>https://assurance-platform.goldstandard.org/project-documents/GS1719</t>
  </si>
  <si>
    <t>https://assurance-platform.goldstandard.org/project-documents/GS1720</t>
  </si>
  <si>
    <t>https://assurance-platform.goldstandard.org/project-documents/GS1721</t>
  </si>
  <si>
    <t>https://assurance-platform.goldstandard.org/project-documents/GS1722</t>
  </si>
  <si>
    <t>https://assurance-platform.goldstandard.org/project-documents/GS1723</t>
  </si>
  <si>
    <t>https://assurance-platform.goldstandard.org/project-documents/GS1724</t>
  </si>
  <si>
    <t>https://assurance-platform.goldstandard.org/project-documents/GS1725</t>
  </si>
  <si>
    <t>https://assurance-platform.goldstandard.org/project-documents/GS1726</t>
  </si>
  <si>
    <t>https://assurance-platform.goldstandard.org/project-documents/GS1727</t>
  </si>
  <si>
    <t>https://assurance-platform.goldstandard.org/project-documents/GS1728</t>
  </si>
  <si>
    <t>https://assurance-platform.goldstandard.org/project-documents/GS1730</t>
  </si>
  <si>
    <t>https://assurance-platform.goldstandard.org/project-documents/GS1731</t>
  </si>
  <si>
    <t>https://assurance-platform.goldstandard.org/project-documents/GS1732</t>
  </si>
  <si>
    <t>https://assurance-platform.goldstandard.org/project-documents/GS1733</t>
  </si>
  <si>
    <t>https://assurance-platform.goldstandard.org/project-documents/GS1734</t>
  </si>
  <si>
    <t>https://assurance-platform.goldstandard.org/project-documents/GS1735</t>
  </si>
  <si>
    <t>https://assurance-platform.goldstandard.org/project-documents/GS1736</t>
  </si>
  <si>
    <t>https://assurance-platform.goldstandard.org/project-documents/GS1737</t>
  </si>
  <si>
    <t>https://assurance-platform.goldstandard.org/project-documents/GS1738</t>
  </si>
  <si>
    <t>https://assurance-platform.goldstandard.org/project-documents/GS1739</t>
  </si>
  <si>
    <t>https://assurance-platform.goldstandard.org/project-documents/GS1740</t>
  </si>
  <si>
    <t>https://assurance-platform.goldstandard.org/project-documents/GS1741</t>
  </si>
  <si>
    <t>https://assurance-platform.goldstandard.org/project-documents/GS1742</t>
  </si>
  <si>
    <t>https://assurance-platform.goldstandard.org/project-documents/GS1743</t>
  </si>
  <si>
    <t>https://assurance-platform.goldstandard.org/project-documents/GS1744</t>
  </si>
  <si>
    <t>https://assurance-platform.goldstandard.org/project-documents/GS1745</t>
  </si>
  <si>
    <t>https://assurance-platform.goldstandard.org/project-documents/GS2566</t>
  </si>
  <si>
    <t>https://assurance-platform.goldstandard.org/project-documents/GS2567</t>
  </si>
  <si>
    <t>https://assurance-platform.goldstandard.org/project-documents/GS2568</t>
  </si>
  <si>
    <t>https://assurance-platform.goldstandard.org/project-documents/GS2569</t>
  </si>
  <si>
    <t>https://assurance-platform.goldstandard.org/project-documents/GS2570</t>
  </si>
  <si>
    <t>https://assurance-platform.goldstandard.org/project-documents/GS2571</t>
  </si>
  <si>
    <t>https://assurance-platform.goldstandard.org/project-documents/GS2572</t>
  </si>
  <si>
    <t>https://assurance-platform.goldstandard.org/project-documents/GS2573</t>
  </si>
  <si>
    <t>https://assurance-platform.goldstandard.org/project-documents/GS2574</t>
  </si>
  <si>
    <t>https://assurance-platform.goldstandard.org/project-documents/GS2575</t>
  </si>
  <si>
    <t>https://assurance-platform.goldstandard.org/project-documents/GS2576</t>
  </si>
  <si>
    <t>https://assurance-platform.goldstandard.org/project-documents/GS2577</t>
  </si>
  <si>
    <t>https://assurance-platform.goldstandard.org/project-documents/GS2578</t>
  </si>
  <si>
    <t>https://assurance-platform.goldstandard.org/project-documents/GS2579</t>
  </si>
  <si>
    <t>https://assurance-platform.goldstandard.org/project-documents/GS2580</t>
  </si>
  <si>
    <t>https://assurance-platform.goldstandard.org/project-documents/GS2581</t>
  </si>
  <si>
    <t>https://assurance-platform.goldstandard.org/project-documents/GS2582</t>
  </si>
  <si>
    <t>https://assurance-platform.goldstandard.org/project-documents/GS2583</t>
  </si>
  <si>
    <t>https://assurance-platform.goldstandard.org/project-documents/GS2584</t>
  </si>
  <si>
    <t>https://assurance-platform.goldstandard.org/project-documents/GS2585</t>
  </si>
  <si>
    <t>https://assurance-platform.goldstandard.org/project-documents/GS3588</t>
  </si>
  <si>
    <t>https://assurance-platform.goldstandard.org/project-documents/GS3589</t>
  </si>
  <si>
    <t>https://assurance-platform.goldstandard.org/project-documents/GS3590</t>
  </si>
  <si>
    <t>https://assurance-platform.goldstandard.org/project-documents/GS3591</t>
  </si>
  <si>
    <t>https://assurance-platform.goldstandard.org/project-documents/GS3592</t>
  </si>
  <si>
    <t>https://assurance-platform.goldstandard.org/project-documents/GS3593</t>
  </si>
  <si>
    <t>https://assurance-platform.goldstandard.org/project-documents/GS3594</t>
  </si>
  <si>
    <t>https://assurance-platform.goldstandard.org/project-documents/GS3595</t>
  </si>
  <si>
    <t>https://assurance-platform.goldstandard.org/project-documents/GS3596</t>
  </si>
  <si>
    <t>https://assurance-platform.goldstandard.org/project-documents/GS3597</t>
  </si>
  <si>
    <t>https://assurance-platform.goldstandard.org/project-documents/GS3598</t>
  </si>
  <si>
    <t>https://assurance-platform.goldstandard.org/project-documents/GS3599</t>
  </si>
  <si>
    <t>https://assurance-platform.goldstandard.org/project-documents/GS3600</t>
  </si>
  <si>
    <t>vintage</t>
  </si>
  <si>
    <t>Unique CDM project identifier (traceable with Google)</t>
  </si>
  <si>
    <t>Sichuan Rural Poor-Household Biogas Development Programme, CPA Nb. SCHHBG-2010-01</t>
  </si>
  <si>
    <t>CDM name</t>
  </si>
  <si>
    <t>SCHHBG-2010-001</t>
  </si>
  <si>
    <t>SCHHBG-2012-002</t>
  </si>
  <si>
    <t>SCHHBG-2012-003</t>
  </si>
  <si>
    <t>SCHHBG-2012-004</t>
  </si>
  <si>
    <t>SCHHBG-2012-005</t>
  </si>
  <si>
    <t>SCHHBG-2012-006</t>
  </si>
  <si>
    <t>SCHHBG-2012-007</t>
  </si>
  <si>
    <t>SCHHBG-2012-008</t>
  </si>
  <si>
    <t>SCHHBG-2012-009</t>
  </si>
  <si>
    <t>SCHHBG-2012-010</t>
  </si>
  <si>
    <t>SCHHBG-2012-011</t>
  </si>
  <si>
    <t>SCHHBG-2012-012</t>
  </si>
  <si>
    <t>SCHHBG-2012-013</t>
  </si>
  <si>
    <t>SCHHBG-2012-014</t>
  </si>
  <si>
    <t>SCHHBG-2012-015</t>
  </si>
  <si>
    <t>SCHHBG-2012-016</t>
  </si>
  <si>
    <t>SCHHBG-2012-017</t>
  </si>
  <si>
    <t>SCHHBG-2012-018</t>
  </si>
  <si>
    <t>SCHHBG-2012-019</t>
  </si>
  <si>
    <t>SCHHBG-2012-020</t>
  </si>
  <si>
    <t>SCHHBG-2012-021</t>
  </si>
  <si>
    <t>SCHHBG-2012-022</t>
  </si>
  <si>
    <t>SCHHBG-2012-023</t>
  </si>
  <si>
    <t>SCHHBG-2012-024</t>
  </si>
  <si>
    <t>SCHHBG-2012-025</t>
  </si>
  <si>
    <t>SCHHBG-2012-026</t>
  </si>
  <si>
    <t>SCHHBG-2012-027</t>
  </si>
  <si>
    <t>SCHHBG-2012-028</t>
  </si>
  <si>
    <t>SCHHBG-2012-029</t>
  </si>
  <si>
    <t>SCHHBG-2012-030</t>
  </si>
  <si>
    <t>SCHHBG-2012-031</t>
  </si>
  <si>
    <t>SCHHBG-2012-032</t>
  </si>
  <si>
    <t>SCHHBG-2012-033</t>
  </si>
  <si>
    <t>SCHHBG-2012-034</t>
  </si>
  <si>
    <t>SCHHBG-2012-035</t>
  </si>
  <si>
    <t>SCHHBG-2012-036</t>
  </si>
  <si>
    <t>SCHHBG-2012-037</t>
  </si>
  <si>
    <t>SCHHBG-2012-038</t>
  </si>
  <si>
    <t>SCHHBG-2012-039</t>
  </si>
  <si>
    <t>SCHHBG-2012-040</t>
  </si>
  <si>
    <t>SCHHBG-2012-041</t>
  </si>
  <si>
    <t>SCHHBG-2012-042</t>
  </si>
  <si>
    <t>SCHHBG-2012-043</t>
  </si>
  <si>
    <t>SCHHBG-2012-044</t>
  </si>
  <si>
    <t>SCHHBG-2012-045</t>
  </si>
  <si>
    <t>SCHHBG-2012-046</t>
  </si>
  <si>
    <t>SCHHBG-2012-047</t>
  </si>
  <si>
    <t>SCHHBG-2012-048</t>
  </si>
  <si>
    <t>SCHHBG-2012-049</t>
  </si>
  <si>
    <t>SCHHBG-2012-050</t>
  </si>
  <si>
    <t>SCHHBG-2012-051</t>
  </si>
  <si>
    <t>SCHHBG-2012-052</t>
  </si>
  <si>
    <t>SCHHBG-2012-053</t>
  </si>
  <si>
    <t>GS ID</t>
  </si>
  <si>
    <t>[January 2024, information from the project website (in external link)] Due to the expiry of the Kyoto Protocol and the uncertain future of the CDM after 2020, UPM has decided to have all PoA carbon credits as from (and including) vintage 2020 going forward issued solely under the Gold Standard, as GS VERs. However, the waiver of CDM certification only applies to the PoA’s vintage 2020+ issuances, the PoA itself has not been withdrawn from the CDM. It remains registered both under the CDM and the Gold Standard for the Global Goals (GS4GG) and there is no change whatsoever in the approach or quality of this project.</t>
  </si>
  <si>
    <t>GWP_CH4 was updated from 21 to 25 in 2013 for this project</t>
  </si>
  <si>
    <t>SCHHBG-2012-054</t>
  </si>
  <si>
    <t>SCHHBG-2012-055</t>
  </si>
  <si>
    <t>SCHHBG-2012-056</t>
  </si>
  <si>
    <t>SCHHBG-2012-057</t>
  </si>
  <si>
    <t>SCHHBG-2012-058</t>
  </si>
  <si>
    <t>SCHHBG-2012-059</t>
  </si>
  <si>
    <t>SCHHBG-2012-060</t>
  </si>
  <si>
    <t>SCHHBG-2012-061</t>
  </si>
  <si>
    <t>SCHHBG-2012-062</t>
  </si>
  <si>
    <t>SCHHBG-2012-063</t>
  </si>
  <si>
    <t>SCHHBG-2012-064</t>
  </si>
  <si>
    <t>SCHHBG-2012-065</t>
  </si>
  <si>
    <t>SCHHBG-2012-066</t>
  </si>
  <si>
    <t>SCHHBG-2012-067</t>
  </si>
  <si>
    <t>SCHHBG-2012-068</t>
  </si>
  <si>
    <t>SCHHBG-2012-069</t>
  </si>
  <si>
    <t>SCHHBG-2012-070</t>
  </si>
  <si>
    <t>SCHHBG-2012-071</t>
  </si>
  <si>
    <t>SCHHBG-2012-072</t>
  </si>
  <si>
    <t>SCHHBG-2012-073</t>
  </si>
  <si>
    <t>SCHHBG-2012-074</t>
  </si>
  <si>
    <t>SCHHBG-2012-075</t>
  </si>
  <si>
    <t>SCHHBG-2012-076</t>
  </si>
  <si>
    <t>SCHHBG-2012-077</t>
  </si>
  <si>
    <t>SCHHBG-2012-078</t>
  </si>
  <si>
    <t>SCHHBG-2012-079</t>
  </si>
  <si>
    <t>SCHHBG-2012-080</t>
  </si>
  <si>
    <t>SCHHBG-2012-081</t>
  </si>
  <si>
    <t>SCHHBG-2012-082</t>
  </si>
  <si>
    <t>SCHHBG-2012-083</t>
  </si>
  <si>
    <t>SCHHBG-2012-084</t>
  </si>
  <si>
    <t>SCHHBG-2012-085</t>
  </si>
  <si>
    <t>SCHHBG-2012-086</t>
  </si>
  <si>
    <t>SCHHBG-2012-087</t>
  </si>
  <si>
    <t xml:space="preserve">For this monitoring period, the exact calculation excel file was missing. This data was copied from a pdf. </t>
  </si>
  <si>
    <t>For some reason, this monitoring report multiplied BE and PE with the coal consumption uncertainty factors, but the reports before and after do not.</t>
  </si>
  <si>
    <t>GS TPDDTEC</t>
  </si>
  <si>
    <t xml:space="preserve">MP 1 and 2 after the switch from CDM to GS are missing! These should be called MP9 and MP10 in the document names (because they are a continuation of the CDM PoA1239). GS Staff are looking into it, status Jan 2025. The data in this dataset in the colums for MP9 and MP10 are copied from MP11 under the assumptions that most values (especially the default values) are similar or even exactly the same. Not that there may the data may deviate from the values in the GS registry. </t>
  </si>
  <si>
    <t>IN</t>
  </si>
  <si>
    <t>Manure</t>
  </si>
  <si>
    <t>BE_AMS-I.E</t>
  </si>
  <si>
    <t>BE_AMS-III.R</t>
  </si>
  <si>
    <t>The number of  days is not the total number of days of the monitoring period but the average number of days in operation.</t>
  </si>
  <si>
    <t>N_dairy_cow</t>
  </si>
  <si>
    <t>N_buffalo</t>
  </si>
  <si>
    <t>N_other_cattle</t>
  </si>
  <si>
    <t>Days_per_year</t>
  </si>
  <si>
    <t>kg_per_ton</t>
  </si>
  <si>
    <t>notes_2</t>
  </si>
  <si>
    <t xml:space="preserve">The data given in the MPs is relatively complex. It was boiled down to match the complexity of this file. Rounding error and small inconsistencies may appear though the ER outcome matches the MP record closely. </t>
  </si>
  <si>
    <t>HH_2cu.m.</t>
  </si>
  <si>
    <t>HH_3cu.m.</t>
  </si>
  <si>
    <t>VS_dairy_cow</t>
  </si>
  <si>
    <t>VS_buffalo</t>
  </si>
  <si>
    <t>VS_other_cattle</t>
  </si>
  <si>
    <t>Bo_dairy_cow</t>
  </si>
  <si>
    <t>Bo_buffalo</t>
  </si>
  <si>
    <t>Bo_other_cattle</t>
  </si>
  <si>
    <t>MCF_liquid</t>
  </si>
  <si>
    <t>MCF_liquid_crust</t>
  </si>
  <si>
    <t>MCF_solid</t>
  </si>
  <si>
    <t>MS_liquid</t>
  </si>
  <si>
    <t>MS_liquid_crust</t>
  </si>
  <si>
    <t>MS_solid</t>
  </si>
  <si>
    <t>notes_3</t>
  </si>
  <si>
    <t>Adjustment factor of animal confinement time</t>
  </si>
  <si>
    <t>There seems to be a calculation error in MP2 in AMS-III.R in E43, if not more on that page. The error resulted in a HIGHER baseline!</t>
  </si>
  <si>
    <t>https://cdm.unfccc.int/Projects/DB/SGS-UKL1287587238.03/view</t>
  </si>
  <si>
    <t>tCO2/TJ</t>
  </si>
  <si>
    <t>notes_4</t>
  </si>
  <si>
    <t>In this project, our calculation seems to be 5% lower than the calculations from the MP. Due to time constraints we were not able to finde the difference</t>
  </si>
  <si>
    <t>probably_mistake_in_monitoring_report</t>
  </si>
  <si>
    <t>notes_5</t>
  </si>
  <si>
    <t>The project emissions are calculated wrong in some instances (e.g. MP4 put 0 for the number of households with 2cu.m. digesters with no explanation)</t>
  </si>
  <si>
    <t>notes_6</t>
  </si>
  <si>
    <t>Raw data of this project gives good theoretical overview how AMS-IE and AMS-IIIR work</t>
  </si>
  <si>
    <t>Attention: the number of functioning days is suddenly on 365! (no explanation) Also note: The ERs increase year by year, which is mainly due to the number of days functioning increasing to 365</t>
  </si>
  <si>
    <t>notes_7</t>
  </si>
  <si>
    <t>notes_8</t>
  </si>
  <si>
    <t>Note: The confinement factor time was increased resulting in roughly 1000 more Ers</t>
  </si>
  <si>
    <t>Micro Scale Biogas CDM Project of WORD</t>
  </si>
  <si>
    <t>G9VQQQS8MFCFOP22BXI0LBJ5T2NW0A</t>
  </si>
  <si>
    <t>MS_solid_storage</t>
  </si>
  <si>
    <t>MCF_solid_storage</t>
  </si>
  <si>
    <t>https://www.wordorg.net/microscale-cdm-biogas-project.html?trk=public_post_main-feed-card_reshare-text</t>
  </si>
  <si>
    <t>This project is mssing any monitoring documents. Since it is a relatively large project with support from different official bodies, underwent the entire application process successfully and information about it is published on the WORD website (see external links), there is no reason to assume that the requests for CERs didn't take place. Unfortunately, there is no way to check if and when and how many CERs were issued. Therefore, we here present the values as measured through surveys and default values as given in the PDD. Likely, the number of actually issued CERs deviates from the default number, but usually the predictions are quite accurate. There is no reason to believe the predictions are inaccurate in this project.</t>
  </si>
  <si>
    <t>Even though the PDD mentions GWP_CH4 = 21 in 2012, we put 25 here because this value was updated in 2013 (first monitoring period was in 2014)</t>
  </si>
  <si>
    <t>The EF_LS life stock emission factor was missing from the PDD, so we estimated it from backtracing the value through the given BE for AMS-III.R</t>
  </si>
  <si>
    <t>GS11394</t>
  </si>
  <si>
    <t>India Dairy Biogas Program</t>
  </si>
  <si>
    <t>Biogas - Heat</t>
  </si>
  <si>
    <t>GS TPDDTEC version</t>
  </si>
  <si>
    <t>P_b_wood_y</t>
  </si>
  <si>
    <t>tons/capita/year</t>
  </si>
  <si>
    <t>P_b_LPG_y</t>
  </si>
  <si>
    <t>P_p_y</t>
  </si>
  <si>
    <t>tons/household/day</t>
  </si>
  <si>
    <t>percentage</t>
  </si>
  <si>
    <t>days</t>
  </si>
  <si>
    <t>U_p_y</t>
  </si>
  <si>
    <t>N_p_y</t>
  </si>
  <si>
    <t>EF_awms_T_b</t>
  </si>
  <si>
    <t>LE_p_y</t>
  </si>
  <si>
    <t>notes_HH</t>
  </si>
  <si>
    <t>Different cu.m. sizes cumulated</t>
  </si>
  <si>
    <t>VS_swine</t>
  </si>
  <si>
    <t>B_b_y_wood</t>
  </si>
  <si>
    <t>B_b_y_LPG</t>
  </si>
  <si>
    <t>tCO2</t>
  </si>
  <si>
    <t>text</t>
  </si>
  <si>
    <t>t/year</t>
  </si>
  <si>
    <t>B_p_y_LPG</t>
  </si>
  <si>
    <t>PE_p_y_wood =
B_p_y _wood *
((f_NRB * EF_p_wood_CO2)
+ EF_p_wood_nonCO2)
* NCV_p_wood</t>
  </si>
  <si>
    <t>PE_p_y_LPG =
B_p_y_LPG *
((f_NRB * EF_p_LPG_CO2)
+ EF_p_LPG_nonCO2)
* NCV_p_LPG</t>
  </si>
  <si>
    <t>NCV_wood</t>
  </si>
  <si>
    <t>NCV_LPG</t>
  </si>
  <si>
    <t>EF_wood_CO2</t>
  </si>
  <si>
    <t>EF_wood_nonCO2</t>
  </si>
  <si>
    <t>EF_LPG_CO2</t>
  </si>
  <si>
    <t>EF_LPG_nonCO2</t>
  </si>
  <si>
    <t>BE_y_firewood =
B_b_y_firewood *
((f_NRB * EF_wood_CO2
+ EF_wood_nonCO2)
*NCV_b_wood</t>
  </si>
  <si>
    <t>BE_y_LPG =
B_b_y_LPG *
((f_NRB* EF_LPG_CO2)
+ EF_LPG_nonCO2)
* NCV_LPG</t>
  </si>
  <si>
    <t>BE_y_firewood</t>
  </si>
  <si>
    <t>BE_y_LPG</t>
  </si>
  <si>
    <t>BE_y_LPG_text_formula</t>
  </si>
  <si>
    <t>BE_y_firewood+LPG</t>
  </si>
  <si>
    <t>PE_y_wood</t>
  </si>
  <si>
    <t>PE_y_wood_text_formula</t>
  </si>
  <si>
    <t>PE_y_LPG</t>
  </si>
  <si>
    <t>PE_y_LPG_text_formula</t>
  </si>
  <si>
    <t>PE_y_firewood+LPG</t>
  </si>
  <si>
    <t>The project files are not complete. A lot of data is missing and it is difficult to reproduce the Ers issued. The public reports reference multiple other pdfs and excels that don't exist in the registry.</t>
  </si>
  <si>
    <t>https://registry.goldstandard.org/projects/details/3415</t>
  </si>
  <si>
    <t>THIS PROJECT IS NOT COMPLETE. CALCULATIONS COULD NOT BE REPRODUCED DUE TO MISSING FILES.</t>
  </si>
  <si>
    <t>GS4265</t>
  </si>
  <si>
    <t>WWF Biogas Nepal II</t>
  </si>
  <si>
    <t>https://registry.goldstandard.org/projects/details/730</t>
  </si>
  <si>
    <t>tCO2/t wood</t>
  </si>
  <si>
    <t>GS1201</t>
  </si>
  <si>
    <t>https://cdm.unfccc.int/Projects/DB/TUEV-RHEIN1353294073.62/view</t>
  </si>
  <si>
    <t>Promotion of clean cooking solutions in rural India by Infosys – VPA 2</t>
  </si>
  <si>
    <t>GS11722</t>
  </si>
  <si>
    <t>GS10655</t>
  </si>
  <si>
    <t>https://registry.goldstandard.org/projects/details/2628</t>
  </si>
  <si>
    <t>https://registry.goldstandard.org/projects/details/3853</t>
  </si>
  <si>
    <t>number_of_biogas_days</t>
  </si>
  <si>
    <t>Calculated: BEb,y =  Bb,y * ((f NRB, y * EFb,fuel, CO2) + EFb,fuel, nonCO2) * NCV b, fuel</t>
  </si>
  <si>
    <t>B_b_y_wood_day</t>
  </si>
  <si>
    <t>BE_awms_day</t>
  </si>
  <si>
    <t>BE_awms_day_text_formula</t>
  </si>
  <si>
    <t>Calculated : BEawms,h = GWPCH 4 * ∑ (EFawms(T) *N(T ),h )</t>
  </si>
  <si>
    <t>BE_text_formula</t>
  </si>
  <si>
    <t>BE = BE_b_y_day + BE_awms_day) * number_of_biogas_days * U_p_y</t>
  </si>
  <si>
    <t>B_p_y_wood_day</t>
  </si>
  <si>
    <t>B_p_y_wood_year</t>
  </si>
  <si>
    <t>PE_physical_leakage</t>
  </si>
  <si>
    <t>EF_p_dairy_cow</t>
  </si>
  <si>
    <t>EF_p_buffalo</t>
  </si>
  <si>
    <t>EF_p_other_cattle</t>
  </si>
  <si>
    <t>total_number_of_biogas_days</t>
  </si>
  <si>
    <t>number_of_biogas_days_not_functioning</t>
  </si>
  <si>
    <t>The number of dairy cows sunk from 2.3 to 0.8 (source: survexy). This is a huge change!</t>
  </si>
  <si>
    <t>dung_not_treated</t>
  </si>
  <si>
    <t>GS10710</t>
  </si>
  <si>
    <t>Promotion of clean cooking solutions in rural India by Infosys – VPA 1</t>
  </si>
  <si>
    <t>https://registry.goldstandard.org/projects/details/2668</t>
  </si>
  <si>
    <t>The EF for AWMS per animal is MUCH smaller for the PE calculation than the  BE calculation. Is that correct?</t>
  </si>
  <si>
    <t>The variable dung_not_treated is only used in this MP and only appears in this PA in this PoA. Is there a reason it is never used in the other periods and projects in the PoA? It has a very big impact?</t>
  </si>
  <si>
    <t>The BE for kerosine was omitted for this PA because it was negligible</t>
  </si>
  <si>
    <t>GS10812</t>
  </si>
  <si>
    <t>This project has been transferred from the CDM after almost 10 years and many other PAs there. Only VERs issued through the VCM are calculated in this column.</t>
  </si>
  <si>
    <t>https://registry.goldstandard.org/projects/details/2769</t>
  </si>
  <si>
    <t>Biogas Support Program – Nepal Activity-3</t>
  </si>
  <si>
    <t>Biogas Support Program – Nepal Activity-4</t>
  </si>
  <si>
    <t>GS10813</t>
  </si>
  <si>
    <t>https://registry.goldstandard.org/projects/details/2770</t>
  </si>
  <si>
    <t>GS11568</t>
  </si>
  <si>
    <t>Biodigesters program for a low-carbon livestock sector in Vietnam (BioLive)</t>
  </si>
  <si>
    <t>VN</t>
  </si>
  <si>
    <t>https://registry.goldstandard.org/projects/details/3660</t>
  </si>
  <si>
    <t>BE_wood_day</t>
  </si>
  <si>
    <t>BE_wood_day_text_formula</t>
  </si>
  <si>
    <t>BE_LPG_day</t>
  </si>
  <si>
    <t>PE_wood_day</t>
  </si>
  <si>
    <t>EF_p_awms</t>
  </si>
  <si>
    <t>BE_wood_HH_year</t>
  </si>
  <si>
    <t>BE_awms_HH_year</t>
  </si>
  <si>
    <t>BE_LPG_HH_year</t>
  </si>
  <si>
    <t>BE_total_HH_year</t>
  </si>
  <si>
    <t>PE_wood_HH_year</t>
  </si>
  <si>
    <t>PE_physical_leakage_HH_year</t>
  </si>
  <si>
    <t>PE_awms_HH_year</t>
  </si>
  <si>
    <t>PE_LPG_HH_year</t>
  </si>
  <si>
    <t>PE_LPG_day</t>
  </si>
  <si>
    <t>PE_sum_HH_year</t>
  </si>
  <si>
    <t>ER_sum_HH_year</t>
  </si>
  <si>
    <t xml:space="preserve">there is a 3% difference from the credits issued due to the unbelievably cumbersome calculation in the monitoring report that we were not able to reproduce. </t>
  </si>
  <si>
    <t>data_missing</t>
  </si>
  <si>
    <t>total_reductions_project</t>
  </si>
  <si>
    <t>functionality_simple</t>
  </si>
  <si>
    <t>projects that have missing data should not be considered in the monte carlo simulation</t>
  </si>
  <si>
    <t>projects that have no or little data on how they count the number of active households. These projects can be used in the functionality MC simulation in a simple way (i.e. without data edits by simply updating HH_active)</t>
  </si>
  <si>
    <t>The project asked whether digester was operational or not (almost all were "operational") and translated the resulting fraction of operational devices into "usage rate"</t>
  </si>
  <si>
    <t>notes_9</t>
  </si>
  <si>
    <t>The project ran a monitoring survey but didn't use the resulting fraction of operational devices. (Assumed all devices were functioning, even though at lease some showed technical or other problems)</t>
  </si>
  <si>
    <t>The project ran an extensive monitoring survey and found only about 90% of the devices working, but then DIDN'T use that number! They only listed it in the SDGs overview section of the MR</t>
  </si>
  <si>
    <t>binary</t>
  </si>
  <si>
    <t>number</t>
  </si>
  <si>
    <t>date</t>
  </si>
  <si>
    <t>component project activity</t>
  </si>
  <si>
    <t>number of households</t>
  </si>
  <si>
    <t>Biomass Consumption Baseline per household per year</t>
  </si>
  <si>
    <t>t/day</t>
  </si>
  <si>
    <t>Weighted Average Methane Correction Factor</t>
  </si>
  <si>
    <t>factor</t>
  </si>
  <si>
    <t>Biomass consumption in the project scenario for a household in year y.</t>
  </si>
  <si>
    <t>Average biomass consumption per household in year y.</t>
  </si>
  <si>
    <t>Total biomass consumption in the project scenario in year y.</t>
  </si>
  <si>
    <t>Biomass consumption from wood in the baseline scenario in year y.</t>
  </si>
  <si>
    <t>Daily biomass consumption from wood in the baseline scenario in year y.</t>
  </si>
  <si>
    <t>Biomass consumption from LPG (Liquefied Petroleum Gas) in the baseline scenario in year y.</t>
  </si>
  <si>
    <t>Biomass consumption from wood in the project scenario per year in year y.</t>
  </si>
  <si>
    <t>Biomass consumption from wood in the project scenario per day in year y.</t>
  </si>
  <si>
    <t>Biomass consumption from LPG in the project scenario in year y.</t>
  </si>
  <si>
    <t>Fraction of baseline biomass consumption from wood in year y.</t>
  </si>
  <si>
    <t>Fraction of baseline biomass consumption from LPG in year y.</t>
  </si>
  <si>
    <t>Fraction of project scenario biomass consumption in year y.</t>
  </si>
  <si>
    <t>Usage rate of project technology or intervention in year y (e.g., the percentage of households still using improved cookstoves).</t>
  </si>
  <si>
    <t>Number of project beneficiaries (households or users) in year y.</t>
  </si>
  <si>
    <t>Emission Factor (EF) for animal waste management system (AWMS) for treatment type T in the baseline scenario.</t>
  </si>
  <si>
    <t>Leakage emissions in year y (emissions outside the project boundary due to project implementation).</t>
  </si>
  <si>
    <t>tCO2e/y</t>
  </si>
  <si>
    <t>kgCH4/animal/year</t>
  </si>
  <si>
    <t>number of livestock (N) of a specific livestock type (LT) in year (y).</t>
  </si>
  <si>
    <t>h</t>
  </si>
  <si>
    <t>tCO2e</t>
  </si>
  <si>
    <t>number of animals</t>
  </si>
  <si>
    <t>number of dairy cowa</t>
  </si>
  <si>
    <t>number of buffalos</t>
  </si>
  <si>
    <t>number of other cattles</t>
  </si>
  <si>
    <t>t</t>
  </si>
  <si>
    <t>Coal Fuel Consumption in the Project (PE) Scenario in year y</t>
  </si>
  <si>
    <t>Coal Fuel Consumption in the Baseline (BL) Scenario in year y</t>
  </si>
  <si>
    <t>FC_BL,y</t>
  </si>
  <si>
    <t>FC_PE,y</t>
  </si>
  <si>
    <t>Time active</t>
  </si>
  <si>
    <t>Fraction of non-renewable biomass</t>
  </si>
  <si>
    <t>Manure Management System Share</t>
  </si>
  <si>
    <t>fraction</t>
  </si>
  <si>
    <t>Net calorific value of biomass</t>
  </si>
  <si>
    <t>Net calorific value of wood</t>
  </si>
  <si>
    <t>Net calorific value of LPG</t>
  </si>
  <si>
    <t>MJ/kg</t>
  </si>
  <si>
    <t>Emission factor for fossil fuel projected</t>
  </si>
  <si>
    <t>Fraction of year project was in operation</t>
  </si>
  <si>
    <t>tCO2e/day</t>
  </si>
  <si>
    <t>tCO2e/year</t>
  </si>
  <si>
    <t>Baseline emissions from wood consumption per day</t>
  </si>
  <si>
    <t>Baseline emissions from wood consumption per household per year</t>
  </si>
  <si>
    <t>Text formula representation for daily baseline emissions from wood.</t>
  </si>
  <si>
    <t>Baseline emissions from animal waste management per day</t>
  </si>
  <si>
    <t>Baseline emissions from AWMS per household per year</t>
  </si>
  <si>
    <t>Text formula representation for daily baseline emissions from AWMS.</t>
  </si>
  <si>
    <t>Baseline emissions from LPG consumption per day</t>
  </si>
  <si>
    <t>UF_b_coal</t>
  </si>
  <si>
    <t>UF_p_coal</t>
  </si>
  <si>
    <t>Tons volatile solids (manure) per cow</t>
  </si>
  <si>
    <t>Tons volatile solids (manure) per buffalo</t>
  </si>
  <si>
    <t>Tons volatile solids (manure) per swine</t>
  </si>
  <si>
    <t>Tons volatile solids (manure) per other cattle</t>
  </si>
  <si>
    <t>Methane-producing potential of manure from dairy cows.</t>
  </si>
  <si>
    <t>m^3 CH4/kg VS</t>
  </si>
  <si>
    <t>Methane-producing potential of manure from buffalos</t>
  </si>
  <si>
    <t>Methane-producing potential of manure from other cattle</t>
  </si>
  <si>
    <t>Methane Correction Factor  for liquid manure with a surface crust</t>
  </si>
  <si>
    <t>Methane Correction Factor  for liquid manure</t>
  </si>
  <si>
    <t>Methane Correction Factor for solid manure in storage (more anaerobic)</t>
  </si>
  <si>
    <t>Methane Correction Factor for solid manure storage (more aerobic)</t>
  </si>
  <si>
    <t>CDM or GS</t>
  </si>
  <si>
    <t>Gold Standard project ID</t>
  </si>
  <si>
    <t>1 if project belongs to a Program of Activities</t>
  </si>
  <si>
    <t>Gold Standard Program of Activities ID</t>
  </si>
  <si>
    <t>CDM Program of Activities ID</t>
  </si>
  <si>
    <t>CDM Program of Activities link</t>
  </si>
  <si>
    <t>Gold Standard Program of Activities link</t>
  </si>
  <si>
    <t>Project Name</t>
  </si>
  <si>
    <t>Project Name on CDM if it also has a GS name</t>
  </si>
  <si>
    <t>Country</t>
  </si>
  <si>
    <t>Project type</t>
  </si>
  <si>
    <t>Project subtype</t>
  </si>
  <si>
    <t xml:space="preserve">diveres links that might be interesting. </t>
  </si>
  <si>
    <t>additional_information</t>
  </si>
  <si>
    <t>Additional information</t>
  </si>
  <si>
    <t>1 if project uses AMS-III.R</t>
  </si>
  <si>
    <t>1 if project uses GS TPDDTEC</t>
  </si>
  <si>
    <t>1 if project uses AMS-I.E</t>
  </si>
  <si>
    <t>Version number of AMS-I.E if project uses this methodology</t>
  </si>
  <si>
    <t>Version number of GS TPDDTEC if project uses this methodology</t>
  </si>
  <si>
    <t>link to the project on its respective platform</t>
  </si>
  <si>
    <t>link to the project's monitoring documents on its respective platform</t>
  </si>
  <si>
    <t>Total verified emission reductions of that project until the time of data collection</t>
  </si>
  <si>
    <t>Monitoring period (numbered from 1, matches the raw data monitoring files)</t>
  </si>
  <si>
    <t>Year of monitoring</t>
  </si>
  <si>
    <t>Year of vintage (i.e. for what year the credits were issued. Can be same as year monitored, but doesn't have to be)</t>
  </si>
  <si>
    <t>Start of monitoring period</t>
  </si>
  <si>
    <t>End of monitoring period</t>
  </si>
  <si>
    <t>Number of days the project was active (in many cases this is then equivalent to number of days each individual biogas digester is active.)</t>
  </si>
  <si>
    <t>Number of days biogas digesters were active cumulatively (some projects calculate on daily basis rather than yearly).</t>
  </si>
  <si>
    <t>Number of biogas days not functioning</t>
  </si>
  <si>
    <t>total number of biogas days minus days not functioning</t>
  </si>
  <si>
    <t>Number of households in project</t>
  </si>
  <si>
    <t>Notes about households</t>
  </si>
  <si>
    <t>Number of households with a 2 cubic meter digester</t>
  </si>
  <si>
    <t>Number of households with a 3 cubic meter digester</t>
  </si>
  <si>
    <t>Number of households active</t>
  </si>
  <si>
    <t>Total baseline emissions per household per year</t>
  </si>
  <si>
    <t>Project emissions from wood consumption per day.</t>
  </si>
  <si>
    <t>Project emissions from wood consumption per household per year.</t>
  </si>
  <si>
    <t>Total project emissions from wood use in year y</t>
  </si>
  <si>
    <t>Mathematical expression for calculating PE_y_wood.</t>
  </si>
  <si>
    <t>Total project emissions from LPG use in year y</t>
  </si>
  <si>
    <t>Project emissions from LPG consumption per day</t>
  </si>
  <si>
    <t>Project emissions from LPG consumption per household per year</t>
  </si>
  <si>
    <t>test</t>
  </si>
  <si>
    <t>Mathematical formula for PE_y_LPG</t>
  </si>
  <si>
    <t>Total project emissions from combined use of firewood and LPG in year y</t>
  </si>
  <si>
    <t>Project emissions due to physical leakage of biogas</t>
  </si>
  <si>
    <t>Project emissions from biogas leakage per household per year</t>
  </si>
  <si>
    <t>Fraction of dung not treated. Only used in one project during one year. (Anomaly)</t>
  </si>
  <si>
    <t>PE_awms_HH_day</t>
  </si>
  <si>
    <t>Project emissions per day per household for animal waste management system</t>
  </si>
  <si>
    <t>Project emissions per year per household for animal waste management system</t>
  </si>
  <si>
    <t>Total project emissions per household per year from all sources</t>
  </si>
  <si>
    <t>Total emissions recutions per household per year from all sources</t>
  </si>
  <si>
    <t>Baseline emissions from AMS-III.R part of project</t>
  </si>
  <si>
    <t>Baseline emissions from AMS-I.E part of project</t>
  </si>
  <si>
    <t>BE_AMS-III.R_HH</t>
  </si>
  <si>
    <t>Baseline emissions from AMS-III.R part of project per household</t>
  </si>
  <si>
    <t>Text description of mathematical formula for baseline emissions</t>
  </si>
  <si>
    <t>physical_leakage</t>
  </si>
  <si>
    <t>physical_leakage_factor</t>
  </si>
  <si>
    <t>Fraction of physical leacage used in project (usually default value of 0.1)</t>
  </si>
  <si>
    <t>Physical leakage per year (project emission)</t>
  </si>
  <si>
    <t>PE_HH_year</t>
  </si>
  <si>
    <t>Project emissions per household per year</t>
  </si>
  <si>
    <t>tCO2e/household/year</t>
  </si>
  <si>
    <t>tCO2e/day or tCO2e/year</t>
  </si>
  <si>
    <t>Notes</t>
  </si>
  <si>
    <t>1 means during data collection a mistake was noted in the monitoring documents</t>
  </si>
  <si>
    <t>Density of methane</t>
  </si>
  <si>
    <t>Global Warming Potential (GWP) of methane</t>
  </si>
  <si>
    <t>Number of days in a year (used for calculations)</t>
  </si>
  <si>
    <t>Number of kilograms in a ton (used for calculations)</t>
  </si>
  <si>
    <t>Volatile Solids</t>
  </si>
  <si>
    <t>Maximum methane-producing capacity of manure or organic waste.</t>
  </si>
  <si>
    <t>Share of manure managed in system j under the baseline scenario.</t>
  </si>
  <si>
    <t>NCV</t>
  </si>
  <si>
    <t>Net Calorific Value of baseline fuel</t>
  </si>
  <si>
    <t>BL_MS%</t>
  </si>
  <si>
    <t>EF_FF</t>
  </si>
  <si>
    <t>Emission factor for fossil fuels</t>
  </si>
  <si>
    <t>Emission factor for project scenario animal waste management system</t>
  </si>
  <si>
    <t>EF_b_awms</t>
  </si>
  <si>
    <t>Emission factor for baseline scenario animal waste management system</t>
  </si>
  <si>
    <t>tCO2e/TJ</t>
  </si>
  <si>
    <t>tCO2e/t wood</t>
  </si>
  <si>
    <t>Emission factor for project scenario from wood</t>
  </si>
  <si>
    <t>tCO2e/t</t>
  </si>
  <si>
    <t>Emission factor for  wood</t>
  </si>
  <si>
    <t>Non-CO2 emission factor for wood</t>
  </si>
  <si>
    <t>Emission factor for LPG</t>
  </si>
  <si>
    <t>Non-CO2 emission factor for LPG</t>
  </si>
  <si>
    <t>EF_b_dairy_cow</t>
  </si>
  <si>
    <t>EF_b_buffalo</t>
  </si>
  <si>
    <t>EF_b_other_cattle</t>
  </si>
  <si>
    <t>Emission factor for manure from dairy cows in baseline scenario</t>
  </si>
  <si>
    <t>Emission factor for manure from buffalos in baseline scenario</t>
  </si>
  <si>
    <t>Emission factor for manure from other cattle in baseline scenario</t>
  </si>
  <si>
    <t>Emission factor for manure from dairy cows in project scenario</t>
  </si>
  <si>
    <t>Specific to one project: Scaling factor to represent lower proportion of manure going into 2cu.m. unit</t>
  </si>
  <si>
    <t>Uncertainty factor in the baseline scenario (inherent uncertainty)</t>
  </si>
  <si>
    <t>Percentage of manure managed in liquid-based systems</t>
  </si>
  <si>
    <t>Percentage of manure in liquid storage where a crust forms on the surface</t>
  </si>
  <si>
    <t>Percentage of manure stored in solid heaps or long-term storage piles (more anaerobic digestion)</t>
  </si>
  <si>
    <t>Percentage of manure in liquid storage where a crust forms on the surface (more aerobic digestion)</t>
  </si>
  <si>
    <t>Represents the proportion of time animals are confined to areas where manure is managed.</t>
  </si>
  <si>
    <t>kg/m3</t>
  </si>
  <si>
    <t>tCO2e/tCH4</t>
  </si>
  <si>
    <t>m3 CH4/kg VS</t>
  </si>
  <si>
    <t>Uncertainty Factor for baseline coal consumption (Only some MPs used this. Is this from a temporary version? (Anomaly))</t>
  </si>
  <si>
    <t>Uncertainty Factor for project coal consumption (Only some MPs used this. Is this from a temporary version? (Anomaly))</t>
  </si>
  <si>
    <t>Registration project title</t>
  </si>
  <si>
    <t>PoA for the Reduction of emission from non-renewable fuel from cooking at household level</t>
  </si>
  <si>
    <t>SKG Sangha Biodigester PoA</t>
  </si>
  <si>
    <t>Biogas CDM Project of Bagepalli Coolie Sangha</t>
  </si>
  <si>
    <t>Ethiopia  Clean Cooking Energy Program</t>
  </si>
  <si>
    <t>KOKO Kenya - Ethanol Cookstoves Program</t>
  </si>
  <si>
    <t>West African Biodigester Programme of Activities</t>
  </si>
  <si>
    <t>Improved cook stoves and sustainable charcoal initiative</t>
  </si>
  <si>
    <t>Social Education and Development Society (SEDS) Biogas CDM project for the rural poor</t>
  </si>
  <si>
    <t>Micro Scale Biogas CDM Project of CROSS</t>
  </si>
  <si>
    <t>CDM LUSAKA SUSTAINABLE ENERGY PROJECT 1</t>
  </si>
  <si>
    <t>Accion Fraterna Biogas CDM project for rural communities in Anantapur, Andhra Pradesh</t>
  </si>
  <si>
    <t>Improved Cook Stoves for East Africa (ICSEA)</t>
  </si>
  <si>
    <t>Nairobi River Basin Biogas Project</t>
  </si>
  <si>
    <t>SimGas Biogas Programme of Activities</t>
  </si>
  <si>
    <t>Farm Household Biogas Project Contributing to Rural Development in Can Tho City</t>
  </si>
  <si>
    <t>Rwanda Natural Energy Project: Water Treatment Systems for Rural Rwanda (Shyira and Fawe)</t>
  </si>
  <si>
    <t>Rwanda Natural Energy Project: Water Treatment Systems for Rural Rwanda (Mugonero Esepan, Rwesero, Nyagasambu)</t>
  </si>
  <si>
    <t>Biogas Programme Nicaragua (PBN)</t>
  </si>
  <si>
    <t>Pakistan Domestic Biogas Programme, CDM Programme of Activities</t>
  </si>
  <si>
    <t>African Clean Energy Switch  Biogas (ACES-Biogas)</t>
  </si>
  <si>
    <t>Micro Scale Biogas CDM Project of SACRED</t>
  </si>
  <si>
    <t>Micro Scale Biogas CDM Project of BEST</t>
  </si>
  <si>
    <t>Ramanagara Biogas Project, version 02; 10th November 2010</t>
  </si>
  <si>
    <t>Micro Hydro Power Plant Promotion Programme in Regions on the Upper Reaches of the Yangtze River, China (Micro Hydro Power Plant Promotion Programme in Forest Regions of Liangshan Prefecture, Sichuan Province)</t>
  </si>
  <si>
    <t>Cleanstar Mozambique - Maputo Ethanol Cookstove and Cooking Fuel Project 1</t>
  </si>
  <si>
    <t>Renewable biomass fired improved cookstoves programme for households in Burundi by BQS</t>
  </si>
  <si>
    <t>BQS improved cookstoves for Burundi police camps and prisons</t>
  </si>
  <si>
    <t>BQS improved cookstoves for Burundis schools</t>
  </si>
  <si>
    <t>BQS improved cookstoves for Burundi restaurants</t>
  </si>
  <si>
    <t>CDM Africa Sustainable Energy Programme</t>
  </si>
  <si>
    <t>Programme for Promotion of Access to Domestic Biogas in Rural Bangladesh</t>
  </si>
  <si>
    <t>Production of biogas from animal manure for rural household</t>
  </si>
  <si>
    <t>Biogas CDM Project of IFDP</t>
  </si>
  <si>
    <t>Biogas CDM Project of SHTCDP</t>
  </si>
  <si>
    <t>CDM Biogas Project of Mahasakthi Women Cooperative Federation</t>
  </si>
  <si>
    <t>CDM Sustainable Energy Programme</t>
  </si>
  <si>
    <t>Biogas CDM Project of SUCHI</t>
  </si>
  <si>
    <t>Dissemination of improved cook stoves and generation of charcoal</t>
  </si>
  <si>
    <t>Project Gaia Cook Stove Programme of Activities</t>
  </si>
  <si>
    <t>Sustainable Fuelwood and Microgasification Cooking Solutions for rural and urban Households</t>
  </si>
  <si>
    <t>Garner Sustainable Biomass and Renewable Energy Programme</t>
  </si>
  <si>
    <t>PoA for the dissemination of clean cooking technologies in households and communities</t>
  </si>
  <si>
    <t>Renewable Energy CDM Project of Earth Vision</t>
  </si>
  <si>
    <t>Methane abatement and household biogas utilization programme in India</t>
  </si>
  <si>
    <t>Waste and Renewable Energy Technologies Programme</t>
  </si>
  <si>
    <t>Household biogas project in Maharashtra</t>
  </si>
  <si>
    <t>Hassan Biogas Project</t>
  </si>
  <si>
    <t>GHG Programme - Energy Industries, Energy Demand and Manufacturing Industries Group1</t>
  </si>
  <si>
    <t>Mikalili efficient fuelwood cookstoves project</t>
  </si>
  <si>
    <t>Biomass Briquette usage for energy use in Zambia</t>
  </si>
  <si>
    <t>West African  Biodigester Programme of Activities</t>
  </si>
  <si>
    <t>Solar Power Project by Fortum FinnSurya (EKIESLCDM. February-15-01)</t>
  </si>
  <si>
    <t>Energy efficiency and renewable energy measures in thermal applications of biomass</t>
  </si>
  <si>
    <t>Biogas Utility Programme to Households by Grameen Shakti in Municipalities of Bangladesh</t>
  </si>
  <si>
    <t>Social Carbon</t>
  </si>
  <si>
    <t>Biogas Micro-digester Promoting Program for Rural Farmer Households in Chongqing, China</t>
  </si>
  <si>
    <t>Status</t>
  </si>
  <si>
    <t>included</t>
  </si>
  <si>
    <t>Specific to Africa</t>
  </si>
  <si>
    <t>excluded</t>
  </si>
  <si>
    <t>should this be included?</t>
  </si>
  <si>
    <t>Specific to South America</t>
  </si>
  <si>
    <t>Not about biogas</t>
  </si>
  <si>
    <t>CDM project reference number (ordered descending by number of CERs) from projects that have AMS-I.E or AME-III.R</t>
  </si>
  <si>
    <t>out of time</t>
  </si>
  <si>
    <t>Reason</t>
  </si>
  <si>
    <t xml:space="preserve">should this be included? </t>
  </si>
  <si>
    <t>Biogas Program for the Animal Husbandry Sector of Vietnam</t>
  </si>
  <si>
    <t>Household and commercial biogas plants in Kenya</t>
  </si>
  <si>
    <t>Uganda Dairy Biogas Program</t>
  </si>
  <si>
    <t>African Biogas Carbon Programme (ABC) - Tanzania - CAMARTEC - VPA002</t>
  </si>
  <si>
    <t>Prayas- A VER project for the rural communities in Uttarakhand</t>
  </si>
  <si>
    <t>Adilabad biogas project</t>
  </si>
  <si>
    <t>Nepal Biogas Support Program - CPA 4: 19970 digesters</t>
  </si>
  <si>
    <t>Nepal Biogas Support Program - CPA 3: 19959 digesters</t>
  </si>
  <si>
    <t>Nepal Biogas Support Program - CPA 2: 19927 digesters</t>
  </si>
  <si>
    <t>Nepal Biogas Support Program - CPA 5: 19842 digesters</t>
  </si>
  <si>
    <t>Nepal Biogas Support Program-CPA 8: 19445 digesters</t>
  </si>
  <si>
    <t>Nepal Biogas Support Program - CPA 6: 18504 digesters</t>
  </si>
  <si>
    <t>Nepal Biogas Support Program - CPA 1: 20000 digesters</t>
  </si>
  <si>
    <t>Nepal Biogas Support Program - CPA 7: 18392 digesters</t>
  </si>
  <si>
    <t xml:space="preserve">GS7591 VPA 12 Northern Uganda Safe Water Project </t>
  </si>
  <si>
    <t>India Organic Waste Management Programme (IOWMP)</t>
  </si>
  <si>
    <t>Decentralized Clean Cooking for Smallholder Farmers in Mexico</t>
  </si>
  <si>
    <t>Household biogas plants in rural parts of North East India</t>
  </si>
  <si>
    <t>Nepal Biogas Support Program-CPA 9: 17304 digesters</t>
  </si>
  <si>
    <t>Household biogas plants in rural parts of Central India</t>
  </si>
  <si>
    <t xml:space="preserve">Implementation of clean energy technology in rural areas of India-2 </t>
  </si>
  <si>
    <t>Household biogas plants installed in rural areas of Madhya Pradesh  India</t>
  </si>
  <si>
    <t xml:space="preserve">Implementation of clean energy technology in rural areas of India-1 </t>
  </si>
  <si>
    <t>African Biogas Carbon Programme (ABC) - Kenya - VPA001</t>
  </si>
  <si>
    <t>Household Biogas plants installed in rural areas of Uttar Pradesh &amp; Maharashtra</t>
  </si>
  <si>
    <t>Implementation of Bio digestors in rural areas of Madhya Pradesh India</t>
  </si>
  <si>
    <t>Biogas Project of YRA</t>
  </si>
  <si>
    <t>Installation of Household Biogas plants in various states of India</t>
  </si>
  <si>
    <t>Ramanagara Biogas Project version 02; 10th November 2010</t>
  </si>
  <si>
    <t>Accion Fraterna Biogas CDM project for rural communities in Anantapur Andhra Pradesh</t>
  </si>
  <si>
    <t>Domestic Biogas Project for rural households in India</t>
  </si>
  <si>
    <t>FCN GS PoA for Rural Communities</t>
  </si>
  <si>
    <t>Household Biogas plants installed in rural areas of Maharashtra</t>
  </si>
  <si>
    <t>Enlightening lives by propagating Household biogas projects in India</t>
  </si>
  <si>
    <t xml:space="preserve">Bundled household biogas plants project in Jammu and Punjab </t>
  </si>
  <si>
    <t>Nepal Biogas Support Program-CPA 10: 10589 digesters</t>
  </si>
  <si>
    <t>Smokeless living in rural areas of India</t>
  </si>
  <si>
    <t>Bundling of household biogas plants for thermal energy applications</t>
  </si>
  <si>
    <t>Biogas Support Program – Nepal (BSP-Nepal) Activity-1</t>
  </si>
  <si>
    <t>Biogas Support Program – Nepal (BSP-Nepal) Activity-2</t>
  </si>
  <si>
    <t>Installation of Household biogas plants in India</t>
  </si>
  <si>
    <t>Installation of Household Biogas plants in Punjab - 1</t>
  </si>
  <si>
    <t>National Biodigester Programme Cambodia</t>
  </si>
  <si>
    <t>Indonesia Domestic Biogas Programme of Activities (IDBP) (ID 1172) VPA-2</t>
  </si>
  <si>
    <t>Biogas project Uttarakhand India</t>
  </si>
  <si>
    <t>FCN GS PoA for Rural Communities VPA 01</t>
  </si>
  <si>
    <t>Household Biogas plants installed in rural areas of Uttar Pradesh &amp; Gujarat</t>
  </si>
  <si>
    <t>*WWF Nepal Gold Standard Biogas Voluntary Emission Reduction (VER) Project</t>
  </si>
  <si>
    <t>Accelerating Clean Cooking Solutions in Cambodia – VPA04 (GS 6746)</t>
  </si>
  <si>
    <t>*Bagepalli CDM Biogas Programme</t>
  </si>
  <si>
    <t>Indonesia Domestic Biogas Programme of Activities (IDBP)  VPA-1</t>
  </si>
  <si>
    <t>Household biogas plants in selected districts of Assam</t>
  </si>
  <si>
    <t>Biodigestor Program in the State of Kerala by  INSEDA and SDA</t>
  </si>
  <si>
    <t>National Biodigester Programme Phase IV</t>
  </si>
  <si>
    <t>African Biogas Carbon Programme (ABC) – Tanzania – SimGas - VPA005</t>
  </si>
  <si>
    <t>GS1299 India Organic Waste Management Programme-VPA01</t>
  </si>
  <si>
    <t>African Biogas Carbon Programme (ABC) - Uganda - VPA003</t>
  </si>
  <si>
    <t>GS1239 Sichuan Rural Poor-Household Biogas Development Programme PoA- CPA Nb. SCHHBG-2013-064</t>
  </si>
  <si>
    <t>African Biogas Carbon Programme (ABC) - Tanzania – CAMARTEC - VPA004</t>
  </si>
  <si>
    <t>The first phase of Anhua Rural household Biodigester Project</t>
  </si>
  <si>
    <t>Family-sized biodigester project in South Mali</t>
  </si>
  <si>
    <t>YGF Mangshi Household Biogas Tank Project</t>
  </si>
  <si>
    <t>Promotion of clean cooking solutions in rural India by Infosys</t>
  </si>
  <si>
    <t>African Biogas Carbon Programme (ABC) - Kenya - VPA006</t>
  </si>
  <si>
    <t>African Biogas Carbon Programme (ABC) PoA</t>
  </si>
  <si>
    <t>Indonesia Domestic Biogas Programme of Activities (IDBP)</t>
  </si>
  <si>
    <t>Biogas Programme Nicaragua - Programa de BiogÃ¡s Nicaragua (PBN)</t>
  </si>
  <si>
    <t>PoA Sichuan Rural Poor-Household Biogas Development Programme</t>
  </si>
  <si>
    <t>GSID (ordered descending by number of estimated VERs per year) from suitable projects</t>
  </si>
  <si>
    <t>missing data</t>
  </si>
  <si>
    <t>Should this be included?</t>
  </si>
  <si>
    <t>Special case: Both on CDM and GS</t>
  </si>
  <si>
    <t>Note that the project counts biogas days but doesn't have a mechanism that ensures functionality after construction. It simply counts the days between construction and end of monitoring period</t>
  </si>
  <si>
    <t>monitoring_period_raw_file_size</t>
  </si>
  <si>
    <t>monitoring_period_raw_file_non_empty_cells</t>
  </si>
  <si>
    <t>file size of raw file for this monitoring period</t>
  </si>
  <si>
    <t>number of non empty cells in excel belonging to this monitoring period (other file formats are ignored)</t>
  </si>
  <si>
    <t>numeric_id</t>
  </si>
  <si>
    <t>numeric project id</t>
  </si>
  <si>
    <t>project identifier</t>
  </si>
  <si>
    <t>Text formula representation for yearly baseline emissions from LPG</t>
  </si>
  <si>
    <t>BE_y_firewood_text_formula</t>
  </si>
  <si>
    <t>Text formula representation for yearly baseline emissions from firewood</t>
  </si>
  <si>
    <t>Baseline emissions from LPG consumption per year</t>
  </si>
  <si>
    <t>Baseline emissions from LPG and firewood (total) consumption per year</t>
  </si>
  <si>
    <t>Baseline emissions from firewood consumption per year</t>
  </si>
  <si>
    <t>ER_per_total_HH</t>
  </si>
  <si>
    <t>Total project emissions for this project</t>
  </si>
  <si>
    <t xml:space="preserve">Scaling factor </t>
  </si>
  <si>
    <t>Additional information: Confidence Interval</t>
  </si>
  <si>
    <t>Additional information: Reliability</t>
  </si>
  <si>
    <t>Total baseline emissions for this project</t>
  </si>
  <si>
    <t>Total Emissions Reductions for this MP</t>
  </si>
  <si>
    <t>Total Emissions Reductions for this MP per registered household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</si>
</sst>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Aptos Narrow"/>
      <family val="2"/>
      <scheme val="minor"/>
    </font>
    <font>
      <sz val="11"/>
      <color indexed="8"/>
      <name val="Calibri"/>
      <family val="2"/>
    </font>
    <font>
      <sz val="11"/>
      <color theme="1"/>
      <name val="Arial Narrow"/>
      <family val="2"/>
    </font>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5">
    <xf numFmtId="0" fontId="0" fillId="0" borderId="0"/>
    <xf numFmtId="43" fontId="1" fillId="0" borderId="0" applyFont="0" applyFill="0" applyBorder="0" applyAlignment="0" applyProtection="0"/>
    <xf numFmtId="0" fontId="2" fillId="0" borderId="0"/>
    <xf numFmtId="9" fontId="2" fillId="0" borderId="0" applyFont="0" applyFill="0" applyBorder="0" applyAlignment="0" applyProtection="0"/>
    <xf numFmtId="0" fontId="3" fillId="0" borderId="0"/>
  </cellStyleXfs>
  <cellXfs count="2">
    <xf numFmtId="0" fontId="0" fillId="0" borderId="0" xfId="0"/>
    <xf numFmtId="0" fontId="0" fillId="0" borderId="0" xfId="0" applyAlignment="1">
      <alignment wrapText="1"/>
    </xf>
  </cellXfs>
  <cellStyles count="5">
    <cellStyle name="Comma 2" xfId="1" xr:uid="{556620CF-D0B0-4638-A477-CEACCC2B692C}"/>
    <cellStyle name="Normal" xfId="0" builtinId="0"/>
    <cellStyle name="Normal 2" xfId="2" xr:uid="{92FCD923-0E3B-42A3-8AB4-8CB9EF7C4053}"/>
    <cellStyle name="Normal 3" xfId="4" xr:uid="{A7603F36-0AEC-47A4-AA48-F28154603E8B}"/>
    <cellStyle name="Percent 2" xfId="3" xr:uid="{80D5D94A-69BE-4E14-B077-92D485A1C8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registry.goldstandard.org/projects/details/422" TargetMode="External"/><Relationship Id="rId13" Type="http://schemas.openxmlformats.org/officeDocument/2006/relationships/hyperlink" Target="https://registry.goldstandard.org/projects/details/434" TargetMode="External"/><Relationship Id="rId18" Type="http://schemas.openxmlformats.org/officeDocument/2006/relationships/hyperlink" Target="https://registry.goldstandard.org/projects/details/166" TargetMode="External"/><Relationship Id="rId26" Type="http://schemas.openxmlformats.org/officeDocument/2006/relationships/hyperlink" Target="https://registry.goldstandard.org/projects/details/148" TargetMode="External"/><Relationship Id="rId3" Type="http://schemas.openxmlformats.org/officeDocument/2006/relationships/hyperlink" Target="https://registry.goldstandard.org/projects/details/249" TargetMode="External"/><Relationship Id="rId21" Type="http://schemas.openxmlformats.org/officeDocument/2006/relationships/hyperlink" Target="https://registry.goldstandard.org/projects/details/249" TargetMode="External"/><Relationship Id="rId7" Type="http://schemas.openxmlformats.org/officeDocument/2006/relationships/hyperlink" Target="https://registry.goldstandard.org/projects/details/422" TargetMode="External"/><Relationship Id="rId12" Type="http://schemas.openxmlformats.org/officeDocument/2006/relationships/hyperlink" Target="https://www.upm-cdm.eu/successful-issuance-of-vintage-2022-gs-vers-from-upms-sichuan-household-biogas-poa/" TargetMode="External"/><Relationship Id="rId17" Type="http://schemas.openxmlformats.org/officeDocument/2006/relationships/hyperlink" Target="https://registry.goldstandard.org/projects/details/422" TargetMode="External"/><Relationship Id="rId25" Type="http://schemas.openxmlformats.org/officeDocument/2006/relationships/hyperlink" Target="https://www.wordorg.net/microscale-cdm-biogas-project.html?trk=public_post_main-feed-card_reshare-text" TargetMode="External"/><Relationship Id="rId2" Type="http://schemas.openxmlformats.org/officeDocument/2006/relationships/hyperlink" Target="https://assurance-platform.goldstandard.org/project-documents/GS3589" TargetMode="External"/><Relationship Id="rId16" Type="http://schemas.openxmlformats.org/officeDocument/2006/relationships/hyperlink" Target="https://registry.goldstandard.org/projects/details/249" TargetMode="External"/><Relationship Id="rId20" Type="http://schemas.openxmlformats.org/officeDocument/2006/relationships/hyperlink" Target="https://assurance-platform.goldstandard.org/project-documents/GS3589" TargetMode="External"/><Relationship Id="rId1" Type="http://schemas.openxmlformats.org/officeDocument/2006/relationships/hyperlink" Target="https://assurance-platform.goldstandard.org/project-documents/GS1694" TargetMode="External"/><Relationship Id="rId6" Type="http://schemas.openxmlformats.org/officeDocument/2006/relationships/hyperlink" Target="https://registry.goldstandard.org/projects/details/422" TargetMode="External"/><Relationship Id="rId11" Type="http://schemas.openxmlformats.org/officeDocument/2006/relationships/hyperlink" Target="https://registry.goldstandard.org/projects/details/422" TargetMode="External"/><Relationship Id="rId24" Type="http://schemas.openxmlformats.org/officeDocument/2006/relationships/hyperlink" Target="https://www.wordorg.net/microscale-cdm-biogas-project.html?trk=public_post_main-feed-card_reshare-text" TargetMode="External"/><Relationship Id="rId5" Type="http://schemas.openxmlformats.org/officeDocument/2006/relationships/hyperlink" Target="https://registry.goldstandard.org/projects/details/166" TargetMode="External"/><Relationship Id="rId15" Type="http://schemas.openxmlformats.org/officeDocument/2006/relationships/hyperlink" Target="https://assurance-platform.goldstandard.org/project-documents/GS3589" TargetMode="External"/><Relationship Id="rId23" Type="http://schemas.openxmlformats.org/officeDocument/2006/relationships/hyperlink" Target="https://registry.goldstandard.org/projects/details/166" TargetMode="External"/><Relationship Id="rId28" Type="http://schemas.openxmlformats.org/officeDocument/2006/relationships/printerSettings" Target="../printerSettings/printerSettings1.bin"/><Relationship Id="rId10" Type="http://schemas.openxmlformats.org/officeDocument/2006/relationships/hyperlink" Target="https://registry.goldstandard.org/projects/details/422" TargetMode="External"/><Relationship Id="rId19" Type="http://schemas.openxmlformats.org/officeDocument/2006/relationships/hyperlink" Target="https://assurance-platform.goldstandard.org/project-documents/GS1694" TargetMode="External"/><Relationship Id="rId4" Type="http://schemas.openxmlformats.org/officeDocument/2006/relationships/hyperlink" Target="https://registry.goldstandard.org/projects/details/422" TargetMode="External"/><Relationship Id="rId9" Type="http://schemas.openxmlformats.org/officeDocument/2006/relationships/hyperlink" Target="https://registry.goldstandard.org/projects/details/422" TargetMode="External"/><Relationship Id="rId14" Type="http://schemas.openxmlformats.org/officeDocument/2006/relationships/hyperlink" Target="https://assurance-platform.goldstandard.org/project-documents/GS1694" TargetMode="External"/><Relationship Id="rId22" Type="http://schemas.openxmlformats.org/officeDocument/2006/relationships/hyperlink" Target="https://registry.goldstandard.org/projects/details/422" TargetMode="External"/><Relationship Id="rId27" Type="http://schemas.openxmlformats.org/officeDocument/2006/relationships/hyperlink" Target="https://cdm.unfccc.int/ProgrammeOfActivities/poa_db/5BGM96VOK3ATN4JPR70XSWIQ8CZH2F/view?cp=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D1668-B6D5-4B7B-8FE3-B678CAEE1FD2}">
  <sheetPr codeName="Sheet2"/>
  <dimension ref="A1:AKW191"/>
  <sheetViews>
    <sheetView tabSelected="1" zoomScale="55" zoomScaleNormal="55" workbookViewId="0">
      <pane xSplit="1" topLeftCell="B1" activePane="topRight" state="frozen"/>
      <selection pane="topRight" activeCell="C192" sqref="C192"/>
    </sheetView>
  </sheetViews>
  <sheetFormatPr defaultRowHeight="14.4" customHeight="1" x14ac:dyDescent="0.55000000000000004"/>
  <cols>
    <col min="1" max="1" width="40.5234375" customWidth="1"/>
    <col min="2" max="2" width="21.62890625" bestFit="1" customWidth="1"/>
    <col min="3" max="3" width="62.578125" style="1" customWidth="1"/>
    <col min="4" max="4" width="22.3125" customWidth="1"/>
    <col min="5" max="184" width="10.578125" customWidth="1"/>
    <col min="185" max="185" width="9.9453125" customWidth="1"/>
    <col min="186" max="235" width="10.15625" bestFit="1" customWidth="1"/>
    <col min="236" max="236" width="10.26171875" bestFit="1" customWidth="1"/>
    <col min="237" max="692" width="10.578125" customWidth="1"/>
    <col min="693" max="693" width="10.15625" bestFit="1" customWidth="1"/>
    <col min="694" max="694" width="11.3125" bestFit="1" customWidth="1"/>
    <col min="695" max="695" width="11.26171875" bestFit="1" customWidth="1"/>
    <col min="696" max="743" width="16.89453125" bestFit="1" customWidth="1"/>
    <col min="744" max="779" width="16.7890625" customWidth="1"/>
    <col min="780" max="780" width="10.15625" bestFit="1" customWidth="1"/>
    <col min="781" max="781" width="11.3125" bestFit="1" customWidth="1"/>
    <col min="782" max="782" width="11.26171875" bestFit="1" customWidth="1"/>
    <col min="783" max="830" width="16.89453125" bestFit="1" customWidth="1"/>
    <col min="831" max="866" width="16.7890625" customWidth="1"/>
    <col min="867" max="867" width="14.1015625" customWidth="1"/>
    <col min="868" max="868" width="11.3125" bestFit="1" customWidth="1"/>
    <col min="869" max="869" width="10.7890625" customWidth="1"/>
    <col min="870" max="917" width="16.89453125" bestFit="1" customWidth="1"/>
    <col min="918" max="1103" width="16.7890625" customWidth="1"/>
  </cols>
  <sheetData>
    <row r="1" spans="1:985" ht="14.4" customHeight="1" x14ac:dyDescent="0.55000000000000004">
      <c r="A1" t="s">
        <v>948</v>
      </c>
      <c r="B1" t="s">
        <v>619</v>
      </c>
      <c r="C1" s="1" t="s">
        <v>949</v>
      </c>
      <c r="D1">
        <v>9572</v>
      </c>
      <c r="E1">
        <v>9572</v>
      </c>
      <c r="F1">
        <v>9572</v>
      </c>
      <c r="G1">
        <v>9572</v>
      </c>
      <c r="H1">
        <v>9572</v>
      </c>
      <c r="I1">
        <v>9572</v>
      </c>
      <c r="J1">
        <v>9572</v>
      </c>
      <c r="K1">
        <v>9572</v>
      </c>
      <c r="L1">
        <v>9572</v>
      </c>
      <c r="M1">
        <v>9572</v>
      </c>
      <c r="N1">
        <v>9572</v>
      </c>
      <c r="O1">
        <v>9572</v>
      </c>
      <c r="P1">
        <v>9572</v>
      </c>
      <c r="Q1">
        <v>9572</v>
      </c>
      <c r="R1">
        <v>9572</v>
      </c>
      <c r="S1">
        <v>9572</v>
      </c>
      <c r="T1">
        <v>9572</v>
      </c>
      <c r="U1">
        <v>9572</v>
      </c>
      <c r="V1">
        <v>9572</v>
      </c>
      <c r="W1">
        <v>9572</v>
      </c>
      <c r="X1">
        <v>9572</v>
      </c>
      <c r="Y1">
        <v>9572</v>
      </c>
      <c r="Z1">
        <v>9572</v>
      </c>
      <c r="AA1">
        <v>9572</v>
      </c>
      <c r="AB1">
        <v>9572</v>
      </c>
      <c r="AC1">
        <v>9572</v>
      </c>
      <c r="AD1">
        <v>9572</v>
      </c>
      <c r="AE1">
        <v>9572</v>
      </c>
      <c r="AF1">
        <v>9572</v>
      </c>
      <c r="AG1">
        <v>9572</v>
      </c>
      <c r="AH1">
        <v>9572</v>
      </c>
      <c r="AI1">
        <v>9572</v>
      </c>
      <c r="AJ1">
        <v>9572</v>
      </c>
      <c r="AK1">
        <v>9572</v>
      </c>
      <c r="AL1">
        <v>9572</v>
      </c>
      <c r="AM1">
        <v>9572</v>
      </c>
      <c r="AN1">
        <v>9572</v>
      </c>
      <c r="AO1">
        <v>9572</v>
      </c>
      <c r="AP1">
        <v>9572</v>
      </c>
      <c r="AQ1">
        <v>9572</v>
      </c>
      <c r="AR1">
        <v>9572</v>
      </c>
      <c r="AS1">
        <v>9572</v>
      </c>
      <c r="AT1">
        <v>9572</v>
      </c>
      <c r="AU1">
        <v>9572</v>
      </c>
      <c r="AV1">
        <v>9572</v>
      </c>
      <c r="AW1">
        <v>9572</v>
      </c>
      <c r="AX1">
        <v>9572</v>
      </c>
      <c r="AY1">
        <v>9572</v>
      </c>
      <c r="AZ1">
        <v>9572</v>
      </c>
      <c r="BA1">
        <v>9572</v>
      </c>
      <c r="BB1">
        <v>9572</v>
      </c>
      <c r="BC1">
        <v>9572</v>
      </c>
      <c r="BD1">
        <v>9572</v>
      </c>
      <c r="BE1">
        <v>9572</v>
      </c>
      <c r="BF1">
        <v>9572</v>
      </c>
      <c r="BG1">
        <v>5415</v>
      </c>
      <c r="BH1">
        <v>5415</v>
      </c>
      <c r="BI1">
        <v>5415</v>
      </c>
      <c r="BJ1">
        <v>5415</v>
      </c>
      <c r="BK1">
        <v>5415</v>
      </c>
      <c r="BL1">
        <v>5415</v>
      </c>
      <c r="BM1">
        <v>5415</v>
      </c>
      <c r="BN1">
        <v>5415</v>
      </c>
      <c r="BO1">
        <v>5415</v>
      </c>
      <c r="BP1">
        <v>5415</v>
      </c>
      <c r="BQ1">
        <v>5416</v>
      </c>
      <c r="BR1">
        <v>5416</v>
      </c>
      <c r="BS1">
        <v>5416</v>
      </c>
      <c r="BT1">
        <v>5416</v>
      </c>
      <c r="BU1">
        <v>5416</v>
      </c>
      <c r="BV1">
        <v>5416</v>
      </c>
      <c r="BW1">
        <v>5416</v>
      </c>
      <c r="BX1">
        <v>5416</v>
      </c>
      <c r="BY1">
        <v>5416</v>
      </c>
      <c r="BZ1">
        <v>5416</v>
      </c>
      <c r="CA1">
        <v>2898</v>
      </c>
      <c r="CB1">
        <v>2898</v>
      </c>
      <c r="CC1">
        <v>2898</v>
      </c>
      <c r="CD1">
        <v>2898</v>
      </c>
      <c r="CE1">
        <v>2898</v>
      </c>
      <c r="CF1">
        <v>2898</v>
      </c>
      <c r="CG1">
        <v>2898</v>
      </c>
      <c r="CH1">
        <v>2898</v>
      </c>
      <c r="CI1">
        <v>2898</v>
      </c>
      <c r="CJ1">
        <v>2898</v>
      </c>
      <c r="CK1">
        <v>2898</v>
      </c>
      <c r="CL1">
        <v>2898</v>
      </c>
      <c r="CM1">
        <v>2898</v>
      </c>
      <c r="CN1">
        <v>2898</v>
      </c>
      <c r="CO1">
        <v>2898</v>
      </c>
      <c r="CP1">
        <v>2898</v>
      </c>
      <c r="CQ1">
        <v>2898</v>
      </c>
      <c r="CR1">
        <v>2898</v>
      </c>
      <c r="CS1">
        <v>2898</v>
      </c>
      <c r="CT1">
        <v>2898</v>
      </c>
      <c r="CU1">
        <v>2898</v>
      </c>
      <c r="CV1">
        <v>2898</v>
      </c>
      <c r="CW1">
        <v>2898</v>
      </c>
      <c r="CX1">
        <v>2898</v>
      </c>
      <c r="CY1">
        <v>2898</v>
      </c>
      <c r="CZ1">
        <v>2898</v>
      </c>
      <c r="DA1">
        <v>2898</v>
      </c>
      <c r="DB1">
        <v>2898</v>
      </c>
      <c r="DC1">
        <v>2898</v>
      </c>
      <c r="DD1">
        <v>2898</v>
      </c>
      <c r="DE1">
        <v>2898</v>
      </c>
      <c r="DF1">
        <v>2898</v>
      </c>
      <c r="DG1">
        <v>2898</v>
      </c>
      <c r="DH1">
        <v>2898</v>
      </c>
      <c r="DI1">
        <v>2898</v>
      </c>
      <c r="DJ1">
        <v>2898</v>
      </c>
      <c r="DK1">
        <v>2898</v>
      </c>
      <c r="DL1">
        <v>2898</v>
      </c>
      <c r="DM1">
        <v>2898</v>
      </c>
      <c r="DN1">
        <v>2898</v>
      </c>
      <c r="DO1">
        <v>2898</v>
      </c>
      <c r="DP1">
        <v>2898</v>
      </c>
      <c r="DQ1">
        <v>2898</v>
      </c>
      <c r="DR1">
        <v>2898</v>
      </c>
      <c r="DS1">
        <v>2898</v>
      </c>
      <c r="DT1">
        <v>2898</v>
      </c>
      <c r="DU1">
        <v>2898</v>
      </c>
      <c r="DV1">
        <v>2898</v>
      </c>
      <c r="DW1">
        <v>2898</v>
      </c>
      <c r="DX1">
        <v>2898</v>
      </c>
      <c r="DY1">
        <v>2898</v>
      </c>
      <c r="DZ1">
        <v>2898</v>
      </c>
      <c r="EA1">
        <v>2898</v>
      </c>
      <c r="EB1">
        <v>2898</v>
      </c>
      <c r="EC1">
        <v>2898</v>
      </c>
      <c r="ED1">
        <v>2898</v>
      </c>
      <c r="EE1">
        <v>2898</v>
      </c>
      <c r="EF1">
        <v>2898</v>
      </c>
      <c r="EG1">
        <v>2898</v>
      </c>
      <c r="EH1">
        <v>2898</v>
      </c>
      <c r="EI1">
        <v>2898</v>
      </c>
      <c r="EJ1">
        <v>2898</v>
      </c>
      <c r="EK1">
        <v>2898</v>
      </c>
      <c r="EL1">
        <v>2898</v>
      </c>
      <c r="EM1">
        <v>2898</v>
      </c>
      <c r="EN1">
        <v>2898</v>
      </c>
      <c r="EO1">
        <v>2898</v>
      </c>
      <c r="EP1">
        <v>2898</v>
      </c>
      <c r="EQ1">
        <v>2898</v>
      </c>
      <c r="ER1">
        <v>2898</v>
      </c>
      <c r="ES1">
        <v>2898</v>
      </c>
      <c r="ET1">
        <v>2898</v>
      </c>
      <c r="EU1">
        <v>2898</v>
      </c>
      <c r="EV1">
        <v>2898</v>
      </c>
      <c r="EW1">
        <v>2898</v>
      </c>
      <c r="EX1">
        <v>2898</v>
      </c>
      <c r="EY1">
        <v>2898</v>
      </c>
      <c r="EZ1">
        <v>2898</v>
      </c>
      <c r="FA1">
        <v>2898</v>
      </c>
      <c r="FB1">
        <v>2898</v>
      </c>
      <c r="FC1">
        <v>2898</v>
      </c>
      <c r="FD1">
        <v>2898</v>
      </c>
      <c r="FE1">
        <v>2898</v>
      </c>
      <c r="FF1">
        <v>2898</v>
      </c>
      <c r="FG1">
        <v>2898</v>
      </c>
      <c r="FH1">
        <v>2898</v>
      </c>
      <c r="FI1">
        <v>2898</v>
      </c>
      <c r="FJ1">
        <v>2898</v>
      </c>
      <c r="FK1">
        <v>2898</v>
      </c>
      <c r="FL1">
        <v>2898</v>
      </c>
      <c r="FM1">
        <v>2898</v>
      </c>
      <c r="FN1">
        <v>2898</v>
      </c>
      <c r="FO1">
        <v>2898</v>
      </c>
      <c r="FP1">
        <v>2898</v>
      </c>
      <c r="FQ1">
        <v>2898</v>
      </c>
      <c r="FR1">
        <v>2898</v>
      </c>
      <c r="FS1">
        <v>2898</v>
      </c>
      <c r="FT1">
        <v>2898</v>
      </c>
      <c r="FU1">
        <v>2898</v>
      </c>
      <c r="FV1">
        <v>2898</v>
      </c>
      <c r="FW1">
        <v>2898</v>
      </c>
      <c r="FX1">
        <v>2898</v>
      </c>
      <c r="FY1">
        <v>2898</v>
      </c>
      <c r="FZ1">
        <v>2898</v>
      </c>
      <c r="GA1">
        <v>2898</v>
      </c>
      <c r="GB1">
        <v>2898</v>
      </c>
      <c r="GC1">
        <v>2898</v>
      </c>
      <c r="GD1">
        <v>2898</v>
      </c>
      <c r="GE1">
        <v>2898</v>
      </c>
      <c r="GF1">
        <v>2898</v>
      </c>
      <c r="GG1">
        <v>2898</v>
      </c>
      <c r="GH1">
        <v>2898</v>
      </c>
      <c r="GI1">
        <v>2898</v>
      </c>
      <c r="GJ1">
        <v>2898</v>
      </c>
      <c r="GK1">
        <v>2898</v>
      </c>
      <c r="GL1">
        <v>2898</v>
      </c>
      <c r="GM1">
        <v>2898</v>
      </c>
      <c r="GN1">
        <v>2898</v>
      </c>
      <c r="GO1">
        <v>2898</v>
      </c>
      <c r="GP1">
        <v>2898</v>
      </c>
      <c r="GQ1">
        <v>2898</v>
      </c>
      <c r="GR1">
        <v>2898</v>
      </c>
      <c r="GS1">
        <v>2898</v>
      </c>
      <c r="GT1">
        <v>2898</v>
      </c>
      <c r="GU1">
        <v>2898</v>
      </c>
      <c r="GV1">
        <v>2898</v>
      </c>
      <c r="GW1">
        <v>2898</v>
      </c>
      <c r="GX1">
        <v>2898</v>
      </c>
      <c r="GY1">
        <v>2898</v>
      </c>
      <c r="GZ1">
        <v>2898</v>
      </c>
      <c r="HA1">
        <v>2898</v>
      </c>
      <c r="HB1">
        <v>2898</v>
      </c>
      <c r="HC1">
        <v>2898</v>
      </c>
      <c r="HD1">
        <v>2898</v>
      </c>
      <c r="HE1">
        <v>2898</v>
      </c>
      <c r="HF1">
        <v>2898</v>
      </c>
      <c r="HG1">
        <v>2898</v>
      </c>
      <c r="HH1">
        <v>2898</v>
      </c>
      <c r="HI1">
        <v>2898</v>
      </c>
      <c r="HJ1">
        <v>2898</v>
      </c>
      <c r="HK1">
        <v>2898</v>
      </c>
      <c r="HL1">
        <v>2898</v>
      </c>
      <c r="HM1">
        <v>2898</v>
      </c>
      <c r="HN1">
        <v>2898</v>
      </c>
      <c r="HO1">
        <v>2898</v>
      </c>
      <c r="HP1">
        <v>2898</v>
      </c>
      <c r="HQ1">
        <v>2898</v>
      </c>
      <c r="HR1">
        <v>2898</v>
      </c>
      <c r="HS1">
        <v>2898</v>
      </c>
      <c r="HT1">
        <v>2898</v>
      </c>
      <c r="HU1">
        <v>2898</v>
      </c>
      <c r="HV1">
        <v>2898</v>
      </c>
      <c r="HW1">
        <v>2898</v>
      </c>
      <c r="HX1">
        <v>2898</v>
      </c>
      <c r="HY1">
        <v>2898</v>
      </c>
      <c r="HZ1">
        <v>2898</v>
      </c>
      <c r="IA1">
        <v>2898</v>
      </c>
      <c r="IB1">
        <v>2898</v>
      </c>
      <c r="IC1">
        <v>2898</v>
      </c>
      <c r="ID1">
        <v>2898</v>
      </c>
      <c r="IE1">
        <v>2898</v>
      </c>
      <c r="IF1">
        <v>2898</v>
      </c>
      <c r="IG1">
        <v>2898</v>
      </c>
      <c r="IH1">
        <v>2898</v>
      </c>
      <c r="II1">
        <v>2898</v>
      </c>
      <c r="IJ1">
        <v>2898</v>
      </c>
      <c r="IK1">
        <v>2898</v>
      </c>
      <c r="IL1">
        <v>2898</v>
      </c>
      <c r="IM1">
        <v>2898</v>
      </c>
      <c r="IN1">
        <v>2898</v>
      </c>
      <c r="IO1">
        <v>2898</v>
      </c>
      <c r="IP1">
        <v>2898</v>
      </c>
      <c r="IQ1">
        <v>2898</v>
      </c>
      <c r="IR1">
        <v>2898</v>
      </c>
      <c r="IS1">
        <v>2898</v>
      </c>
      <c r="IT1">
        <v>2898</v>
      </c>
      <c r="IU1">
        <v>2898</v>
      </c>
      <c r="IV1">
        <v>2898</v>
      </c>
      <c r="IW1">
        <v>2898</v>
      </c>
      <c r="IX1">
        <v>2898</v>
      </c>
      <c r="IY1">
        <v>2898</v>
      </c>
      <c r="IZ1">
        <v>2898</v>
      </c>
      <c r="JA1">
        <v>2898</v>
      </c>
      <c r="JB1">
        <v>2898</v>
      </c>
      <c r="JC1">
        <v>2898</v>
      </c>
      <c r="JD1">
        <v>2898</v>
      </c>
      <c r="JE1">
        <v>2898</v>
      </c>
      <c r="JF1">
        <v>2898</v>
      </c>
      <c r="JG1">
        <v>2898</v>
      </c>
      <c r="JH1">
        <v>2898</v>
      </c>
      <c r="JI1">
        <v>2898</v>
      </c>
      <c r="JJ1">
        <v>2898</v>
      </c>
      <c r="JK1">
        <v>2898</v>
      </c>
      <c r="JL1">
        <v>2898</v>
      </c>
      <c r="JM1">
        <v>2898</v>
      </c>
      <c r="JN1">
        <v>2898</v>
      </c>
      <c r="JO1">
        <v>2898</v>
      </c>
      <c r="JP1">
        <v>2898</v>
      </c>
      <c r="JQ1">
        <v>2898</v>
      </c>
      <c r="JR1">
        <v>2898</v>
      </c>
      <c r="JS1">
        <v>2898</v>
      </c>
      <c r="JT1">
        <v>2898</v>
      </c>
      <c r="JU1">
        <v>2898</v>
      </c>
      <c r="JV1">
        <v>2898</v>
      </c>
      <c r="JW1">
        <v>2898</v>
      </c>
      <c r="JX1">
        <v>2898</v>
      </c>
      <c r="JY1">
        <v>2898</v>
      </c>
      <c r="JZ1">
        <v>2898</v>
      </c>
      <c r="KA1">
        <v>2898</v>
      </c>
      <c r="KB1">
        <v>2898</v>
      </c>
      <c r="KC1">
        <v>2898</v>
      </c>
      <c r="KD1">
        <v>2898</v>
      </c>
      <c r="KE1">
        <v>2898</v>
      </c>
      <c r="KF1">
        <v>2898</v>
      </c>
      <c r="KG1">
        <v>2898</v>
      </c>
      <c r="KH1">
        <v>2898</v>
      </c>
      <c r="KI1">
        <v>2898</v>
      </c>
      <c r="KJ1">
        <v>2898</v>
      </c>
      <c r="KK1">
        <v>2898</v>
      </c>
      <c r="KL1">
        <v>2898</v>
      </c>
      <c r="KM1">
        <v>2898</v>
      </c>
      <c r="KN1">
        <v>2898</v>
      </c>
      <c r="KO1">
        <v>2898</v>
      </c>
      <c r="KP1">
        <v>2898</v>
      </c>
      <c r="KQ1">
        <v>2898</v>
      </c>
      <c r="KR1">
        <v>2898</v>
      </c>
      <c r="KS1">
        <v>2898</v>
      </c>
      <c r="KT1">
        <v>2898</v>
      </c>
      <c r="KU1">
        <v>2898</v>
      </c>
      <c r="KV1">
        <v>2898</v>
      </c>
      <c r="KW1">
        <v>2898</v>
      </c>
      <c r="KX1">
        <v>2898</v>
      </c>
      <c r="KY1">
        <v>2898</v>
      </c>
      <c r="KZ1">
        <v>2898</v>
      </c>
      <c r="LA1">
        <v>2898</v>
      </c>
      <c r="LB1">
        <v>2898</v>
      </c>
      <c r="LC1">
        <v>2898</v>
      </c>
      <c r="LD1">
        <v>2898</v>
      </c>
      <c r="LE1">
        <v>2898</v>
      </c>
      <c r="LF1">
        <v>2898</v>
      </c>
      <c r="LG1">
        <v>2898</v>
      </c>
      <c r="LH1">
        <v>2898</v>
      </c>
      <c r="LI1">
        <v>2898</v>
      </c>
      <c r="LJ1">
        <v>2898</v>
      </c>
      <c r="LK1">
        <v>2898</v>
      </c>
      <c r="LL1">
        <v>2898</v>
      </c>
      <c r="LM1">
        <v>2898</v>
      </c>
      <c r="LN1">
        <v>2898</v>
      </c>
      <c r="LO1">
        <v>2898</v>
      </c>
      <c r="LP1">
        <v>2898</v>
      </c>
      <c r="LQ1">
        <v>2898</v>
      </c>
      <c r="LR1">
        <v>2898</v>
      </c>
      <c r="LS1">
        <v>2898</v>
      </c>
      <c r="LT1">
        <v>2898</v>
      </c>
      <c r="LU1">
        <v>2898</v>
      </c>
      <c r="LV1">
        <v>2898</v>
      </c>
      <c r="LW1">
        <v>2898</v>
      </c>
      <c r="LX1">
        <v>2898</v>
      </c>
      <c r="LY1">
        <v>2898</v>
      </c>
      <c r="LZ1">
        <v>2898</v>
      </c>
      <c r="MA1">
        <v>2898</v>
      </c>
      <c r="MB1">
        <v>2898</v>
      </c>
      <c r="MC1">
        <v>2898</v>
      </c>
      <c r="MD1">
        <v>2898</v>
      </c>
      <c r="ME1">
        <v>2898</v>
      </c>
      <c r="MF1">
        <v>2898</v>
      </c>
      <c r="MG1">
        <v>2898</v>
      </c>
      <c r="MH1">
        <v>2898</v>
      </c>
      <c r="MI1">
        <v>2898</v>
      </c>
      <c r="MJ1">
        <v>2898</v>
      </c>
      <c r="MK1">
        <v>2898</v>
      </c>
      <c r="ML1">
        <v>2898</v>
      </c>
      <c r="MM1">
        <v>2898</v>
      </c>
      <c r="MN1">
        <v>2898</v>
      </c>
      <c r="MO1">
        <v>2898</v>
      </c>
      <c r="MP1">
        <v>2898</v>
      </c>
      <c r="MQ1">
        <v>2898</v>
      </c>
      <c r="MR1">
        <v>2898</v>
      </c>
      <c r="MS1">
        <v>2898</v>
      </c>
      <c r="MT1">
        <v>2898</v>
      </c>
      <c r="MU1">
        <v>2898</v>
      </c>
      <c r="MV1">
        <v>2898</v>
      </c>
      <c r="MW1">
        <v>2898</v>
      </c>
      <c r="MX1">
        <v>2898</v>
      </c>
      <c r="MY1">
        <v>2898</v>
      </c>
      <c r="MZ1">
        <v>2898</v>
      </c>
      <c r="NA1">
        <v>2898</v>
      </c>
      <c r="NB1">
        <v>2898</v>
      </c>
      <c r="NC1">
        <v>2898</v>
      </c>
      <c r="ND1">
        <v>2898</v>
      </c>
      <c r="NE1">
        <v>2898</v>
      </c>
      <c r="NF1">
        <v>2898</v>
      </c>
      <c r="NG1">
        <v>2898</v>
      </c>
      <c r="NH1">
        <v>2898</v>
      </c>
      <c r="NI1">
        <v>2898</v>
      </c>
      <c r="NJ1">
        <v>2898</v>
      </c>
      <c r="NK1">
        <v>2898</v>
      </c>
      <c r="NL1">
        <v>2898</v>
      </c>
      <c r="NM1">
        <v>2898</v>
      </c>
      <c r="NN1">
        <v>2898</v>
      </c>
      <c r="NO1">
        <v>2898</v>
      </c>
      <c r="NP1">
        <v>2898</v>
      </c>
      <c r="NQ1">
        <v>2898</v>
      </c>
      <c r="NR1">
        <v>2898</v>
      </c>
      <c r="NS1">
        <v>2898</v>
      </c>
      <c r="NT1">
        <v>2898</v>
      </c>
      <c r="NU1">
        <v>2898</v>
      </c>
      <c r="NV1">
        <v>2898</v>
      </c>
      <c r="NW1">
        <v>2898</v>
      </c>
      <c r="NX1">
        <v>2898</v>
      </c>
      <c r="NY1">
        <v>2898</v>
      </c>
      <c r="NZ1">
        <v>2898</v>
      </c>
      <c r="OA1">
        <v>2898</v>
      </c>
      <c r="OB1">
        <v>2898</v>
      </c>
      <c r="OC1">
        <v>2898</v>
      </c>
      <c r="OD1">
        <v>2898</v>
      </c>
      <c r="OE1">
        <v>2898</v>
      </c>
      <c r="OF1">
        <v>2898</v>
      </c>
      <c r="OG1">
        <v>2898</v>
      </c>
      <c r="OH1">
        <v>2898</v>
      </c>
      <c r="OI1">
        <v>2898</v>
      </c>
      <c r="OJ1">
        <v>2898</v>
      </c>
      <c r="OK1">
        <v>2898</v>
      </c>
      <c r="OL1">
        <v>2898</v>
      </c>
      <c r="OM1">
        <v>2898</v>
      </c>
      <c r="ON1">
        <v>2898</v>
      </c>
      <c r="OO1">
        <v>2898</v>
      </c>
      <c r="OP1">
        <v>2898</v>
      </c>
      <c r="OQ1">
        <v>2898</v>
      </c>
      <c r="OR1">
        <v>2898</v>
      </c>
      <c r="OS1">
        <v>2898</v>
      </c>
      <c r="OT1">
        <v>2898</v>
      </c>
      <c r="OU1">
        <v>2898</v>
      </c>
      <c r="OV1">
        <v>2898</v>
      </c>
      <c r="OW1">
        <v>2898</v>
      </c>
      <c r="OX1">
        <v>2898</v>
      </c>
      <c r="OY1">
        <v>2898</v>
      </c>
      <c r="OZ1">
        <v>2898</v>
      </c>
      <c r="PA1">
        <v>2898</v>
      </c>
      <c r="PB1">
        <v>2898</v>
      </c>
      <c r="PC1">
        <v>2898</v>
      </c>
      <c r="PD1">
        <v>2898</v>
      </c>
      <c r="PE1">
        <v>2898</v>
      </c>
      <c r="PF1">
        <v>2898</v>
      </c>
      <c r="PG1">
        <v>2898</v>
      </c>
      <c r="PH1">
        <v>2898</v>
      </c>
      <c r="PI1">
        <v>2898</v>
      </c>
      <c r="PJ1">
        <v>2898</v>
      </c>
      <c r="PK1">
        <v>2898</v>
      </c>
      <c r="PL1">
        <v>2898</v>
      </c>
      <c r="PM1">
        <v>2898</v>
      </c>
      <c r="PN1">
        <v>2898</v>
      </c>
      <c r="PO1">
        <v>2898</v>
      </c>
      <c r="PP1">
        <v>2898</v>
      </c>
      <c r="PQ1">
        <v>2898</v>
      </c>
      <c r="PR1">
        <v>2898</v>
      </c>
      <c r="PS1">
        <v>2898</v>
      </c>
      <c r="PT1">
        <v>2898</v>
      </c>
      <c r="PU1">
        <v>2898</v>
      </c>
      <c r="PV1">
        <v>2898</v>
      </c>
      <c r="PW1">
        <v>2898</v>
      </c>
      <c r="PX1">
        <v>2898</v>
      </c>
      <c r="PY1">
        <v>2898</v>
      </c>
      <c r="PZ1">
        <v>2898</v>
      </c>
      <c r="QA1">
        <v>2898</v>
      </c>
      <c r="QB1">
        <v>2898</v>
      </c>
      <c r="QC1">
        <v>2898</v>
      </c>
      <c r="QD1">
        <v>2898</v>
      </c>
      <c r="QE1">
        <v>2898</v>
      </c>
      <c r="QF1">
        <v>2898</v>
      </c>
      <c r="QG1">
        <v>2898</v>
      </c>
      <c r="QH1">
        <v>2898</v>
      </c>
      <c r="QI1">
        <v>2898</v>
      </c>
      <c r="QJ1">
        <v>2898</v>
      </c>
      <c r="QK1">
        <v>2898</v>
      </c>
      <c r="QL1">
        <v>2898</v>
      </c>
      <c r="QM1">
        <v>2898</v>
      </c>
      <c r="QN1">
        <v>2898</v>
      </c>
      <c r="QO1">
        <v>2898</v>
      </c>
      <c r="QP1">
        <v>2898</v>
      </c>
      <c r="QQ1">
        <v>2898</v>
      </c>
      <c r="QR1">
        <v>2898</v>
      </c>
      <c r="QS1">
        <v>2898</v>
      </c>
      <c r="QT1">
        <v>2898</v>
      </c>
      <c r="QU1">
        <v>2898</v>
      </c>
      <c r="QV1">
        <v>2898</v>
      </c>
      <c r="QW1">
        <v>2898</v>
      </c>
      <c r="QX1">
        <v>2898</v>
      </c>
      <c r="QY1">
        <v>2898</v>
      </c>
      <c r="QZ1">
        <v>2898</v>
      </c>
      <c r="RA1">
        <v>2898</v>
      </c>
      <c r="RB1">
        <v>2898</v>
      </c>
      <c r="RC1">
        <v>2898</v>
      </c>
      <c r="RD1">
        <v>2898</v>
      </c>
      <c r="RE1">
        <v>2898</v>
      </c>
      <c r="RF1">
        <v>2898</v>
      </c>
      <c r="RG1">
        <v>2898</v>
      </c>
      <c r="RH1">
        <v>2898</v>
      </c>
      <c r="RI1">
        <v>2898</v>
      </c>
      <c r="RJ1">
        <v>2898</v>
      </c>
      <c r="RK1">
        <v>2898</v>
      </c>
      <c r="RL1">
        <v>2898</v>
      </c>
      <c r="RM1">
        <v>2898</v>
      </c>
      <c r="RN1">
        <v>2898</v>
      </c>
      <c r="RO1">
        <v>2898</v>
      </c>
      <c r="RP1">
        <v>2898</v>
      </c>
      <c r="RQ1">
        <v>2898</v>
      </c>
      <c r="RR1">
        <v>2898</v>
      </c>
      <c r="RS1">
        <v>2898</v>
      </c>
      <c r="RT1">
        <v>2898</v>
      </c>
      <c r="RU1">
        <v>2898</v>
      </c>
      <c r="RV1">
        <v>2898</v>
      </c>
      <c r="RW1">
        <v>2898</v>
      </c>
      <c r="RX1">
        <v>2898</v>
      </c>
      <c r="RY1">
        <v>2898</v>
      </c>
      <c r="RZ1">
        <v>2898</v>
      </c>
      <c r="SA1">
        <v>2898</v>
      </c>
      <c r="SB1">
        <v>2898</v>
      </c>
      <c r="SC1">
        <v>2898</v>
      </c>
      <c r="SD1">
        <v>2898</v>
      </c>
      <c r="SE1">
        <v>2898</v>
      </c>
      <c r="SF1">
        <v>2898</v>
      </c>
      <c r="SG1">
        <v>2898</v>
      </c>
      <c r="SH1">
        <v>2898</v>
      </c>
      <c r="SI1">
        <v>2898</v>
      </c>
      <c r="SJ1">
        <v>2898</v>
      </c>
      <c r="SK1">
        <v>2898</v>
      </c>
      <c r="SL1">
        <v>2898</v>
      </c>
      <c r="SM1">
        <v>2898</v>
      </c>
      <c r="SN1">
        <v>2898</v>
      </c>
      <c r="SO1">
        <v>2898</v>
      </c>
      <c r="SP1">
        <v>2898</v>
      </c>
      <c r="SQ1">
        <v>2898</v>
      </c>
      <c r="SR1">
        <v>2898</v>
      </c>
      <c r="SS1">
        <v>2898</v>
      </c>
      <c r="ST1">
        <v>2898</v>
      </c>
      <c r="SU1">
        <v>2898</v>
      </c>
      <c r="SV1">
        <v>2898</v>
      </c>
      <c r="SW1">
        <v>2898</v>
      </c>
      <c r="SX1">
        <v>2898</v>
      </c>
      <c r="SY1">
        <v>2898</v>
      </c>
      <c r="SZ1">
        <v>2898</v>
      </c>
      <c r="TA1">
        <v>2898</v>
      </c>
      <c r="TB1">
        <v>2898</v>
      </c>
      <c r="TC1">
        <v>2898</v>
      </c>
      <c r="TD1">
        <v>2898</v>
      </c>
      <c r="TE1">
        <v>2898</v>
      </c>
      <c r="TF1">
        <v>2898</v>
      </c>
      <c r="TG1">
        <v>2898</v>
      </c>
      <c r="TH1">
        <v>2898</v>
      </c>
      <c r="TI1">
        <v>2898</v>
      </c>
      <c r="TJ1">
        <v>2898</v>
      </c>
      <c r="TK1">
        <v>2898</v>
      </c>
      <c r="TL1">
        <v>2898</v>
      </c>
      <c r="TM1">
        <v>2898</v>
      </c>
      <c r="TN1">
        <v>2898</v>
      </c>
      <c r="TO1">
        <v>2898</v>
      </c>
      <c r="TP1">
        <v>2898</v>
      </c>
      <c r="TQ1">
        <v>2898</v>
      </c>
      <c r="TR1">
        <v>2898</v>
      </c>
      <c r="TS1">
        <v>2898</v>
      </c>
      <c r="TT1">
        <v>2898</v>
      </c>
      <c r="TU1">
        <v>2898</v>
      </c>
      <c r="TV1">
        <v>2898</v>
      </c>
      <c r="TW1">
        <v>2898</v>
      </c>
      <c r="TX1">
        <v>2898</v>
      </c>
      <c r="TY1">
        <v>2898</v>
      </c>
      <c r="TZ1">
        <v>2898</v>
      </c>
      <c r="UA1">
        <v>2898</v>
      </c>
      <c r="UB1">
        <v>2898</v>
      </c>
      <c r="UC1">
        <v>2898</v>
      </c>
      <c r="UD1">
        <v>2898</v>
      </c>
      <c r="UE1">
        <v>2898</v>
      </c>
      <c r="UF1">
        <v>2898</v>
      </c>
      <c r="UG1">
        <v>2898</v>
      </c>
      <c r="UH1">
        <v>2898</v>
      </c>
      <c r="UI1">
        <v>2898</v>
      </c>
      <c r="UJ1">
        <v>2898</v>
      </c>
      <c r="UK1">
        <v>2898</v>
      </c>
      <c r="UL1">
        <v>2898</v>
      </c>
      <c r="UM1">
        <v>2898</v>
      </c>
      <c r="UN1">
        <v>2898</v>
      </c>
      <c r="UO1">
        <v>2898</v>
      </c>
      <c r="UP1">
        <v>2898</v>
      </c>
      <c r="UQ1">
        <v>2898</v>
      </c>
      <c r="UR1">
        <v>2898</v>
      </c>
      <c r="US1">
        <v>2898</v>
      </c>
      <c r="UT1">
        <v>2898</v>
      </c>
      <c r="UU1">
        <v>2898</v>
      </c>
      <c r="UV1">
        <v>2898</v>
      </c>
      <c r="UW1">
        <v>2898</v>
      </c>
      <c r="UX1">
        <v>2898</v>
      </c>
      <c r="UY1">
        <v>2898</v>
      </c>
      <c r="UZ1">
        <v>2898</v>
      </c>
      <c r="VA1">
        <v>2898</v>
      </c>
      <c r="VB1">
        <v>2898</v>
      </c>
      <c r="VC1">
        <v>2898</v>
      </c>
      <c r="VD1">
        <v>2898</v>
      </c>
      <c r="VE1">
        <v>2898</v>
      </c>
      <c r="VF1">
        <v>2898</v>
      </c>
      <c r="VG1">
        <v>2898</v>
      </c>
      <c r="VH1">
        <v>2898</v>
      </c>
      <c r="VI1">
        <v>2898</v>
      </c>
      <c r="VJ1">
        <v>2898</v>
      </c>
      <c r="VK1">
        <v>2898</v>
      </c>
      <c r="VL1">
        <v>2898</v>
      </c>
      <c r="VM1">
        <v>2898</v>
      </c>
      <c r="VN1">
        <v>2898</v>
      </c>
      <c r="VO1">
        <v>2898</v>
      </c>
      <c r="VP1">
        <v>2898</v>
      </c>
      <c r="VQ1">
        <v>2898</v>
      </c>
      <c r="VR1">
        <v>2898</v>
      </c>
      <c r="VS1">
        <v>2898</v>
      </c>
      <c r="VT1">
        <v>2898</v>
      </c>
      <c r="VU1">
        <v>2898</v>
      </c>
      <c r="VV1">
        <v>2898</v>
      </c>
      <c r="VW1">
        <v>2898</v>
      </c>
      <c r="VX1">
        <v>2898</v>
      </c>
      <c r="VY1">
        <v>2898</v>
      </c>
      <c r="VZ1">
        <v>2898</v>
      </c>
      <c r="WA1">
        <v>2898</v>
      </c>
      <c r="WB1">
        <v>2898</v>
      </c>
      <c r="WC1">
        <v>2898</v>
      </c>
      <c r="WD1">
        <v>2898</v>
      </c>
      <c r="WE1">
        <v>2898</v>
      </c>
      <c r="WF1">
        <v>2898</v>
      </c>
      <c r="WG1">
        <v>2898</v>
      </c>
      <c r="WH1">
        <v>2898</v>
      </c>
      <c r="WI1">
        <v>2898</v>
      </c>
      <c r="WJ1">
        <v>2898</v>
      </c>
      <c r="WK1">
        <v>2898</v>
      </c>
      <c r="WL1">
        <v>2898</v>
      </c>
      <c r="WM1">
        <v>2898</v>
      </c>
      <c r="WN1">
        <v>2898</v>
      </c>
      <c r="WO1">
        <v>2898</v>
      </c>
      <c r="WP1">
        <v>2898</v>
      </c>
      <c r="WQ1">
        <v>2898</v>
      </c>
      <c r="WR1">
        <v>2898</v>
      </c>
      <c r="WS1">
        <v>2898</v>
      </c>
      <c r="WT1">
        <v>2898</v>
      </c>
      <c r="WU1">
        <v>2898</v>
      </c>
      <c r="WV1">
        <v>2898</v>
      </c>
      <c r="WW1">
        <v>2898</v>
      </c>
      <c r="WX1">
        <v>2898</v>
      </c>
      <c r="WY1">
        <v>2898</v>
      </c>
      <c r="WZ1">
        <v>2898</v>
      </c>
      <c r="XA1">
        <v>2898</v>
      </c>
      <c r="XB1">
        <v>2898</v>
      </c>
      <c r="XC1">
        <v>2898</v>
      </c>
      <c r="XD1">
        <v>2898</v>
      </c>
      <c r="XE1">
        <v>2898</v>
      </c>
      <c r="XF1">
        <v>2898</v>
      </c>
      <c r="XG1">
        <v>2898</v>
      </c>
      <c r="XH1">
        <v>2898</v>
      </c>
      <c r="XI1">
        <v>2898</v>
      </c>
      <c r="XJ1">
        <v>2898</v>
      </c>
      <c r="XK1">
        <v>2898</v>
      </c>
      <c r="XL1">
        <v>2898</v>
      </c>
      <c r="XM1">
        <v>2898</v>
      </c>
      <c r="XN1">
        <v>2898</v>
      </c>
      <c r="XO1">
        <v>2898</v>
      </c>
      <c r="XP1">
        <v>2898</v>
      </c>
      <c r="XQ1">
        <v>2898</v>
      </c>
      <c r="XR1">
        <v>2898</v>
      </c>
      <c r="XS1">
        <v>2898</v>
      </c>
      <c r="XT1">
        <v>2898</v>
      </c>
      <c r="XU1">
        <v>2898</v>
      </c>
      <c r="XV1">
        <v>2898</v>
      </c>
      <c r="XW1">
        <v>2898</v>
      </c>
      <c r="XX1">
        <v>2898</v>
      </c>
      <c r="XY1">
        <v>2898</v>
      </c>
      <c r="XZ1">
        <v>2898</v>
      </c>
      <c r="YA1">
        <v>2898</v>
      </c>
      <c r="YB1">
        <v>2898</v>
      </c>
      <c r="YC1">
        <v>2898</v>
      </c>
      <c r="YD1">
        <v>2898</v>
      </c>
      <c r="YE1">
        <v>2898</v>
      </c>
      <c r="YF1">
        <v>2898</v>
      </c>
      <c r="YG1">
        <v>2898</v>
      </c>
      <c r="YH1">
        <v>2898</v>
      </c>
      <c r="YI1">
        <v>2898</v>
      </c>
      <c r="YJ1">
        <v>2898</v>
      </c>
      <c r="YK1">
        <v>2898</v>
      </c>
      <c r="YL1">
        <v>2898</v>
      </c>
      <c r="YM1">
        <v>2898</v>
      </c>
      <c r="YN1">
        <v>2898</v>
      </c>
      <c r="YO1">
        <v>2898</v>
      </c>
      <c r="YP1">
        <v>2898</v>
      </c>
      <c r="YQ1">
        <v>2898</v>
      </c>
      <c r="YR1">
        <v>2898</v>
      </c>
      <c r="YS1">
        <v>2898</v>
      </c>
      <c r="YT1">
        <v>2898</v>
      </c>
      <c r="YU1">
        <v>2898</v>
      </c>
      <c r="YV1">
        <v>2898</v>
      </c>
      <c r="YW1">
        <v>2898</v>
      </c>
      <c r="YX1">
        <v>2898</v>
      </c>
      <c r="YY1">
        <v>2898</v>
      </c>
      <c r="YZ1">
        <v>2898</v>
      </c>
      <c r="ZA1">
        <v>2898</v>
      </c>
      <c r="ZB1">
        <v>2898</v>
      </c>
      <c r="ZC1">
        <v>2898</v>
      </c>
      <c r="ZD1">
        <v>2898</v>
      </c>
      <c r="ZE1">
        <v>2898</v>
      </c>
      <c r="ZF1">
        <v>2898</v>
      </c>
      <c r="ZG1">
        <v>2898</v>
      </c>
      <c r="ZH1">
        <v>2898</v>
      </c>
      <c r="ZI1">
        <v>2898</v>
      </c>
      <c r="ZJ1">
        <v>2898</v>
      </c>
      <c r="ZK1">
        <v>2898</v>
      </c>
      <c r="ZL1">
        <v>2898</v>
      </c>
      <c r="ZM1">
        <v>2898</v>
      </c>
      <c r="ZN1">
        <v>2898</v>
      </c>
      <c r="ZO1">
        <v>2898</v>
      </c>
      <c r="ZP1">
        <v>2898</v>
      </c>
      <c r="ZQ1">
        <v>2898</v>
      </c>
      <c r="ZR1">
        <v>2898</v>
      </c>
      <c r="ZS1">
        <v>2898</v>
      </c>
      <c r="ZT1">
        <v>2898</v>
      </c>
      <c r="ZU1">
        <v>2898</v>
      </c>
      <c r="ZV1">
        <v>2898</v>
      </c>
      <c r="ZW1">
        <v>2898</v>
      </c>
      <c r="ZX1">
        <v>2898</v>
      </c>
      <c r="ZY1">
        <v>2898</v>
      </c>
      <c r="ZZ1">
        <v>2898</v>
      </c>
      <c r="AAA1">
        <v>2898</v>
      </c>
      <c r="AAB1">
        <v>2898</v>
      </c>
      <c r="AAC1">
        <v>2898</v>
      </c>
      <c r="AAD1">
        <v>2898</v>
      </c>
      <c r="AAE1">
        <v>2898</v>
      </c>
      <c r="AAF1">
        <v>2898</v>
      </c>
      <c r="AAG1">
        <v>2898</v>
      </c>
      <c r="AAH1">
        <v>2898</v>
      </c>
      <c r="AAI1">
        <v>2898</v>
      </c>
      <c r="AAJ1">
        <v>2898</v>
      </c>
      <c r="AAK1">
        <v>2898</v>
      </c>
      <c r="AAL1">
        <v>2898</v>
      </c>
      <c r="AAM1">
        <v>2898</v>
      </c>
      <c r="AAN1">
        <v>2898</v>
      </c>
      <c r="AAO1">
        <v>2898</v>
      </c>
      <c r="AAP1">
        <v>2898</v>
      </c>
      <c r="AAQ1">
        <v>2898</v>
      </c>
      <c r="AAR1">
        <v>2898</v>
      </c>
      <c r="AAS1">
        <v>2898</v>
      </c>
      <c r="AAT1">
        <v>2898</v>
      </c>
      <c r="AAU1">
        <v>2898</v>
      </c>
      <c r="AAV1">
        <v>2898</v>
      </c>
      <c r="AAW1">
        <v>2898</v>
      </c>
      <c r="AAX1">
        <v>2898</v>
      </c>
      <c r="AAY1">
        <v>2898</v>
      </c>
      <c r="AAZ1">
        <v>2898</v>
      </c>
      <c r="ABA1">
        <v>2898</v>
      </c>
      <c r="ABB1">
        <v>2898</v>
      </c>
      <c r="ABC1">
        <v>2898</v>
      </c>
      <c r="ABD1">
        <v>2898</v>
      </c>
      <c r="ABE1">
        <v>2898</v>
      </c>
      <c r="ABF1">
        <v>2898</v>
      </c>
      <c r="ABG1">
        <v>2898</v>
      </c>
      <c r="ABH1">
        <v>2898</v>
      </c>
      <c r="ABI1">
        <v>2898</v>
      </c>
      <c r="ABJ1">
        <v>2898</v>
      </c>
      <c r="ABK1">
        <v>2898</v>
      </c>
      <c r="ABL1">
        <v>2898</v>
      </c>
      <c r="ABM1">
        <v>2898</v>
      </c>
      <c r="ABN1">
        <v>2898</v>
      </c>
      <c r="ABO1">
        <v>2898</v>
      </c>
      <c r="ABP1">
        <v>2898</v>
      </c>
      <c r="ABQ1">
        <v>2898</v>
      </c>
      <c r="ABR1">
        <v>2898</v>
      </c>
      <c r="ABS1">
        <v>2898</v>
      </c>
      <c r="ABT1">
        <v>2898</v>
      </c>
      <c r="ABU1">
        <v>2898</v>
      </c>
      <c r="ABV1">
        <v>2898</v>
      </c>
      <c r="ABW1">
        <v>2898</v>
      </c>
      <c r="ABX1">
        <v>2898</v>
      </c>
      <c r="ABY1">
        <v>2898</v>
      </c>
      <c r="ABZ1">
        <v>2898</v>
      </c>
      <c r="ACA1">
        <v>2898</v>
      </c>
      <c r="ACB1">
        <v>2898</v>
      </c>
      <c r="ACC1">
        <v>2898</v>
      </c>
      <c r="ACD1">
        <v>2898</v>
      </c>
      <c r="ACE1">
        <v>2898</v>
      </c>
      <c r="ACF1">
        <v>2898</v>
      </c>
      <c r="ACG1">
        <v>2898</v>
      </c>
      <c r="ACH1">
        <v>2898</v>
      </c>
      <c r="ACI1">
        <v>2898</v>
      </c>
      <c r="ACJ1">
        <v>2898</v>
      </c>
      <c r="ACK1">
        <v>2898</v>
      </c>
      <c r="ACL1">
        <v>2898</v>
      </c>
      <c r="ACM1">
        <v>2898</v>
      </c>
      <c r="ACN1">
        <v>2898</v>
      </c>
      <c r="ACO1">
        <v>2898</v>
      </c>
      <c r="ACP1">
        <v>2898</v>
      </c>
      <c r="ACQ1">
        <v>2898</v>
      </c>
      <c r="ACR1">
        <v>2898</v>
      </c>
      <c r="ACS1">
        <v>2898</v>
      </c>
      <c r="ACT1">
        <v>2898</v>
      </c>
      <c r="ACU1">
        <v>2898</v>
      </c>
      <c r="ACV1">
        <v>2898</v>
      </c>
      <c r="ACW1">
        <v>2898</v>
      </c>
      <c r="ACX1">
        <v>2898</v>
      </c>
      <c r="ACY1">
        <v>2898</v>
      </c>
      <c r="ACZ1">
        <v>2898</v>
      </c>
      <c r="ADA1">
        <v>2898</v>
      </c>
      <c r="ADB1">
        <v>2898</v>
      </c>
      <c r="ADC1">
        <v>2898</v>
      </c>
      <c r="ADD1">
        <v>2898</v>
      </c>
      <c r="ADE1">
        <v>2898</v>
      </c>
      <c r="ADF1">
        <v>2898</v>
      </c>
      <c r="ADG1">
        <v>2898</v>
      </c>
      <c r="ADH1">
        <v>2898</v>
      </c>
      <c r="ADI1">
        <v>2898</v>
      </c>
      <c r="ADJ1">
        <v>2898</v>
      </c>
      <c r="ADK1">
        <v>2898</v>
      </c>
      <c r="ADL1">
        <v>2898</v>
      </c>
      <c r="ADM1">
        <v>2898</v>
      </c>
      <c r="ADN1">
        <v>2898</v>
      </c>
      <c r="ADO1">
        <v>2898</v>
      </c>
      <c r="ADP1">
        <v>2898</v>
      </c>
      <c r="ADQ1">
        <v>2898</v>
      </c>
      <c r="ADR1">
        <v>2898</v>
      </c>
      <c r="ADS1">
        <v>2898</v>
      </c>
      <c r="ADT1">
        <v>2898</v>
      </c>
      <c r="ADU1">
        <v>2898</v>
      </c>
      <c r="ADV1">
        <v>2898</v>
      </c>
      <c r="ADW1">
        <v>2898</v>
      </c>
      <c r="ADX1">
        <v>2898</v>
      </c>
      <c r="ADY1">
        <v>2898</v>
      </c>
      <c r="ADZ1">
        <v>2898</v>
      </c>
      <c r="AEA1">
        <v>2898</v>
      </c>
      <c r="AEB1">
        <v>2898</v>
      </c>
      <c r="AEC1">
        <v>2898</v>
      </c>
      <c r="AED1">
        <v>2898</v>
      </c>
      <c r="AEE1">
        <v>2898</v>
      </c>
      <c r="AEF1">
        <v>2898</v>
      </c>
      <c r="AEG1">
        <v>2898</v>
      </c>
      <c r="AEH1">
        <v>2898</v>
      </c>
      <c r="AEI1">
        <v>2898</v>
      </c>
      <c r="AEJ1">
        <v>2898</v>
      </c>
      <c r="AEK1">
        <v>2898</v>
      </c>
      <c r="AEL1">
        <v>2898</v>
      </c>
      <c r="AEM1">
        <v>2898</v>
      </c>
      <c r="AEN1">
        <v>2898</v>
      </c>
      <c r="AEO1">
        <v>2898</v>
      </c>
      <c r="AEP1">
        <v>2898</v>
      </c>
      <c r="AEQ1">
        <v>2898</v>
      </c>
      <c r="AER1">
        <v>2898</v>
      </c>
      <c r="AES1">
        <v>2898</v>
      </c>
      <c r="AET1">
        <v>2898</v>
      </c>
      <c r="AEU1">
        <v>2898</v>
      </c>
      <c r="AEV1">
        <v>2898</v>
      </c>
      <c r="AEW1">
        <v>2898</v>
      </c>
      <c r="AEX1">
        <v>2898</v>
      </c>
      <c r="AEY1">
        <v>2898</v>
      </c>
      <c r="AEZ1">
        <v>2898</v>
      </c>
      <c r="AFA1">
        <v>2898</v>
      </c>
      <c r="AFB1">
        <v>2898</v>
      </c>
      <c r="AFC1">
        <v>2898</v>
      </c>
      <c r="AFD1">
        <v>2898</v>
      </c>
      <c r="AFE1">
        <v>2898</v>
      </c>
      <c r="AFF1">
        <v>2898</v>
      </c>
      <c r="AFG1">
        <v>2898</v>
      </c>
      <c r="AFH1">
        <v>2898</v>
      </c>
      <c r="AFI1">
        <v>2898</v>
      </c>
      <c r="AFJ1">
        <v>2898</v>
      </c>
      <c r="AFK1">
        <v>2898</v>
      </c>
      <c r="AFL1">
        <v>2898</v>
      </c>
      <c r="AFM1">
        <v>2898</v>
      </c>
      <c r="AFN1">
        <v>2898</v>
      </c>
      <c r="AFO1">
        <v>2898</v>
      </c>
      <c r="AFP1">
        <v>2898</v>
      </c>
      <c r="AFQ1">
        <v>2898</v>
      </c>
      <c r="AFR1">
        <v>2898</v>
      </c>
      <c r="AFS1">
        <v>2898</v>
      </c>
      <c r="AFT1">
        <v>2898</v>
      </c>
      <c r="AFU1">
        <v>2898</v>
      </c>
      <c r="AFV1">
        <v>2898</v>
      </c>
      <c r="AFW1">
        <v>2898</v>
      </c>
      <c r="AFX1">
        <v>2898</v>
      </c>
      <c r="AFY1">
        <v>2898</v>
      </c>
      <c r="AFZ1">
        <v>2898</v>
      </c>
      <c r="AGA1">
        <v>2898</v>
      </c>
      <c r="AGB1">
        <v>2898</v>
      </c>
      <c r="AGC1">
        <v>2898</v>
      </c>
      <c r="AGD1">
        <v>2898</v>
      </c>
      <c r="AGE1">
        <v>2898</v>
      </c>
      <c r="AGF1">
        <v>2898</v>
      </c>
      <c r="AGG1">
        <v>2898</v>
      </c>
      <c r="AGH1">
        <v>2898</v>
      </c>
      <c r="AGI1">
        <v>2898</v>
      </c>
      <c r="AGJ1">
        <v>2898</v>
      </c>
      <c r="AGK1">
        <v>2898</v>
      </c>
      <c r="AGL1">
        <v>2898</v>
      </c>
      <c r="AGM1">
        <v>2898</v>
      </c>
      <c r="AGN1">
        <v>2898</v>
      </c>
      <c r="AGO1">
        <v>2898</v>
      </c>
      <c r="AGP1">
        <v>2898</v>
      </c>
      <c r="AGQ1">
        <v>2898</v>
      </c>
      <c r="AGR1">
        <v>2898</v>
      </c>
      <c r="AGS1">
        <v>2898</v>
      </c>
      <c r="AGT1">
        <v>2898</v>
      </c>
      <c r="AGU1">
        <v>2898</v>
      </c>
      <c r="AGV1">
        <v>2898</v>
      </c>
      <c r="AGW1">
        <v>2898</v>
      </c>
      <c r="AGX1">
        <v>2898</v>
      </c>
      <c r="AGY1">
        <v>2898</v>
      </c>
      <c r="AGZ1">
        <v>2898</v>
      </c>
      <c r="AHA1">
        <v>2898</v>
      </c>
      <c r="AHB1">
        <v>2898</v>
      </c>
      <c r="AHC1">
        <v>2898</v>
      </c>
      <c r="AHD1">
        <v>2898</v>
      </c>
      <c r="AHE1">
        <v>2898</v>
      </c>
      <c r="AHF1">
        <v>2898</v>
      </c>
      <c r="AHG1">
        <v>2898</v>
      </c>
      <c r="AHH1">
        <v>2898</v>
      </c>
      <c r="AHI1">
        <v>2898</v>
      </c>
      <c r="AHJ1">
        <v>2898</v>
      </c>
      <c r="AHK1">
        <v>2898</v>
      </c>
      <c r="AHL1">
        <v>2898</v>
      </c>
      <c r="AHM1">
        <v>2898</v>
      </c>
      <c r="AHN1">
        <v>2898</v>
      </c>
      <c r="AHO1">
        <v>2898</v>
      </c>
      <c r="AHP1">
        <v>2898</v>
      </c>
      <c r="AHQ1">
        <v>2898</v>
      </c>
      <c r="AHR1">
        <v>2898</v>
      </c>
      <c r="AHS1">
        <v>2898</v>
      </c>
      <c r="AHT1">
        <v>2898</v>
      </c>
      <c r="AHU1">
        <v>2898</v>
      </c>
      <c r="AHV1">
        <v>2898</v>
      </c>
      <c r="AHW1">
        <v>2898</v>
      </c>
      <c r="AHX1">
        <v>2898</v>
      </c>
      <c r="AHY1">
        <v>2898</v>
      </c>
      <c r="AHZ1">
        <v>2898</v>
      </c>
      <c r="AIA1">
        <v>2898</v>
      </c>
      <c r="AIB1">
        <v>2898</v>
      </c>
      <c r="AIC1">
        <v>2898</v>
      </c>
      <c r="AID1">
        <v>2898</v>
      </c>
      <c r="AIE1">
        <v>2898</v>
      </c>
      <c r="AIF1">
        <v>2898</v>
      </c>
      <c r="AIG1">
        <v>2898</v>
      </c>
      <c r="AIH1">
        <v>2898</v>
      </c>
      <c r="AII1">
        <v>2898</v>
      </c>
      <c r="AIJ1">
        <v>2898</v>
      </c>
      <c r="AIK1">
        <v>2898</v>
      </c>
      <c r="AIL1">
        <v>2898</v>
      </c>
      <c r="AIM1">
        <v>2898</v>
      </c>
      <c r="AIN1">
        <v>2898</v>
      </c>
      <c r="AIO1">
        <v>2898</v>
      </c>
      <c r="AIP1">
        <v>2898</v>
      </c>
      <c r="AIQ1">
        <v>2898</v>
      </c>
      <c r="AIR1">
        <v>2898</v>
      </c>
      <c r="AIS1">
        <v>2898</v>
      </c>
      <c r="AIT1">
        <v>2898</v>
      </c>
      <c r="AIU1">
        <v>2898</v>
      </c>
      <c r="AIV1">
        <v>2898</v>
      </c>
      <c r="AIW1">
        <v>2898</v>
      </c>
      <c r="AIX1">
        <v>2898</v>
      </c>
      <c r="AIY1">
        <v>2898</v>
      </c>
      <c r="AIZ1">
        <v>2898</v>
      </c>
      <c r="AJA1">
        <v>2898</v>
      </c>
      <c r="AJB1">
        <v>2898</v>
      </c>
      <c r="AJC1">
        <v>2898</v>
      </c>
      <c r="AJD1">
        <v>2898</v>
      </c>
      <c r="AJE1">
        <v>2898</v>
      </c>
      <c r="AJF1">
        <v>2898</v>
      </c>
      <c r="AJG1">
        <v>2898</v>
      </c>
      <c r="AJH1">
        <v>2898</v>
      </c>
      <c r="AJI1">
        <v>2898</v>
      </c>
      <c r="AJJ1">
        <v>2898</v>
      </c>
      <c r="AJK1">
        <v>2898</v>
      </c>
      <c r="AJL1">
        <v>2898</v>
      </c>
      <c r="AJM1">
        <v>2898</v>
      </c>
      <c r="AJN1">
        <v>2898</v>
      </c>
      <c r="AJO1">
        <v>2898</v>
      </c>
      <c r="AJP1">
        <v>2898</v>
      </c>
      <c r="AJQ1">
        <v>2898</v>
      </c>
      <c r="AJR1">
        <v>4058</v>
      </c>
      <c r="AJS1">
        <v>4058</v>
      </c>
      <c r="AJT1">
        <v>4058</v>
      </c>
      <c r="AJU1">
        <v>4058</v>
      </c>
      <c r="AJV1">
        <v>4058</v>
      </c>
      <c r="AJW1">
        <v>4058</v>
      </c>
      <c r="AJX1">
        <v>4058</v>
      </c>
      <c r="AJY1">
        <v>4058</v>
      </c>
      <c r="AJZ1">
        <v>4058</v>
      </c>
      <c r="AKA1">
        <v>8275</v>
      </c>
      <c r="AKB1">
        <v>8275</v>
      </c>
      <c r="AKC1">
        <v>8275</v>
      </c>
      <c r="AKD1">
        <v>8275</v>
      </c>
      <c r="AKE1">
        <v>8275</v>
      </c>
      <c r="AKF1">
        <v>8275</v>
      </c>
      <c r="AKG1">
        <v>8275</v>
      </c>
      <c r="AKH1">
        <v>11394</v>
      </c>
      <c r="AKI1">
        <v>11394</v>
      </c>
      <c r="AKJ1">
        <v>4265</v>
      </c>
      <c r="AKK1">
        <v>4265</v>
      </c>
      <c r="AKL1">
        <v>4265</v>
      </c>
      <c r="AKM1">
        <v>4265</v>
      </c>
      <c r="AKN1">
        <v>11722</v>
      </c>
      <c r="AKO1">
        <v>11722</v>
      </c>
      <c r="AKP1">
        <v>10710</v>
      </c>
      <c r="AKQ1">
        <v>10710</v>
      </c>
      <c r="AKR1">
        <v>10710</v>
      </c>
      <c r="AKS1">
        <v>10812</v>
      </c>
      <c r="AKT1">
        <v>10813</v>
      </c>
      <c r="AKU1">
        <v>11568</v>
      </c>
      <c r="AKV1">
        <v>11568</v>
      </c>
      <c r="AKW1">
        <v>11568</v>
      </c>
    </row>
    <row r="2" spans="1:985" ht="14.4" customHeight="1" x14ac:dyDescent="0.55000000000000004">
      <c r="A2" t="s">
        <v>0</v>
      </c>
      <c r="B2" t="s">
        <v>521</v>
      </c>
      <c r="C2" s="1" t="s">
        <v>950</v>
      </c>
      <c r="D2">
        <v>9572</v>
      </c>
      <c r="E2">
        <v>9572</v>
      </c>
      <c r="F2">
        <v>9572</v>
      </c>
      <c r="G2">
        <v>9572</v>
      </c>
      <c r="H2">
        <v>9572</v>
      </c>
      <c r="I2">
        <v>9572</v>
      </c>
      <c r="J2">
        <v>9572</v>
      </c>
      <c r="K2">
        <v>9572</v>
      </c>
      <c r="L2">
        <v>9572</v>
      </c>
      <c r="M2">
        <v>9572</v>
      </c>
      <c r="N2">
        <v>9572</v>
      </c>
      <c r="O2">
        <v>9572</v>
      </c>
      <c r="P2">
        <v>9572</v>
      </c>
      <c r="Q2">
        <v>9572</v>
      </c>
      <c r="R2">
        <v>9572</v>
      </c>
      <c r="S2">
        <v>9572</v>
      </c>
      <c r="T2">
        <v>9572</v>
      </c>
      <c r="U2">
        <v>9572</v>
      </c>
      <c r="V2">
        <v>9572</v>
      </c>
      <c r="W2">
        <v>9572</v>
      </c>
      <c r="X2">
        <v>9572</v>
      </c>
      <c r="Y2">
        <v>9572</v>
      </c>
      <c r="Z2">
        <v>9572</v>
      </c>
      <c r="AA2">
        <v>9572</v>
      </c>
      <c r="AB2">
        <v>9572</v>
      </c>
      <c r="AC2">
        <v>9572</v>
      </c>
      <c r="AD2">
        <v>9572</v>
      </c>
      <c r="AE2">
        <v>9572</v>
      </c>
      <c r="AF2">
        <v>9572</v>
      </c>
      <c r="AG2">
        <v>9572</v>
      </c>
      <c r="AH2">
        <v>9572</v>
      </c>
      <c r="AI2">
        <v>9572</v>
      </c>
      <c r="AJ2">
        <v>9572</v>
      </c>
      <c r="AK2">
        <v>9572</v>
      </c>
      <c r="AL2">
        <v>9572</v>
      </c>
      <c r="AM2">
        <v>9572</v>
      </c>
      <c r="AN2">
        <v>9572</v>
      </c>
      <c r="AO2">
        <v>9572</v>
      </c>
      <c r="AP2">
        <v>9572</v>
      </c>
      <c r="AQ2">
        <v>9572</v>
      </c>
      <c r="AR2">
        <v>9572</v>
      </c>
      <c r="AS2">
        <v>9572</v>
      </c>
      <c r="AT2">
        <v>9572</v>
      </c>
      <c r="AU2">
        <v>9572</v>
      </c>
      <c r="AV2">
        <v>9572</v>
      </c>
      <c r="AW2">
        <v>9572</v>
      </c>
      <c r="AX2">
        <v>9572</v>
      </c>
      <c r="AY2">
        <v>9572</v>
      </c>
      <c r="AZ2">
        <v>9572</v>
      </c>
      <c r="BA2">
        <v>9572</v>
      </c>
      <c r="BB2">
        <v>9572</v>
      </c>
      <c r="BC2">
        <v>9572</v>
      </c>
      <c r="BD2">
        <v>9572</v>
      </c>
      <c r="BE2">
        <v>9572</v>
      </c>
      <c r="BF2">
        <v>9572</v>
      </c>
      <c r="BG2">
        <v>5415</v>
      </c>
      <c r="BH2">
        <v>5415</v>
      </c>
      <c r="BI2">
        <v>5415</v>
      </c>
      <c r="BJ2">
        <v>5415</v>
      </c>
      <c r="BK2">
        <v>5415</v>
      </c>
      <c r="BL2">
        <v>5415</v>
      </c>
      <c r="BM2">
        <v>5415</v>
      </c>
      <c r="BN2">
        <v>5415</v>
      </c>
      <c r="BO2">
        <v>5415</v>
      </c>
      <c r="BP2">
        <v>5415</v>
      </c>
      <c r="BQ2">
        <v>5416</v>
      </c>
      <c r="BR2">
        <v>5416</v>
      </c>
      <c r="BS2">
        <v>5416</v>
      </c>
      <c r="BT2">
        <v>5416</v>
      </c>
      <c r="BU2">
        <v>5416</v>
      </c>
      <c r="BV2">
        <v>5416</v>
      </c>
      <c r="BW2">
        <v>5416</v>
      </c>
      <c r="BX2">
        <v>5416</v>
      </c>
      <c r="BY2">
        <v>5416</v>
      </c>
      <c r="BZ2">
        <v>5416</v>
      </c>
      <c r="CA2" t="s">
        <v>356</v>
      </c>
      <c r="CB2" t="s">
        <v>357</v>
      </c>
      <c r="CC2" t="s">
        <v>358</v>
      </c>
      <c r="CD2" t="s">
        <v>359</v>
      </c>
      <c r="CE2" t="s">
        <v>360</v>
      </c>
      <c r="CF2" t="s">
        <v>361</v>
      </c>
      <c r="CG2" t="s">
        <v>362</v>
      </c>
      <c r="CH2" t="s">
        <v>363</v>
      </c>
      <c r="CI2" t="s">
        <v>364</v>
      </c>
      <c r="CJ2" t="s">
        <v>365</v>
      </c>
      <c r="CK2" t="s">
        <v>366</v>
      </c>
      <c r="CL2" t="s">
        <v>367</v>
      </c>
      <c r="CM2" t="s">
        <v>368</v>
      </c>
      <c r="CN2" t="s">
        <v>369</v>
      </c>
      <c r="CO2" t="s">
        <v>370</v>
      </c>
      <c r="CP2" t="s">
        <v>371</v>
      </c>
      <c r="CQ2" t="s">
        <v>372</v>
      </c>
      <c r="CR2" t="s">
        <v>373</v>
      </c>
      <c r="CS2" t="s">
        <v>374</v>
      </c>
      <c r="CT2" t="s">
        <v>375</v>
      </c>
      <c r="CU2" t="s">
        <v>376</v>
      </c>
      <c r="CV2" t="s">
        <v>377</v>
      </c>
      <c r="CW2" t="s">
        <v>378</v>
      </c>
      <c r="CX2" t="s">
        <v>379</v>
      </c>
      <c r="CY2" t="s">
        <v>380</v>
      </c>
      <c r="CZ2" t="s">
        <v>381</v>
      </c>
      <c r="DA2" t="s">
        <v>382</v>
      </c>
      <c r="DB2" t="s">
        <v>383</v>
      </c>
      <c r="DC2" t="s">
        <v>384</v>
      </c>
      <c r="DD2" t="s">
        <v>385</v>
      </c>
      <c r="DE2" t="s">
        <v>386</v>
      </c>
      <c r="DF2" t="s">
        <v>387</v>
      </c>
      <c r="DG2" t="s">
        <v>388</v>
      </c>
      <c r="DH2" t="s">
        <v>389</v>
      </c>
      <c r="DI2" t="s">
        <v>390</v>
      </c>
      <c r="DJ2" t="s">
        <v>391</v>
      </c>
      <c r="DK2" t="s">
        <v>392</v>
      </c>
      <c r="DL2" t="s">
        <v>393</v>
      </c>
      <c r="DM2" t="s">
        <v>394</v>
      </c>
      <c r="DN2" t="s">
        <v>395</v>
      </c>
      <c r="DO2" t="s">
        <v>396</v>
      </c>
      <c r="DP2" t="s">
        <v>397</v>
      </c>
      <c r="DQ2" t="s">
        <v>398</v>
      </c>
      <c r="DR2" t="s">
        <v>399</v>
      </c>
      <c r="DS2" t="s">
        <v>400</v>
      </c>
      <c r="DT2" t="s">
        <v>401</v>
      </c>
      <c r="DU2" t="s">
        <v>402</v>
      </c>
      <c r="DV2" t="s">
        <v>403</v>
      </c>
      <c r="DW2" t="s">
        <v>404</v>
      </c>
      <c r="DX2" t="s">
        <v>405</v>
      </c>
      <c r="DY2" t="s">
        <v>406</v>
      </c>
      <c r="DZ2" t="s">
        <v>407</v>
      </c>
      <c r="EA2" t="s">
        <v>408</v>
      </c>
      <c r="EB2" t="s">
        <v>356</v>
      </c>
      <c r="EC2" t="s">
        <v>357</v>
      </c>
      <c r="ED2" t="s">
        <v>358</v>
      </c>
      <c r="EE2" t="s">
        <v>359</v>
      </c>
      <c r="EF2" t="s">
        <v>360</v>
      </c>
      <c r="EG2" t="s">
        <v>361</v>
      </c>
      <c r="EH2" t="s">
        <v>362</v>
      </c>
      <c r="EI2" t="s">
        <v>363</v>
      </c>
      <c r="EJ2" t="s">
        <v>364</v>
      </c>
      <c r="EK2" t="s">
        <v>365</v>
      </c>
      <c r="EL2" t="s">
        <v>366</v>
      </c>
      <c r="EM2" t="s">
        <v>367</v>
      </c>
      <c r="EN2" t="s">
        <v>368</v>
      </c>
      <c r="EO2" t="s">
        <v>369</v>
      </c>
      <c r="EP2" t="s">
        <v>370</v>
      </c>
      <c r="EQ2" t="s">
        <v>371</v>
      </c>
      <c r="ER2" t="s">
        <v>372</v>
      </c>
      <c r="ES2" t="s">
        <v>373</v>
      </c>
      <c r="ET2" t="s">
        <v>374</v>
      </c>
      <c r="EU2" t="s">
        <v>375</v>
      </c>
      <c r="EV2" t="s">
        <v>376</v>
      </c>
      <c r="EW2" t="s">
        <v>377</v>
      </c>
      <c r="EX2" t="s">
        <v>378</v>
      </c>
      <c r="EY2" t="s">
        <v>379</v>
      </c>
      <c r="EZ2" t="s">
        <v>380</v>
      </c>
      <c r="FA2" t="s">
        <v>381</v>
      </c>
      <c r="FB2" t="s">
        <v>382</v>
      </c>
      <c r="FC2" t="s">
        <v>383</v>
      </c>
      <c r="FD2" t="s">
        <v>384</v>
      </c>
      <c r="FE2" t="s">
        <v>385</v>
      </c>
      <c r="FF2" t="s">
        <v>386</v>
      </c>
      <c r="FG2" t="s">
        <v>387</v>
      </c>
      <c r="FH2" t="s">
        <v>388</v>
      </c>
      <c r="FI2" t="s">
        <v>389</v>
      </c>
      <c r="FJ2" t="s">
        <v>390</v>
      </c>
      <c r="FK2" t="s">
        <v>391</v>
      </c>
      <c r="FL2" t="s">
        <v>392</v>
      </c>
      <c r="FM2" t="s">
        <v>393</v>
      </c>
      <c r="FN2" t="s">
        <v>394</v>
      </c>
      <c r="FO2" t="s">
        <v>395</v>
      </c>
      <c r="FP2" t="s">
        <v>396</v>
      </c>
      <c r="FQ2" t="s">
        <v>397</v>
      </c>
      <c r="FR2" t="s">
        <v>398</v>
      </c>
      <c r="FS2" t="s">
        <v>399</v>
      </c>
      <c r="FT2" t="s">
        <v>400</v>
      </c>
      <c r="FU2" t="s">
        <v>401</v>
      </c>
      <c r="FV2" t="s">
        <v>402</v>
      </c>
      <c r="FW2" t="s">
        <v>403</v>
      </c>
      <c r="FX2" t="s">
        <v>404</v>
      </c>
      <c r="FY2" t="s">
        <v>405</v>
      </c>
      <c r="FZ2" t="s">
        <v>406</v>
      </c>
      <c r="GA2" t="s">
        <v>407</v>
      </c>
      <c r="GB2" t="s">
        <v>408</v>
      </c>
      <c r="GC2" t="s">
        <v>356</v>
      </c>
      <c r="GD2" t="s">
        <v>357</v>
      </c>
      <c r="GE2" t="s">
        <v>358</v>
      </c>
      <c r="GF2" t="s">
        <v>359</v>
      </c>
      <c r="GG2" t="s">
        <v>360</v>
      </c>
      <c r="GH2" t="s">
        <v>361</v>
      </c>
      <c r="GI2" t="s">
        <v>362</v>
      </c>
      <c r="GJ2" t="s">
        <v>363</v>
      </c>
      <c r="GK2" t="s">
        <v>364</v>
      </c>
      <c r="GL2" t="s">
        <v>365</v>
      </c>
      <c r="GM2" t="s">
        <v>366</v>
      </c>
      <c r="GN2" t="s">
        <v>367</v>
      </c>
      <c r="GO2" t="s">
        <v>368</v>
      </c>
      <c r="GP2" t="s">
        <v>369</v>
      </c>
      <c r="GQ2" t="s">
        <v>370</v>
      </c>
      <c r="GR2" t="s">
        <v>371</v>
      </c>
      <c r="GS2" t="s">
        <v>372</v>
      </c>
      <c r="GT2" t="s">
        <v>373</v>
      </c>
      <c r="GU2" t="s">
        <v>374</v>
      </c>
      <c r="GV2" t="s">
        <v>375</v>
      </c>
      <c r="GW2" t="s">
        <v>376</v>
      </c>
      <c r="GX2" t="s">
        <v>377</v>
      </c>
      <c r="GY2" t="s">
        <v>378</v>
      </c>
      <c r="GZ2" t="s">
        <v>379</v>
      </c>
      <c r="HA2" t="s">
        <v>380</v>
      </c>
      <c r="HB2" t="s">
        <v>381</v>
      </c>
      <c r="HC2" t="s">
        <v>382</v>
      </c>
      <c r="HD2" t="s">
        <v>383</v>
      </c>
      <c r="HE2" t="s">
        <v>384</v>
      </c>
      <c r="HF2" t="s">
        <v>385</v>
      </c>
      <c r="HG2" t="s">
        <v>386</v>
      </c>
      <c r="HH2" t="s">
        <v>387</v>
      </c>
      <c r="HI2" t="s">
        <v>388</v>
      </c>
      <c r="HJ2" t="s">
        <v>389</v>
      </c>
      <c r="HK2" t="s">
        <v>390</v>
      </c>
      <c r="HL2" t="s">
        <v>391</v>
      </c>
      <c r="HM2" t="s">
        <v>392</v>
      </c>
      <c r="HN2" t="s">
        <v>393</v>
      </c>
      <c r="HO2" t="s">
        <v>394</v>
      </c>
      <c r="HP2" t="s">
        <v>395</v>
      </c>
      <c r="HQ2" t="s">
        <v>396</v>
      </c>
      <c r="HR2" t="s">
        <v>397</v>
      </c>
      <c r="HS2" t="s">
        <v>398</v>
      </c>
      <c r="HT2" t="s">
        <v>399</v>
      </c>
      <c r="HU2" t="s">
        <v>400</v>
      </c>
      <c r="HV2" t="s">
        <v>401</v>
      </c>
      <c r="HW2" t="s">
        <v>402</v>
      </c>
      <c r="HX2" t="s">
        <v>403</v>
      </c>
      <c r="HY2" t="s">
        <v>404</v>
      </c>
      <c r="HZ2" t="s">
        <v>405</v>
      </c>
      <c r="IA2" t="s">
        <v>406</v>
      </c>
      <c r="IB2" t="s">
        <v>407</v>
      </c>
      <c r="IC2" t="s">
        <v>408</v>
      </c>
      <c r="ID2" t="s">
        <v>412</v>
      </c>
      <c r="IE2" t="s">
        <v>413</v>
      </c>
      <c r="IF2" t="s">
        <v>414</v>
      </c>
      <c r="IG2" t="s">
        <v>415</v>
      </c>
      <c r="IH2" t="s">
        <v>416</v>
      </c>
      <c r="II2" t="s">
        <v>417</v>
      </c>
      <c r="IJ2" t="s">
        <v>418</v>
      </c>
      <c r="IK2" t="s">
        <v>419</v>
      </c>
      <c r="IL2" t="s">
        <v>420</v>
      </c>
      <c r="IM2" t="s">
        <v>421</v>
      </c>
      <c r="IN2" t="s">
        <v>422</v>
      </c>
      <c r="IO2" t="s">
        <v>423</v>
      </c>
      <c r="IP2" t="s">
        <v>424</v>
      </c>
      <c r="IQ2" t="s">
        <v>425</v>
      </c>
      <c r="IR2" t="s">
        <v>426</v>
      </c>
      <c r="IS2" t="s">
        <v>427</v>
      </c>
      <c r="IT2" t="s">
        <v>428</v>
      </c>
      <c r="IU2" t="s">
        <v>429</v>
      </c>
      <c r="IV2" t="s">
        <v>430</v>
      </c>
      <c r="IW2" t="s">
        <v>431</v>
      </c>
      <c r="IX2" t="s">
        <v>356</v>
      </c>
      <c r="IY2" t="s">
        <v>357</v>
      </c>
      <c r="IZ2" t="s">
        <v>358</v>
      </c>
      <c r="JA2" t="s">
        <v>359</v>
      </c>
      <c r="JB2" t="s">
        <v>360</v>
      </c>
      <c r="JC2" t="s">
        <v>361</v>
      </c>
      <c r="JD2" t="s">
        <v>362</v>
      </c>
      <c r="JE2" t="s">
        <v>363</v>
      </c>
      <c r="JF2" t="s">
        <v>364</v>
      </c>
      <c r="JG2" t="s">
        <v>365</v>
      </c>
      <c r="JH2" t="s">
        <v>366</v>
      </c>
      <c r="JI2" t="s">
        <v>367</v>
      </c>
      <c r="JJ2" t="s">
        <v>368</v>
      </c>
      <c r="JK2" t="s">
        <v>369</v>
      </c>
      <c r="JL2" t="s">
        <v>370</v>
      </c>
      <c r="JM2" t="s">
        <v>371</v>
      </c>
      <c r="JN2" t="s">
        <v>372</v>
      </c>
      <c r="JO2" t="s">
        <v>373</v>
      </c>
      <c r="JP2" t="s">
        <v>374</v>
      </c>
      <c r="JQ2" t="s">
        <v>375</v>
      </c>
      <c r="JR2" t="s">
        <v>376</v>
      </c>
      <c r="JS2" t="s">
        <v>377</v>
      </c>
      <c r="JT2" t="s">
        <v>378</v>
      </c>
      <c r="JU2" t="s">
        <v>379</v>
      </c>
      <c r="JV2" t="s">
        <v>380</v>
      </c>
      <c r="JW2" t="s">
        <v>381</v>
      </c>
      <c r="JX2" t="s">
        <v>382</v>
      </c>
      <c r="JY2" t="s">
        <v>383</v>
      </c>
      <c r="JZ2" t="s">
        <v>384</v>
      </c>
      <c r="KA2" t="s">
        <v>385</v>
      </c>
      <c r="KB2" t="s">
        <v>386</v>
      </c>
      <c r="KC2" t="s">
        <v>387</v>
      </c>
      <c r="KD2" t="s">
        <v>388</v>
      </c>
      <c r="KE2" t="s">
        <v>389</v>
      </c>
      <c r="KF2" t="s">
        <v>390</v>
      </c>
      <c r="KG2" t="s">
        <v>391</v>
      </c>
      <c r="KH2" t="s">
        <v>392</v>
      </c>
      <c r="KI2" t="s">
        <v>393</v>
      </c>
      <c r="KJ2" t="s">
        <v>394</v>
      </c>
      <c r="KK2" t="s">
        <v>395</v>
      </c>
      <c r="KL2" t="s">
        <v>396</v>
      </c>
      <c r="KM2" t="s">
        <v>397</v>
      </c>
      <c r="KN2" t="s">
        <v>398</v>
      </c>
      <c r="KO2" t="s">
        <v>399</v>
      </c>
      <c r="KP2" t="s">
        <v>400</v>
      </c>
      <c r="KQ2" t="s">
        <v>401</v>
      </c>
      <c r="KR2" t="s">
        <v>402</v>
      </c>
      <c r="KS2" t="s">
        <v>403</v>
      </c>
      <c r="KT2" t="s">
        <v>404</v>
      </c>
      <c r="KU2" t="s">
        <v>405</v>
      </c>
      <c r="KV2" t="s">
        <v>406</v>
      </c>
      <c r="KW2" t="s">
        <v>407</v>
      </c>
      <c r="KX2" t="s">
        <v>408</v>
      </c>
      <c r="KY2" t="s">
        <v>412</v>
      </c>
      <c r="KZ2" t="s">
        <v>413</v>
      </c>
      <c r="LA2" t="s">
        <v>414</v>
      </c>
      <c r="LB2" t="s">
        <v>415</v>
      </c>
      <c r="LC2" t="s">
        <v>416</v>
      </c>
      <c r="LD2" t="s">
        <v>417</v>
      </c>
      <c r="LE2" t="s">
        <v>418</v>
      </c>
      <c r="LF2" t="s">
        <v>419</v>
      </c>
      <c r="LG2" t="s">
        <v>420</v>
      </c>
      <c r="LH2" t="s">
        <v>421</v>
      </c>
      <c r="LI2" t="s">
        <v>422</v>
      </c>
      <c r="LJ2" t="s">
        <v>423</v>
      </c>
      <c r="LK2" t="s">
        <v>424</v>
      </c>
      <c r="LL2" t="s">
        <v>425</v>
      </c>
      <c r="LM2" t="s">
        <v>426</v>
      </c>
      <c r="LN2" t="s">
        <v>427</v>
      </c>
      <c r="LO2" t="s">
        <v>428</v>
      </c>
      <c r="LP2" t="s">
        <v>429</v>
      </c>
      <c r="LQ2" t="s">
        <v>430</v>
      </c>
      <c r="LR2" t="s">
        <v>431</v>
      </c>
      <c r="LS2" t="s">
        <v>432</v>
      </c>
      <c r="LT2" t="s">
        <v>433</v>
      </c>
      <c r="LU2" t="s">
        <v>434</v>
      </c>
      <c r="LV2" t="s">
        <v>435</v>
      </c>
      <c r="LW2" t="s">
        <v>436</v>
      </c>
      <c r="LX2" t="s">
        <v>437</v>
      </c>
      <c r="LY2" t="s">
        <v>438</v>
      </c>
      <c r="LZ2" t="s">
        <v>439</v>
      </c>
      <c r="MA2" t="s">
        <v>440</v>
      </c>
      <c r="MB2" t="s">
        <v>441</v>
      </c>
      <c r="MC2" t="s">
        <v>442</v>
      </c>
      <c r="MD2" t="s">
        <v>443</v>
      </c>
      <c r="ME2" t="s">
        <v>444</v>
      </c>
      <c r="MF2" t="s">
        <v>445</v>
      </c>
      <c r="MG2" t="s">
        <v>356</v>
      </c>
      <c r="MH2" t="s">
        <v>357</v>
      </c>
      <c r="MI2" t="s">
        <v>358</v>
      </c>
      <c r="MJ2" t="s">
        <v>359</v>
      </c>
      <c r="MK2" t="s">
        <v>360</v>
      </c>
      <c r="ML2" t="s">
        <v>361</v>
      </c>
      <c r="MM2" t="s">
        <v>362</v>
      </c>
      <c r="MN2" t="s">
        <v>363</v>
      </c>
      <c r="MO2" t="s">
        <v>364</v>
      </c>
      <c r="MP2" t="s">
        <v>365</v>
      </c>
      <c r="MQ2" t="s">
        <v>366</v>
      </c>
      <c r="MR2" t="s">
        <v>367</v>
      </c>
      <c r="MS2" t="s">
        <v>368</v>
      </c>
      <c r="MT2" t="s">
        <v>369</v>
      </c>
      <c r="MU2" t="s">
        <v>370</v>
      </c>
      <c r="MV2" t="s">
        <v>371</v>
      </c>
      <c r="MW2" t="s">
        <v>372</v>
      </c>
      <c r="MX2" t="s">
        <v>373</v>
      </c>
      <c r="MY2" t="s">
        <v>374</v>
      </c>
      <c r="MZ2" t="s">
        <v>375</v>
      </c>
      <c r="NA2" t="s">
        <v>376</v>
      </c>
      <c r="NB2" t="s">
        <v>377</v>
      </c>
      <c r="NC2" t="s">
        <v>378</v>
      </c>
      <c r="ND2" t="s">
        <v>379</v>
      </c>
      <c r="NE2" t="s">
        <v>380</v>
      </c>
      <c r="NF2" t="s">
        <v>381</v>
      </c>
      <c r="NG2" t="s">
        <v>382</v>
      </c>
      <c r="NH2" t="s">
        <v>383</v>
      </c>
      <c r="NI2" t="s">
        <v>384</v>
      </c>
      <c r="NJ2" t="s">
        <v>385</v>
      </c>
      <c r="NK2" t="s">
        <v>386</v>
      </c>
      <c r="NL2" t="s">
        <v>387</v>
      </c>
      <c r="NM2" t="s">
        <v>388</v>
      </c>
      <c r="NN2" t="s">
        <v>389</v>
      </c>
      <c r="NO2" t="s">
        <v>390</v>
      </c>
      <c r="NP2" t="s">
        <v>391</v>
      </c>
      <c r="NQ2" t="s">
        <v>392</v>
      </c>
      <c r="NR2" t="s">
        <v>393</v>
      </c>
      <c r="NS2" t="s">
        <v>394</v>
      </c>
      <c r="NT2" t="s">
        <v>395</v>
      </c>
      <c r="NU2" t="s">
        <v>396</v>
      </c>
      <c r="NV2" t="s">
        <v>397</v>
      </c>
      <c r="NW2" t="s">
        <v>398</v>
      </c>
      <c r="NX2" t="s">
        <v>399</v>
      </c>
      <c r="NY2" t="s">
        <v>400</v>
      </c>
      <c r="NZ2" t="s">
        <v>401</v>
      </c>
      <c r="OA2" t="s">
        <v>402</v>
      </c>
      <c r="OB2" t="s">
        <v>403</v>
      </c>
      <c r="OC2" t="s">
        <v>404</v>
      </c>
      <c r="OD2" t="s">
        <v>405</v>
      </c>
      <c r="OE2" t="s">
        <v>406</v>
      </c>
      <c r="OF2" t="s">
        <v>407</v>
      </c>
      <c r="OG2" t="s">
        <v>408</v>
      </c>
      <c r="OH2" t="s">
        <v>412</v>
      </c>
      <c r="OI2" t="s">
        <v>413</v>
      </c>
      <c r="OJ2" t="s">
        <v>414</v>
      </c>
      <c r="OK2" t="s">
        <v>415</v>
      </c>
      <c r="OL2" t="s">
        <v>416</v>
      </c>
      <c r="OM2" t="s">
        <v>417</v>
      </c>
      <c r="ON2" t="s">
        <v>418</v>
      </c>
      <c r="OO2" t="s">
        <v>419</v>
      </c>
      <c r="OP2" t="s">
        <v>420</v>
      </c>
      <c r="OQ2" t="s">
        <v>421</v>
      </c>
      <c r="OR2" t="s">
        <v>422</v>
      </c>
      <c r="OS2" t="s">
        <v>423</v>
      </c>
      <c r="OT2" t="s">
        <v>424</v>
      </c>
      <c r="OU2" t="s">
        <v>425</v>
      </c>
      <c r="OV2" t="s">
        <v>426</v>
      </c>
      <c r="OW2" t="s">
        <v>427</v>
      </c>
      <c r="OX2" t="s">
        <v>428</v>
      </c>
      <c r="OY2" t="s">
        <v>429</v>
      </c>
      <c r="OZ2" t="s">
        <v>430</v>
      </c>
      <c r="PA2" t="s">
        <v>431</v>
      </c>
      <c r="PB2" t="s">
        <v>432</v>
      </c>
      <c r="PC2" t="s">
        <v>433</v>
      </c>
      <c r="PD2" t="s">
        <v>434</v>
      </c>
      <c r="PE2" t="s">
        <v>435</v>
      </c>
      <c r="PF2" t="s">
        <v>436</v>
      </c>
      <c r="PG2" t="s">
        <v>437</v>
      </c>
      <c r="PH2" t="s">
        <v>438</v>
      </c>
      <c r="PI2" t="s">
        <v>439</v>
      </c>
      <c r="PJ2" t="s">
        <v>440</v>
      </c>
      <c r="PK2" t="s">
        <v>441</v>
      </c>
      <c r="PL2" t="s">
        <v>442</v>
      </c>
      <c r="PM2" t="s">
        <v>443</v>
      </c>
      <c r="PN2" t="s">
        <v>444</v>
      </c>
      <c r="PO2" t="s">
        <v>445</v>
      </c>
      <c r="PP2" t="s">
        <v>356</v>
      </c>
      <c r="PQ2" t="s">
        <v>357</v>
      </c>
      <c r="PR2" t="s">
        <v>358</v>
      </c>
      <c r="PS2" t="s">
        <v>359</v>
      </c>
      <c r="PT2" t="s">
        <v>360</v>
      </c>
      <c r="PU2" t="s">
        <v>361</v>
      </c>
      <c r="PV2" t="s">
        <v>362</v>
      </c>
      <c r="PW2" t="s">
        <v>363</v>
      </c>
      <c r="PX2" t="s">
        <v>364</v>
      </c>
      <c r="PY2" t="s">
        <v>365</v>
      </c>
      <c r="PZ2" t="s">
        <v>366</v>
      </c>
      <c r="QA2" t="s">
        <v>367</v>
      </c>
      <c r="QB2" t="s">
        <v>368</v>
      </c>
      <c r="QC2" t="s">
        <v>369</v>
      </c>
      <c r="QD2" t="s">
        <v>370</v>
      </c>
      <c r="QE2" t="s">
        <v>371</v>
      </c>
      <c r="QF2" t="s">
        <v>372</v>
      </c>
      <c r="QG2" t="s">
        <v>373</v>
      </c>
      <c r="QH2" t="s">
        <v>374</v>
      </c>
      <c r="QI2" t="s">
        <v>375</v>
      </c>
      <c r="QJ2" t="s">
        <v>376</v>
      </c>
      <c r="QK2" t="s">
        <v>377</v>
      </c>
      <c r="QL2" t="s">
        <v>378</v>
      </c>
      <c r="QM2" t="s">
        <v>379</v>
      </c>
      <c r="QN2" t="s">
        <v>380</v>
      </c>
      <c r="QO2" t="s">
        <v>381</v>
      </c>
      <c r="QP2" t="s">
        <v>382</v>
      </c>
      <c r="QQ2" t="s">
        <v>383</v>
      </c>
      <c r="QR2" t="s">
        <v>384</v>
      </c>
      <c r="QS2" t="s">
        <v>385</v>
      </c>
      <c r="QT2" t="s">
        <v>386</v>
      </c>
      <c r="QU2" t="s">
        <v>387</v>
      </c>
      <c r="QV2" t="s">
        <v>388</v>
      </c>
      <c r="QW2" t="s">
        <v>389</v>
      </c>
      <c r="QX2" t="s">
        <v>390</v>
      </c>
      <c r="QY2" t="s">
        <v>391</v>
      </c>
      <c r="QZ2" t="s">
        <v>392</v>
      </c>
      <c r="RA2" t="s">
        <v>393</v>
      </c>
      <c r="RB2" t="s">
        <v>394</v>
      </c>
      <c r="RC2" t="s">
        <v>395</v>
      </c>
      <c r="RD2" t="s">
        <v>396</v>
      </c>
      <c r="RE2" t="s">
        <v>397</v>
      </c>
      <c r="RF2" t="s">
        <v>398</v>
      </c>
      <c r="RG2" t="s">
        <v>399</v>
      </c>
      <c r="RH2" t="s">
        <v>400</v>
      </c>
      <c r="RI2" t="s">
        <v>401</v>
      </c>
      <c r="RJ2" t="s">
        <v>402</v>
      </c>
      <c r="RK2" t="s">
        <v>403</v>
      </c>
      <c r="RL2" t="s">
        <v>404</v>
      </c>
      <c r="RM2" t="s">
        <v>405</v>
      </c>
      <c r="RN2" t="s">
        <v>406</v>
      </c>
      <c r="RO2" t="s">
        <v>407</v>
      </c>
      <c r="RP2" t="s">
        <v>408</v>
      </c>
      <c r="RQ2" t="s">
        <v>412</v>
      </c>
      <c r="RR2" t="s">
        <v>413</v>
      </c>
      <c r="RS2" t="s">
        <v>414</v>
      </c>
      <c r="RT2" t="s">
        <v>415</v>
      </c>
      <c r="RU2" t="s">
        <v>416</v>
      </c>
      <c r="RV2" t="s">
        <v>417</v>
      </c>
      <c r="RW2" t="s">
        <v>418</v>
      </c>
      <c r="RX2" t="s">
        <v>419</v>
      </c>
      <c r="RY2" t="s">
        <v>420</v>
      </c>
      <c r="RZ2" t="s">
        <v>421</v>
      </c>
      <c r="SA2" t="s">
        <v>422</v>
      </c>
      <c r="SB2" t="s">
        <v>423</v>
      </c>
      <c r="SC2" t="s">
        <v>424</v>
      </c>
      <c r="SD2" t="s">
        <v>425</v>
      </c>
      <c r="SE2" t="s">
        <v>426</v>
      </c>
      <c r="SF2" t="s">
        <v>427</v>
      </c>
      <c r="SG2" t="s">
        <v>428</v>
      </c>
      <c r="SH2" t="s">
        <v>429</v>
      </c>
      <c r="SI2" t="s">
        <v>430</v>
      </c>
      <c r="SJ2" t="s">
        <v>431</v>
      </c>
      <c r="SK2" t="s">
        <v>432</v>
      </c>
      <c r="SL2" t="s">
        <v>433</v>
      </c>
      <c r="SM2" t="s">
        <v>434</v>
      </c>
      <c r="SN2" t="s">
        <v>435</v>
      </c>
      <c r="SO2" t="s">
        <v>436</v>
      </c>
      <c r="SP2" t="s">
        <v>437</v>
      </c>
      <c r="SQ2" t="s">
        <v>438</v>
      </c>
      <c r="SR2" t="s">
        <v>439</v>
      </c>
      <c r="SS2" t="s">
        <v>440</v>
      </c>
      <c r="ST2" t="s">
        <v>441</v>
      </c>
      <c r="SU2" t="s">
        <v>442</v>
      </c>
      <c r="SV2" t="s">
        <v>443</v>
      </c>
      <c r="SW2" t="s">
        <v>444</v>
      </c>
      <c r="SX2" t="s">
        <v>445</v>
      </c>
      <c r="SY2" t="s">
        <v>356</v>
      </c>
      <c r="SZ2" t="s">
        <v>357</v>
      </c>
      <c r="TA2" t="s">
        <v>358</v>
      </c>
      <c r="TB2" t="s">
        <v>359</v>
      </c>
      <c r="TC2" t="s">
        <v>360</v>
      </c>
      <c r="TD2" t="s">
        <v>361</v>
      </c>
      <c r="TE2" t="s">
        <v>362</v>
      </c>
      <c r="TF2" t="s">
        <v>363</v>
      </c>
      <c r="TG2" t="s">
        <v>364</v>
      </c>
      <c r="TH2" t="s">
        <v>365</v>
      </c>
      <c r="TI2" t="s">
        <v>366</v>
      </c>
      <c r="TJ2" t="s">
        <v>367</v>
      </c>
      <c r="TK2" t="s">
        <v>368</v>
      </c>
      <c r="TL2" t="s">
        <v>369</v>
      </c>
      <c r="TM2" t="s">
        <v>370</v>
      </c>
      <c r="TN2" t="s">
        <v>371</v>
      </c>
      <c r="TO2" t="s">
        <v>372</v>
      </c>
      <c r="TP2" t="s">
        <v>373</v>
      </c>
      <c r="TQ2" t="s">
        <v>374</v>
      </c>
      <c r="TR2" t="s">
        <v>375</v>
      </c>
      <c r="TS2" t="s">
        <v>376</v>
      </c>
      <c r="TT2" t="s">
        <v>377</v>
      </c>
      <c r="TU2" t="s">
        <v>378</v>
      </c>
      <c r="TV2" t="s">
        <v>379</v>
      </c>
      <c r="TW2" t="s">
        <v>380</v>
      </c>
      <c r="TX2" t="s">
        <v>381</v>
      </c>
      <c r="TY2" t="s">
        <v>382</v>
      </c>
      <c r="TZ2" t="s">
        <v>383</v>
      </c>
      <c r="UA2" t="s">
        <v>384</v>
      </c>
      <c r="UB2" t="s">
        <v>385</v>
      </c>
      <c r="UC2" t="s">
        <v>386</v>
      </c>
      <c r="UD2" t="s">
        <v>387</v>
      </c>
      <c r="UE2" t="s">
        <v>388</v>
      </c>
      <c r="UF2" t="s">
        <v>389</v>
      </c>
      <c r="UG2" t="s">
        <v>390</v>
      </c>
      <c r="UH2" t="s">
        <v>391</v>
      </c>
      <c r="UI2" t="s">
        <v>392</v>
      </c>
      <c r="UJ2" t="s">
        <v>393</v>
      </c>
      <c r="UK2" t="s">
        <v>394</v>
      </c>
      <c r="UL2" t="s">
        <v>395</v>
      </c>
      <c r="UM2" t="s">
        <v>396</v>
      </c>
      <c r="UN2" t="s">
        <v>397</v>
      </c>
      <c r="UO2" t="s">
        <v>398</v>
      </c>
      <c r="UP2" t="s">
        <v>399</v>
      </c>
      <c r="UQ2" t="s">
        <v>400</v>
      </c>
      <c r="UR2" t="s">
        <v>401</v>
      </c>
      <c r="US2" t="s">
        <v>402</v>
      </c>
      <c r="UT2" t="s">
        <v>403</v>
      </c>
      <c r="UU2" t="s">
        <v>404</v>
      </c>
      <c r="UV2" t="s">
        <v>405</v>
      </c>
      <c r="UW2" t="s">
        <v>406</v>
      </c>
      <c r="UX2" t="s">
        <v>407</v>
      </c>
      <c r="UY2" t="s">
        <v>408</v>
      </c>
      <c r="UZ2" t="s">
        <v>412</v>
      </c>
      <c r="VA2" t="s">
        <v>413</v>
      </c>
      <c r="VB2" t="s">
        <v>414</v>
      </c>
      <c r="VC2" t="s">
        <v>415</v>
      </c>
      <c r="VD2" t="s">
        <v>416</v>
      </c>
      <c r="VE2" t="s">
        <v>417</v>
      </c>
      <c r="VF2" t="s">
        <v>418</v>
      </c>
      <c r="VG2" t="s">
        <v>419</v>
      </c>
      <c r="VH2" t="s">
        <v>420</v>
      </c>
      <c r="VI2" t="s">
        <v>421</v>
      </c>
      <c r="VJ2" t="s">
        <v>422</v>
      </c>
      <c r="VK2" t="s">
        <v>423</v>
      </c>
      <c r="VL2" t="s">
        <v>424</v>
      </c>
      <c r="VM2" t="s">
        <v>425</v>
      </c>
      <c r="VN2" t="s">
        <v>426</v>
      </c>
      <c r="VO2" t="s">
        <v>427</v>
      </c>
      <c r="VP2" t="s">
        <v>428</v>
      </c>
      <c r="VQ2" t="s">
        <v>429</v>
      </c>
      <c r="VR2" t="s">
        <v>430</v>
      </c>
      <c r="VS2" t="s">
        <v>431</v>
      </c>
      <c r="VT2" t="s">
        <v>432</v>
      </c>
      <c r="VU2" t="s">
        <v>433</v>
      </c>
      <c r="VV2" t="s">
        <v>434</v>
      </c>
      <c r="VW2" t="s">
        <v>435</v>
      </c>
      <c r="VX2" t="s">
        <v>436</v>
      </c>
      <c r="VY2" t="s">
        <v>437</v>
      </c>
      <c r="VZ2" t="s">
        <v>438</v>
      </c>
      <c r="WA2" t="s">
        <v>439</v>
      </c>
      <c r="WB2" t="s">
        <v>440</v>
      </c>
      <c r="WC2" t="s">
        <v>441</v>
      </c>
      <c r="WD2" t="s">
        <v>442</v>
      </c>
      <c r="WE2" t="s">
        <v>443</v>
      </c>
      <c r="WF2" t="s">
        <v>444</v>
      </c>
      <c r="WG2" t="s">
        <v>445</v>
      </c>
      <c r="WH2" t="s">
        <v>356</v>
      </c>
      <c r="WI2" t="s">
        <v>357</v>
      </c>
      <c r="WJ2" t="s">
        <v>358</v>
      </c>
      <c r="WK2" t="s">
        <v>359</v>
      </c>
      <c r="WL2" t="s">
        <v>360</v>
      </c>
      <c r="WM2" t="s">
        <v>361</v>
      </c>
      <c r="WN2" t="s">
        <v>362</v>
      </c>
      <c r="WO2" t="s">
        <v>363</v>
      </c>
      <c r="WP2" t="s">
        <v>364</v>
      </c>
      <c r="WQ2" t="s">
        <v>365</v>
      </c>
      <c r="WR2" t="s">
        <v>366</v>
      </c>
      <c r="WS2" t="s">
        <v>367</v>
      </c>
      <c r="WT2" t="s">
        <v>368</v>
      </c>
      <c r="WU2" t="s">
        <v>369</v>
      </c>
      <c r="WV2" t="s">
        <v>370</v>
      </c>
      <c r="WW2" t="s">
        <v>371</v>
      </c>
      <c r="WX2" t="s">
        <v>372</v>
      </c>
      <c r="WY2" t="s">
        <v>373</v>
      </c>
      <c r="WZ2" t="s">
        <v>374</v>
      </c>
      <c r="XA2" t="s">
        <v>375</v>
      </c>
      <c r="XB2" t="s">
        <v>376</v>
      </c>
      <c r="XC2" t="s">
        <v>377</v>
      </c>
      <c r="XD2" t="s">
        <v>378</v>
      </c>
      <c r="XE2" t="s">
        <v>379</v>
      </c>
      <c r="XF2" t="s">
        <v>380</v>
      </c>
      <c r="XG2" t="s">
        <v>381</v>
      </c>
      <c r="XH2" t="s">
        <v>382</v>
      </c>
      <c r="XI2" t="s">
        <v>383</v>
      </c>
      <c r="XJ2" t="s">
        <v>384</v>
      </c>
      <c r="XK2" t="s">
        <v>385</v>
      </c>
      <c r="XL2" t="s">
        <v>386</v>
      </c>
      <c r="XM2" t="s">
        <v>387</v>
      </c>
      <c r="XN2" t="s">
        <v>388</v>
      </c>
      <c r="XO2" t="s">
        <v>389</v>
      </c>
      <c r="XP2" t="s">
        <v>390</v>
      </c>
      <c r="XQ2" t="s">
        <v>391</v>
      </c>
      <c r="XR2" t="s">
        <v>392</v>
      </c>
      <c r="XS2" t="s">
        <v>393</v>
      </c>
      <c r="XT2" t="s">
        <v>394</v>
      </c>
      <c r="XU2" t="s">
        <v>395</v>
      </c>
      <c r="XV2" t="s">
        <v>396</v>
      </c>
      <c r="XW2" t="s">
        <v>397</v>
      </c>
      <c r="XX2" t="s">
        <v>398</v>
      </c>
      <c r="XY2" t="s">
        <v>399</v>
      </c>
      <c r="XZ2" t="s">
        <v>400</v>
      </c>
      <c r="YA2" t="s">
        <v>401</v>
      </c>
      <c r="YB2" t="s">
        <v>402</v>
      </c>
      <c r="YC2" t="s">
        <v>403</v>
      </c>
      <c r="YD2" t="s">
        <v>404</v>
      </c>
      <c r="YE2" t="s">
        <v>405</v>
      </c>
      <c r="YF2" t="s">
        <v>406</v>
      </c>
      <c r="YG2" t="s">
        <v>407</v>
      </c>
      <c r="YH2" t="s">
        <v>408</v>
      </c>
      <c r="YI2" t="s">
        <v>412</v>
      </c>
      <c r="YJ2" t="s">
        <v>413</v>
      </c>
      <c r="YK2" t="s">
        <v>414</v>
      </c>
      <c r="YL2" t="s">
        <v>415</v>
      </c>
      <c r="YM2" t="s">
        <v>416</v>
      </c>
      <c r="YN2" t="s">
        <v>417</v>
      </c>
      <c r="YO2" t="s">
        <v>418</v>
      </c>
      <c r="YP2" t="s">
        <v>419</v>
      </c>
      <c r="YQ2" t="s">
        <v>420</v>
      </c>
      <c r="YR2" t="s">
        <v>421</v>
      </c>
      <c r="YS2" t="s">
        <v>422</v>
      </c>
      <c r="YT2" t="s">
        <v>423</v>
      </c>
      <c r="YU2" t="s">
        <v>424</v>
      </c>
      <c r="YV2" t="s">
        <v>425</v>
      </c>
      <c r="YW2" t="s">
        <v>426</v>
      </c>
      <c r="YX2" t="s">
        <v>427</v>
      </c>
      <c r="YY2" t="s">
        <v>428</v>
      </c>
      <c r="YZ2" t="s">
        <v>429</v>
      </c>
      <c r="ZA2" t="s">
        <v>430</v>
      </c>
      <c r="ZB2" t="s">
        <v>431</v>
      </c>
      <c r="ZC2" t="s">
        <v>432</v>
      </c>
      <c r="ZD2" t="s">
        <v>433</v>
      </c>
      <c r="ZE2" t="s">
        <v>434</v>
      </c>
      <c r="ZF2" t="s">
        <v>435</v>
      </c>
      <c r="ZG2" t="s">
        <v>436</v>
      </c>
      <c r="ZH2" t="s">
        <v>437</v>
      </c>
      <c r="ZI2" t="s">
        <v>438</v>
      </c>
      <c r="ZJ2" t="s">
        <v>439</v>
      </c>
      <c r="ZK2" t="s">
        <v>440</v>
      </c>
      <c r="ZL2" t="s">
        <v>441</v>
      </c>
      <c r="ZM2" t="s">
        <v>442</v>
      </c>
      <c r="ZN2" t="s">
        <v>443</v>
      </c>
      <c r="ZO2" t="s">
        <v>444</v>
      </c>
      <c r="ZP2" t="s">
        <v>445</v>
      </c>
      <c r="ZQ2" t="s">
        <v>96</v>
      </c>
      <c r="ZR2" t="s">
        <v>97</v>
      </c>
      <c r="ZS2" t="s">
        <v>2</v>
      </c>
      <c r="ZT2" t="s">
        <v>98</v>
      </c>
      <c r="ZU2" t="s">
        <v>99</v>
      </c>
      <c r="ZV2" t="s">
        <v>100</v>
      </c>
      <c r="ZW2" t="s">
        <v>101</v>
      </c>
      <c r="ZX2" t="s">
        <v>102</v>
      </c>
      <c r="ZY2" t="s">
        <v>103</v>
      </c>
      <c r="ZZ2" t="s">
        <v>104</v>
      </c>
      <c r="AAA2" t="s">
        <v>105</v>
      </c>
      <c r="AAB2" t="s">
        <v>106</v>
      </c>
      <c r="AAC2" t="s">
        <v>107</v>
      </c>
      <c r="AAD2" t="s">
        <v>108</v>
      </c>
      <c r="AAE2" t="s">
        <v>109</v>
      </c>
      <c r="AAF2" t="s">
        <v>110</v>
      </c>
      <c r="AAG2" t="s">
        <v>111</v>
      </c>
      <c r="AAH2" t="s">
        <v>112</v>
      </c>
      <c r="AAI2" t="s">
        <v>113</v>
      </c>
      <c r="AAJ2" t="s">
        <v>114</v>
      </c>
      <c r="AAK2" t="s">
        <v>115</v>
      </c>
      <c r="AAL2" t="s">
        <v>116</v>
      </c>
      <c r="AAM2" t="s">
        <v>117</v>
      </c>
      <c r="AAN2" t="s">
        <v>118</v>
      </c>
      <c r="AAO2" t="s">
        <v>119</v>
      </c>
      <c r="AAP2" t="s">
        <v>120</v>
      </c>
      <c r="AAQ2" t="s">
        <v>121</v>
      </c>
      <c r="AAR2" t="s">
        <v>122</v>
      </c>
      <c r="AAS2" t="s">
        <v>123</v>
      </c>
      <c r="AAT2" t="s">
        <v>124</v>
      </c>
      <c r="AAU2" t="s">
        <v>125</v>
      </c>
      <c r="AAV2" t="s">
        <v>126</v>
      </c>
      <c r="AAW2" t="s">
        <v>127</v>
      </c>
      <c r="AAX2" t="s">
        <v>128</v>
      </c>
      <c r="AAY2" t="s">
        <v>129</v>
      </c>
      <c r="AAZ2" t="s">
        <v>130</v>
      </c>
      <c r="ABA2" t="s">
        <v>131</v>
      </c>
      <c r="ABB2" t="s">
        <v>132</v>
      </c>
      <c r="ABC2" t="s">
        <v>133</v>
      </c>
      <c r="ABD2" t="s">
        <v>134</v>
      </c>
      <c r="ABE2" t="s">
        <v>135</v>
      </c>
      <c r="ABF2" t="s">
        <v>136</v>
      </c>
      <c r="ABG2" t="s">
        <v>137</v>
      </c>
      <c r="ABH2" t="s">
        <v>138</v>
      </c>
      <c r="ABI2" t="s">
        <v>139</v>
      </c>
      <c r="ABJ2" t="s">
        <v>140</v>
      </c>
      <c r="ABK2" t="s">
        <v>141</v>
      </c>
      <c r="ABL2" t="s">
        <v>142</v>
      </c>
      <c r="ABM2" t="s">
        <v>143</v>
      </c>
      <c r="ABN2" t="s">
        <v>144</v>
      </c>
      <c r="ABO2" t="s">
        <v>145</v>
      </c>
      <c r="ABP2" t="s">
        <v>146</v>
      </c>
      <c r="ABQ2" t="s">
        <v>147</v>
      </c>
      <c r="ABR2" t="s">
        <v>148</v>
      </c>
      <c r="ABS2" t="s">
        <v>149</v>
      </c>
      <c r="ABT2" t="s">
        <v>150</v>
      </c>
      <c r="ABU2" t="s">
        <v>151</v>
      </c>
      <c r="ABV2" t="s">
        <v>152</v>
      </c>
      <c r="ABW2" t="s">
        <v>153</v>
      </c>
      <c r="ABX2" t="s">
        <v>154</v>
      </c>
      <c r="ABY2" t="s">
        <v>155</v>
      </c>
      <c r="ABZ2" t="s">
        <v>156</v>
      </c>
      <c r="ACA2" t="s">
        <v>157</v>
      </c>
      <c r="ACB2" t="s">
        <v>158</v>
      </c>
      <c r="ACC2" t="s">
        <v>159</v>
      </c>
      <c r="ACD2" t="s">
        <v>160</v>
      </c>
      <c r="ACE2" t="s">
        <v>161</v>
      </c>
      <c r="ACF2" t="s">
        <v>162</v>
      </c>
      <c r="ACG2" t="s">
        <v>163</v>
      </c>
      <c r="ACH2" t="s">
        <v>164</v>
      </c>
      <c r="ACI2" t="s">
        <v>165</v>
      </c>
      <c r="ACJ2" t="s">
        <v>166</v>
      </c>
      <c r="ACK2" t="s">
        <v>167</v>
      </c>
      <c r="ACL2" t="s">
        <v>168</v>
      </c>
      <c r="ACM2" t="s">
        <v>169</v>
      </c>
      <c r="ACN2" t="s">
        <v>170</v>
      </c>
      <c r="ACO2" t="s">
        <v>171</v>
      </c>
      <c r="ACP2" t="s">
        <v>172</v>
      </c>
      <c r="ACQ2" t="s">
        <v>173</v>
      </c>
      <c r="ACR2" t="s">
        <v>174</v>
      </c>
      <c r="ACS2" t="s">
        <v>175</v>
      </c>
      <c r="ACT2" t="s">
        <v>176</v>
      </c>
      <c r="ACU2" t="s">
        <v>177</v>
      </c>
      <c r="ACV2" t="s">
        <v>178</v>
      </c>
      <c r="ACW2" t="s">
        <v>179</v>
      </c>
      <c r="ACX2" t="s">
        <v>180</v>
      </c>
      <c r="ACY2" t="s">
        <v>181</v>
      </c>
      <c r="ACZ2" t="s">
        <v>96</v>
      </c>
      <c r="ADA2" t="s">
        <v>97</v>
      </c>
      <c r="ADB2" t="s">
        <v>2</v>
      </c>
      <c r="ADC2" t="s">
        <v>98</v>
      </c>
      <c r="ADD2" t="s">
        <v>99</v>
      </c>
      <c r="ADE2" t="s">
        <v>100</v>
      </c>
      <c r="ADF2" t="s">
        <v>101</v>
      </c>
      <c r="ADG2" t="s">
        <v>102</v>
      </c>
      <c r="ADH2" t="s">
        <v>103</v>
      </c>
      <c r="ADI2" t="s">
        <v>104</v>
      </c>
      <c r="ADJ2" t="s">
        <v>105</v>
      </c>
      <c r="ADK2" t="s">
        <v>106</v>
      </c>
      <c r="ADL2" t="s">
        <v>107</v>
      </c>
      <c r="ADM2" t="s">
        <v>108</v>
      </c>
      <c r="ADN2" t="s">
        <v>109</v>
      </c>
      <c r="ADO2" t="s">
        <v>110</v>
      </c>
      <c r="ADP2" t="s">
        <v>111</v>
      </c>
      <c r="ADQ2" t="s">
        <v>112</v>
      </c>
      <c r="ADR2" t="s">
        <v>113</v>
      </c>
      <c r="ADS2" t="s">
        <v>114</v>
      </c>
      <c r="ADT2" t="s">
        <v>115</v>
      </c>
      <c r="ADU2" t="s">
        <v>116</v>
      </c>
      <c r="ADV2" t="s">
        <v>117</v>
      </c>
      <c r="ADW2" t="s">
        <v>118</v>
      </c>
      <c r="ADX2" t="s">
        <v>119</v>
      </c>
      <c r="ADY2" t="s">
        <v>120</v>
      </c>
      <c r="ADZ2" t="s">
        <v>121</v>
      </c>
      <c r="AEA2" t="s">
        <v>122</v>
      </c>
      <c r="AEB2" t="s">
        <v>123</v>
      </c>
      <c r="AEC2" t="s">
        <v>124</v>
      </c>
      <c r="AED2" t="s">
        <v>125</v>
      </c>
      <c r="AEE2" t="s">
        <v>126</v>
      </c>
      <c r="AEF2" t="s">
        <v>127</v>
      </c>
      <c r="AEG2" t="s">
        <v>128</v>
      </c>
      <c r="AEH2" t="s">
        <v>129</v>
      </c>
      <c r="AEI2" t="s">
        <v>130</v>
      </c>
      <c r="AEJ2" t="s">
        <v>131</v>
      </c>
      <c r="AEK2" t="s">
        <v>132</v>
      </c>
      <c r="AEL2" t="s">
        <v>133</v>
      </c>
      <c r="AEM2" t="s">
        <v>134</v>
      </c>
      <c r="AEN2" t="s">
        <v>135</v>
      </c>
      <c r="AEO2" t="s">
        <v>136</v>
      </c>
      <c r="AEP2" t="s">
        <v>137</v>
      </c>
      <c r="AEQ2" t="s">
        <v>138</v>
      </c>
      <c r="AER2" t="s">
        <v>139</v>
      </c>
      <c r="AES2" t="s">
        <v>140</v>
      </c>
      <c r="AET2" t="s">
        <v>141</v>
      </c>
      <c r="AEU2" t="s">
        <v>142</v>
      </c>
      <c r="AEV2" t="s">
        <v>143</v>
      </c>
      <c r="AEW2" t="s">
        <v>144</v>
      </c>
      <c r="AEX2" t="s">
        <v>145</v>
      </c>
      <c r="AEY2" t="s">
        <v>146</v>
      </c>
      <c r="AEZ2" t="s">
        <v>147</v>
      </c>
      <c r="AFA2" t="s">
        <v>148</v>
      </c>
      <c r="AFB2" t="s">
        <v>149</v>
      </c>
      <c r="AFC2" t="s">
        <v>150</v>
      </c>
      <c r="AFD2" t="s">
        <v>151</v>
      </c>
      <c r="AFE2" t="s">
        <v>152</v>
      </c>
      <c r="AFF2" t="s">
        <v>153</v>
      </c>
      <c r="AFG2" t="s">
        <v>154</v>
      </c>
      <c r="AFH2" t="s">
        <v>155</v>
      </c>
      <c r="AFI2" t="s">
        <v>156</v>
      </c>
      <c r="AFJ2" t="s">
        <v>157</v>
      </c>
      <c r="AFK2" t="s">
        <v>158</v>
      </c>
      <c r="AFL2" t="s">
        <v>159</v>
      </c>
      <c r="AFM2" t="s">
        <v>160</v>
      </c>
      <c r="AFN2" t="s">
        <v>161</v>
      </c>
      <c r="AFO2" t="s">
        <v>162</v>
      </c>
      <c r="AFP2" t="s">
        <v>163</v>
      </c>
      <c r="AFQ2" t="s">
        <v>164</v>
      </c>
      <c r="AFR2" t="s">
        <v>165</v>
      </c>
      <c r="AFS2" t="s">
        <v>166</v>
      </c>
      <c r="AFT2" t="s">
        <v>167</v>
      </c>
      <c r="AFU2" t="s">
        <v>168</v>
      </c>
      <c r="AFV2" t="s">
        <v>169</v>
      </c>
      <c r="AFW2" t="s">
        <v>170</v>
      </c>
      <c r="AFX2" t="s">
        <v>171</v>
      </c>
      <c r="AFY2" t="s">
        <v>172</v>
      </c>
      <c r="AFZ2" t="s">
        <v>173</v>
      </c>
      <c r="AGA2" t="s">
        <v>174</v>
      </c>
      <c r="AGB2" t="s">
        <v>175</v>
      </c>
      <c r="AGC2" t="s">
        <v>176</v>
      </c>
      <c r="AGD2" t="s">
        <v>177</v>
      </c>
      <c r="AGE2" t="s">
        <v>178</v>
      </c>
      <c r="AGF2" t="s">
        <v>179</v>
      </c>
      <c r="AGG2" t="s">
        <v>180</v>
      </c>
      <c r="AGH2" t="s">
        <v>181</v>
      </c>
      <c r="AGI2" t="s">
        <v>96</v>
      </c>
      <c r="AGJ2" t="s">
        <v>97</v>
      </c>
      <c r="AGK2" t="s">
        <v>2</v>
      </c>
      <c r="AGL2" t="s">
        <v>98</v>
      </c>
      <c r="AGM2" t="s">
        <v>99</v>
      </c>
      <c r="AGN2" t="s">
        <v>100</v>
      </c>
      <c r="AGO2" t="s">
        <v>101</v>
      </c>
      <c r="AGP2" t="s">
        <v>102</v>
      </c>
      <c r="AGQ2" t="s">
        <v>103</v>
      </c>
      <c r="AGR2" t="s">
        <v>104</v>
      </c>
      <c r="AGS2" t="s">
        <v>105</v>
      </c>
      <c r="AGT2" t="s">
        <v>106</v>
      </c>
      <c r="AGU2" t="s">
        <v>107</v>
      </c>
      <c r="AGV2" t="s">
        <v>108</v>
      </c>
      <c r="AGW2" t="s">
        <v>109</v>
      </c>
      <c r="AGX2" t="s">
        <v>110</v>
      </c>
      <c r="AGY2" t="s">
        <v>111</v>
      </c>
      <c r="AGZ2" t="s">
        <v>112</v>
      </c>
      <c r="AHA2" t="s">
        <v>113</v>
      </c>
      <c r="AHB2" t="s">
        <v>114</v>
      </c>
      <c r="AHC2" t="s">
        <v>115</v>
      </c>
      <c r="AHD2" t="s">
        <v>116</v>
      </c>
      <c r="AHE2" t="s">
        <v>117</v>
      </c>
      <c r="AHF2" t="s">
        <v>118</v>
      </c>
      <c r="AHG2" t="s">
        <v>119</v>
      </c>
      <c r="AHH2" t="s">
        <v>120</v>
      </c>
      <c r="AHI2" t="s">
        <v>121</v>
      </c>
      <c r="AHJ2" t="s">
        <v>122</v>
      </c>
      <c r="AHK2" t="s">
        <v>123</v>
      </c>
      <c r="AHL2" t="s">
        <v>124</v>
      </c>
      <c r="AHM2" t="s">
        <v>125</v>
      </c>
      <c r="AHN2" t="s">
        <v>126</v>
      </c>
      <c r="AHO2" t="s">
        <v>127</v>
      </c>
      <c r="AHP2" t="s">
        <v>128</v>
      </c>
      <c r="AHQ2" t="s">
        <v>129</v>
      </c>
      <c r="AHR2" t="s">
        <v>130</v>
      </c>
      <c r="AHS2" t="s">
        <v>131</v>
      </c>
      <c r="AHT2" t="s">
        <v>132</v>
      </c>
      <c r="AHU2" t="s">
        <v>133</v>
      </c>
      <c r="AHV2" t="s">
        <v>134</v>
      </c>
      <c r="AHW2" t="s">
        <v>135</v>
      </c>
      <c r="AHX2" t="s">
        <v>136</v>
      </c>
      <c r="AHY2" t="s">
        <v>137</v>
      </c>
      <c r="AHZ2" t="s">
        <v>138</v>
      </c>
      <c r="AIA2" t="s">
        <v>139</v>
      </c>
      <c r="AIB2" t="s">
        <v>140</v>
      </c>
      <c r="AIC2" t="s">
        <v>141</v>
      </c>
      <c r="AID2" t="s">
        <v>142</v>
      </c>
      <c r="AIE2" t="s">
        <v>143</v>
      </c>
      <c r="AIF2" t="s">
        <v>144</v>
      </c>
      <c r="AIG2" t="s">
        <v>145</v>
      </c>
      <c r="AIH2" t="s">
        <v>146</v>
      </c>
      <c r="AII2" t="s">
        <v>147</v>
      </c>
      <c r="AIJ2" t="s">
        <v>148</v>
      </c>
      <c r="AIK2" t="s">
        <v>149</v>
      </c>
      <c r="AIL2" t="s">
        <v>150</v>
      </c>
      <c r="AIM2" t="s">
        <v>151</v>
      </c>
      <c r="AIN2" t="s">
        <v>152</v>
      </c>
      <c r="AIO2" t="s">
        <v>153</v>
      </c>
      <c r="AIP2" t="s">
        <v>154</v>
      </c>
      <c r="AIQ2" t="s">
        <v>155</v>
      </c>
      <c r="AIR2" t="s">
        <v>156</v>
      </c>
      <c r="AIS2" t="s">
        <v>157</v>
      </c>
      <c r="AIT2" t="s">
        <v>158</v>
      </c>
      <c r="AIU2" t="s">
        <v>159</v>
      </c>
      <c r="AIV2" t="s">
        <v>160</v>
      </c>
      <c r="AIW2" t="s">
        <v>161</v>
      </c>
      <c r="AIX2" t="s">
        <v>162</v>
      </c>
      <c r="AIY2" t="s">
        <v>163</v>
      </c>
      <c r="AIZ2" t="s">
        <v>164</v>
      </c>
      <c r="AJA2" t="s">
        <v>165</v>
      </c>
      <c r="AJB2" t="s">
        <v>166</v>
      </c>
      <c r="AJC2" t="s">
        <v>167</v>
      </c>
      <c r="AJD2" t="s">
        <v>168</v>
      </c>
      <c r="AJE2" t="s">
        <v>169</v>
      </c>
      <c r="AJF2" t="s">
        <v>170</v>
      </c>
      <c r="AJG2" t="s">
        <v>171</v>
      </c>
      <c r="AJH2" t="s">
        <v>172</v>
      </c>
      <c r="AJI2" t="s">
        <v>173</v>
      </c>
      <c r="AJJ2" t="s">
        <v>174</v>
      </c>
      <c r="AJK2" t="s">
        <v>175</v>
      </c>
      <c r="AJL2" t="s">
        <v>176</v>
      </c>
      <c r="AJM2" t="s">
        <v>177</v>
      </c>
      <c r="AJN2" t="s">
        <v>178</v>
      </c>
      <c r="AJO2" t="s">
        <v>179</v>
      </c>
      <c r="AJP2" t="s">
        <v>180</v>
      </c>
      <c r="AJQ2" t="s">
        <v>181</v>
      </c>
      <c r="AJR2">
        <v>4058</v>
      </c>
      <c r="AJS2">
        <v>4058</v>
      </c>
      <c r="AJT2">
        <v>4058</v>
      </c>
      <c r="AJU2">
        <v>4058</v>
      </c>
      <c r="AJV2">
        <v>4058</v>
      </c>
      <c r="AJW2">
        <v>4058</v>
      </c>
      <c r="AJX2">
        <v>4058</v>
      </c>
      <c r="AJY2">
        <v>4058</v>
      </c>
      <c r="AJZ2">
        <v>4058</v>
      </c>
      <c r="AKA2">
        <v>8275</v>
      </c>
      <c r="AKB2">
        <v>8275</v>
      </c>
      <c r="AKC2">
        <v>8275</v>
      </c>
      <c r="AKD2">
        <v>8275</v>
      </c>
      <c r="AKE2">
        <v>8275</v>
      </c>
      <c r="AKF2">
        <v>8275</v>
      </c>
      <c r="AKG2">
        <v>8275</v>
      </c>
      <c r="AKH2">
        <v>11394</v>
      </c>
      <c r="AKI2">
        <v>11394</v>
      </c>
      <c r="AKJ2">
        <v>4265</v>
      </c>
      <c r="AKK2">
        <v>4265</v>
      </c>
      <c r="AKL2">
        <v>4265</v>
      </c>
      <c r="AKM2">
        <v>4265</v>
      </c>
      <c r="AKN2">
        <v>11722</v>
      </c>
      <c r="AKO2">
        <v>11722</v>
      </c>
      <c r="AKP2">
        <v>10710</v>
      </c>
      <c r="AKQ2">
        <v>10710</v>
      </c>
      <c r="AKR2">
        <v>10710</v>
      </c>
      <c r="AKS2">
        <v>10812</v>
      </c>
      <c r="AKT2">
        <v>10813</v>
      </c>
      <c r="AKU2">
        <v>11568</v>
      </c>
      <c r="AKV2">
        <v>11568</v>
      </c>
      <c r="AKW2">
        <v>11568</v>
      </c>
    </row>
    <row r="3" spans="1:985" ht="14.4" customHeight="1" x14ac:dyDescent="0.55000000000000004">
      <c r="A3" t="s">
        <v>609</v>
      </c>
      <c r="B3" t="s">
        <v>618</v>
      </c>
      <c r="C3" s="1" t="s">
        <v>612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c r="FM3">
        <v>0</v>
      </c>
      <c r="FN3">
        <v>0</v>
      </c>
      <c r="FO3">
        <v>0</v>
      </c>
      <c r="FP3">
        <v>0</v>
      </c>
      <c r="FQ3">
        <v>0</v>
      </c>
      <c r="FR3">
        <v>0</v>
      </c>
      <c r="FS3">
        <v>0</v>
      </c>
      <c r="FT3">
        <v>0</v>
      </c>
      <c r="FU3">
        <v>0</v>
      </c>
      <c r="FV3">
        <v>0</v>
      </c>
      <c r="FW3">
        <v>0</v>
      </c>
      <c r="FX3">
        <v>0</v>
      </c>
      <c r="FY3">
        <v>0</v>
      </c>
      <c r="FZ3">
        <v>0</v>
      </c>
      <c r="GA3">
        <v>0</v>
      </c>
      <c r="GB3">
        <v>0</v>
      </c>
      <c r="GC3">
        <v>0</v>
      </c>
      <c r="GD3">
        <v>0</v>
      </c>
      <c r="GE3">
        <v>0</v>
      </c>
      <c r="GF3">
        <v>0</v>
      </c>
      <c r="GG3">
        <v>0</v>
      </c>
      <c r="GH3">
        <v>0</v>
      </c>
      <c r="GI3">
        <v>0</v>
      </c>
      <c r="GJ3">
        <v>0</v>
      </c>
      <c r="GK3">
        <v>0</v>
      </c>
      <c r="GL3">
        <v>0</v>
      </c>
      <c r="GM3">
        <v>0</v>
      </c>
      <c r="GN3">
        <v>0</v>
      </c>
      <c r="GO3">
        <v>0</v>
      </c>
      <c r="GP3">
        <v>0</v>
      </c>
      <c r="GQ3">
        <v>0</v>
      </c>
      <c r="GR3">
        <v>0</v>
      </c>
      <c r="GS3">
        <v>0</v>
      </c>
      <c r="GT3">
        <v>0</v>
      </c>
      <c r="GU3">
        <v>0</v>
      </c>
      <c r="GV3">
        <v>0</v>
      </c>
      <c r="GW3">
        <v>0</v>
      </c>
      <c r="GX3">
        <v>0</v>
      </c>
      <c r="GY3">
        <v>0</v>
      </c>
      <c r="GZ3">
        <v>0</v>
      </c>
      <c r="HA3">
        <v>0</v>
      </c>
      <c r="HB3">
        <v>0</v>
      </c>
      <c r="HC3">
        <v>0</v>
      </c>
      <c r="HD3">
        <v>0</v>
      </c>
      <c r="HE3">
        <v>0</v>
      </c>
      <c r="HF3">
        <v>0</v>
      </c>
      <c r="HG3">
        <v>0</v>
      </c>
      <c r="HH3">
        <v>0</v>
      </c>
      <c r="HI3">
        <v>0</v>
      </c>
      <c r="HJ3">
        <v>0</v>
      </c>
      <c r="HK3">
        <v>0</v>
      </c>
      <c r="HL3">
        <v>0</v>
      </c>
      <c r="HM3">
        <v>0</v>
      </c>
      <c r="HN3">
        <v>0</v>
      </c>
      <c r="HO3">
        <v>0</v>
      </c>
      <c r="HP3">
        <v>0</v>
      </c>
      <c r="HQ3">
        <v>0</v>
      </c>
      <c r="HR3">
        <v>0</v>
      </c>
      <c r="HS3">
        <v>0</v>
      </c>
      <c r="HT3">
        <v>0</v>
      </c>
      <c r="HU3">
        <v>0</v>
      </c>
      <c r="HV3">
        <v>0</v>
      </c>
      <c r="HW3">
        <v>0</v>
      </c>
      <c r="HX3">
        <v>0</v>
      </c>
      <c r="HY3">
        <v>0</v>
      </c>
      <c r="HZ3">
        <v>0</v>
      </c>
      <c r="IA3">
        <v>0</v>
      </c>
      <c r="IB3">
        <v>0</v>
      </c>
      <c r="IC3">
        <v>0</v>
      </c>
      <c r="ID3">
        <v>0</v>
      </c>
      <c r="IE3">
        <v>0</v>
      </c>
      <c r="IF3">
        <v>0</v>
      </c>
      <c r="IG3">
        <v>0</v>
      </c>
      <c r="IH3">
        <v>0</v>
      </c>
      <c r="II3">
        <v>0</v>
      </c>
      <c r="IJ3">
        <v>0</v>
      </c>
      <c r="IK3">
        <v>0</v>
      </c>
      <c r="IL3">
        <v>0</v>
      </c>
      <c r="IM3">
        <v>0</v>
      </c>
      <c r="IN3">
        <v>0</v>
      </c>
      <c r="IO3">
        <v>0</v>
      </c>
      <c r="IP3">
        <v>0</v>
      </c>
      <c r="IQ3">
        <v>0</v>
      </c>
      <c r="IR3">
        <v>0</v>
      </c>
      <c r="IS3">
        <v>0</v>
      </c>
      <c r="IT3">
        <v>0</v>
      </c>
      <c r="IU3">
        <v>0</v>
      </c>
      <c r="IV3">
        <v>0</v>
      </c>
      <c r="IW3">
        <v>0</v>
      </c>
      <c r="IX3">
        <v>0</v>
      </c>
      <c r="IY3">
        <v>0</v>
      </c>
      <c r="IZ3">
        <v>0</v>
      </c>
      <c r="JA3">
        <v>0</v>
      </c>
      <c r="JB3">
        <v>0</v>
      </c>
      <c r="JC3">
        <v>0</v>
      </c>
      <c r="JD3">
        <v>0</v>
      </c>
      <c r="JE3">
        <v>0</v>
      </c>
      <c r="JF3">
        <v>0</v>
      </c>
      <c r="JG3">
        <v>0</v>
      </c>
      <c r="JH3">
        <v>0</v>
      </c>
      <c r="JI3">
        <v>0</v>
      </c>
      <c r="JJ3">
        <v>0</v>
      </c>
      <c r="JK3">
        <v>0</v>
      </c>
      <c r="JL3">
        <v>0</v>
      </c>
      <c r="JM3">
        <v>0</v>
      </c>
      <c r="JN3">
        <v>0</v>
      </c>
      <c r="JO3">
        <v>0</v>
      </c>
      <c r="JP3">
        <v>0</v>
      </c>
      <c r="JQ3">
        <v>0</v>
      </c>
      <c r="JR3">
        <v>0</v>
      </c>
      <c r="JS3">
        <v>0</v>
      </c>
      <c r="JT3">
        <v>0</v>
      </c>
      <c r="JU3">
        <v>0</v>
      </c>
      <c r="JV3">
        <v>0</v>
      </c>
      <c r="JW3">
        <v>0</v>
      </c>
      <c r="JX3">
        <v>0</v>
      </c>
      <c r="JY3">
        <v>0</v>
      </c>
      <c r="JZ3">
        <v>0</v>
      </c>
      <c r="KA3">
        <v>0</v>
      </c>
      <c r="KB3">
        <v>0</v>
      </c>
      <c r="KC3">
        <v>0</v>
      </c>
      <c r="KD3">
        <v>0</v>
      </c>
      <c r="KE3">
        <v>0</v>
      </c>
      <c r="KF3">
        <v>0</v>
      </c>
      <c r="KG3">
        <v>0</v>
      </c>
      <c r="KH3">
        <v>0</v>
      </c>
      <c r="KI3">
        <v>0</v>
      </c>
      <c r="KJ3">
        <v>0</v>
      </c>
      <c r="KK3">
        <v>0</v>
      </c>
      <c r="KL3">
        <v>0</v>
      </c>
      <c r="KM3">
        <v>0</v>
      </c>
      <c r="KN3">
        <v>0</v>
      </c>
      <c r="KO3">
        <v>0</v>
      </c>
      <c r="KP3">
        <v>0</v>
      </c>
      <c r="KQ3">
        <v>0</v>
      </c>
      <c r="KR3">
        <v>0</v>
      </c>
      <c r="KS3">
        <v>0</v>
      </c>
      <c r="KT3">
        <v>0</v>
      </c>
      <c r="KU3">
        <v>0</v>
      </c>
      <c r="KV3">
        <v>0</v>
      </c>
      <c r="KW3">
        <v>0</v>
      </c>
      <c r="KX3">
        <v>0</v>
      </c>
      <c r="KY3">
        <v>0</v>
      </c>
      <c r="KZ3">
        <v>0</v>
      </c>
      <c r="LA3">
        <v>0</v>
      </c>
      <c r="LB3">
        <v>0</v>
      </c>
      <c r="LC3">
        <v>0</v>
      </c>
      <c r="LD3">
        <v>0</v>
      </c>
      <c r="LE3">
        <v>0</v>
      </c>
      <c r="LF3">
        <v>0</v>
      </c>
      <c r="LG3">
        <v>0</v>
      </c>
      <c r="LH3">
        <v>0</v>
      </c>
      <c r="LI3">
        <v>0</v>
      </c>
      <c r="LJ3">
        <v>0</v>
      </c>
      <c r="LK3">
        <v>0</v>
      </c>
      <c r="LL3">
        <v>0</v>
      </c>
      <c r="LM3">
        <v>0</v>
      </c>
      <c r="LN3">
        <v>0</v>
      </c>
      <c r="LO3">
        <v>0</v>
      </c>
      <c r="LP3">
        <v>0</v>
      </c>
      <c r="LQ3">
        <v>0</v>
      </c>
      <c r="LR3">
        <v>0</v>
      </c>
      <c r="LS3">
        <v>0</v>
      </c>
      <c r="LT3">
        <v>0</v>
      </c>
      <c r="LU3">
        <v>0</v>
      </c>
      <c r="LV3">
        <v>0</v>
      </c>
      <c r="LW3">
        <v>0</v>
      </c>
      <c r="LX3">
        <v>0</v>
      </c>
      <c r="LY3">
        <v>0</v>
      </c>
      <c r="LZ3">
        <v>0</v>
      </c>
      <c r="MA3">
        <v>0</v>
      </c>
      <c r="MB3">
        <v>0</v>
      </c>
      <c r="MC3">
        <v>0</v>
      </c>
      <c r="MD3">
        <v>0</v>
      </c>
      <c r="ME3">
        <v>0</v>
      </c>
      <c r="MF3">
        <v>0</v>
      </c>
      <c r="MG3">
        <v>0</v>
      </c>
      <c r="MH3">
        <v>0</v>
      </c>
      <c r="MI3">
        <v>0</v>
      </c>
      <c r="MJ3">
        <v>0</v>
      </c>
      <c r="MK3">
        <v>0</v>
      </c>
      <c r="ML3">
        <v>0</v>
      </c>
      <c r="MM3">
        <v>0</v>
      </c>
      <c r="MN3">
        <v>0</v>
      </c>
      <c r="MO3">
        <v>0</v>
      </c>
      <c r="MP3">
        <v>0</v>
      </c>
      <c r="MQ3">
        <v>0</v>
      </c>
      <c r="MR3">
        <v>0</v>
      </c>
      <c r="MS3">
        <v>0</v>
      </c>
      <c r="MT3">
        <v>0</v>
      </c>
      <c r="MU3">
        <v>0</v>
      </c>
      <c r="MV3">
        <v>0</v>
      </c>
      <c r="MW3">
        <v>0</v>
      </c>
      <c r="MX3">
        <v>0</v>
      </c>
      <c r="MY3">
        <v>0</v>
      </c>
      <c r="MZ3">
        <v>0</v>
      </c>
      <c r="NA3">
        <v>0</v>
      </c>
      <c r="NB3">
        <v>0</v>
      </c>
      <c r="NC3">
        <v>0</v>
      </c>
      <c r="ND3">
        <v>0</v>
      </c>
      <c r="NE3">
        <v>0</v>
      </c>
      <c r="NF3">
        <v>0</v>
      </c>
      <c r="NG3">
        <v>0</v>
      </c>
      <c r="NH3">
        <v>0</v>
      </c>
      <c r="NI3">
        <v>0</v>
      </c>
      <c r="NJ3">
        <v>0</v>
      </c>
      <c r="NK3">
        <v>0</v>
      </c>
      <c r="NL3">
        <v>0</v>
      </c>
      <c r="NM3">
        <v>0</v>
      </c>
      <c r="NN3">
        <v>0</v>
      </c>
      <c r="NO3">
        <v>0</v>
      </c>
      <c r="NP3">
        <v>0</v>
      </c>
      <c r="NQ3">
        <v>0</v>
      </c>
      <c r="NR3">
        <v>0</v>
      </c>
      <c r="NS3">
        <v>0</v>
      </c>
      <c r="NT3">
        <v>0</v>
      </c>
      <c r="NU3">
        <v>0</v>
      </c>
      <c r="NV3">
        <v>0</v>
      </c>
      <c r="NW3">
        <v>0</v>
      </c>
      <c r="NX3">
        <v>0</v>
      </c>
      <c r="NY3">
        <v>0</v>
      </c>
      <c r="NZ3">
        <v>0</v>
      </c>
      <c r="OA3">
        <v>0</v>
      </c>
      <c r="OB3">
        <v>0</v>
      </c>
      <c r="OC3">
        <v>0</v>
      </c>
      <c r="OD3">
        <v>0</v>
      </c>
      <c r="OE3">
        <v>0</v>
      </c>
      <c r="OF3">
        <v>0</v>
      </c>
      <c r="OG3">
        <v>0</v>
      </c>
      <c r="OH3">
        <v>0</v>
      </c>
      <c r="OI3">
        <v>0</v>
      </c>
      <c r="OJ3">
        <v>0</v>
      </c>
      <c r="OK3">
        <v>0</v>
      </c>
      <c r="OL3">
        <v>0</v>
      </c>
      <c r="OM3">
        <v>0</v>
      </c>
      <c r="ON3">
        <v>0</v>
      </c>
      <c r="OO3">
        <v>0</v>
      </c>
      <c r="OP3">
        <v>0</v>
      </c>
      <c r="OQ3">
        <v>0</v>
      </c>
      <c r="OR3">
        <v>0</v>
      </c>
      <c r="OS3">
        <v>0</v>
      </c>
      <c r="OT3">
        <v>0</v>
      </c>
      <c r="OU3">
        <v>0</v>
      </c>
      <c r="OV3">
        <v>0</v>
      </c>
      <c r="OW3">
        <v>0</v>
      </c>
      <c r="OX3">
        <v>0</v>
      </c>
      <c r="OY3">
        <v>0</v>
      </c>
      <c r="OZ3">
        <v>0</v>
      </c>
      <c r="PA3">
        <v>0</v>
      </c>
      <c r="PB3">
        <v>0</v>
      </c>
      <c r="PC3">
        <v>0</v>
      </c>
      <c r="PD3">
        <v>0</v>
      </c>
      <c r="PE3">
        <v>0</v>
      </c>
      <c r="PF3">
        <v>0</v>
      </c>
      <c r="PG3">
        <v>0</v>
      </c>
      <c r="PH3">
        <v>0</v>
      </c>
      <c r="PI3">
        <v>0</v>
      </c>
      <c r="PJ3">
        <v>0</v>
      </c>
      <c r="PK3">
        <v>0</v>
      </c>
      <c r="PL3">
        <v>0</v>
      </c>
      <c r="PM3">
        <v>0</v>
      </c>
      <c r="PN3">
        <v>0</v>
      </c>
      <c r="PO3">
        <v>0</v>
      </c>
      <c r="PP3">
        <v>0</v>
      </c>
      <c r="PQ3">
        <v>0</v>
      </c>
      <c r="PR3">
        <v>0</v>
      </c>
      <c r="PS3">
        <v>0</v>
      </c>
      <c r="PT3">
        <v>0</v>
      </c>
      <c r="PU3">
        <v>0</v>
      </c>
      <c r="PV3">
        <v>0</v>
      </c>
      <c r="PW3">
        <v>0</v>
      </c>
      <c r="PX3">
        <v>0</v>
      </c>
      <c r="PY3">
        <v>0</v>
      </c>
      <c r="PZ3">
        <v>0</v>
      </c>
      <c r="QA3">
        <v>0</v>
      </c>
      <c r="QB3">
        <v>0</v>
      </c>
      <c r="QC3">
        <v>0</v>
      </c>
      <c r="QD3">
        <v>0</v>
      </c>
      <c r="QE3">
        <v>0</v>
      </c>
      <c r="QF3">
        <v>0</v>
      </c>
      <c r="QG3">
        <v>0</v>
      </c>
      <c r="QH3">
        <v>0</v>
      </c>
      <c r="QI3">
        <v>0</v>
      </c>
      <c r="QJ3">
        <v>0</v>
      </c>
      <c r="QK3">
        <v>0</v>
      </c>
      <c r="QL3">
        <v>0</v>
      </c>
      <c r="QM3">
        <v>0</v>
      </c>
      <c r="QN3">
        <v>0</v>
      </c>
      <c r="QO3">
        <v>0</v>
      </c>
      <c r="QP3">
        <v>0</v>
      </c>
      <c r="QQ3">
        <v>0</v>
      </c>
      <c r="QR3">
        <v>0</v>
      </c>
      <c r="QS3">
        <v>0</v>
      </c>
      <c r="QT3">
        <v>0</v>
      </c>
      <c r="QU3">
        <v>0</v>
      </c>
      <c r="QV3">
        <v>0</v>
      </c>
      <c r="QW3">
        <v>0</v>
      </c>
      <c r="QX3">
        <v>0</v>
      </c>
      <c r="QY3">
        <v>0</v>
      </c>
      <c r="QZ3">
        <v>0</v>
      </c>
      <c r="RA3">
        <v>0</v>
      </c>
      <c r="RB3">
        <v>0</v>
      </c>
      <c r="RC3">
        <v>0</v>
      </c>
      <c r="RD3">
        <v>0</v>
      </c>
      <c r="RE3">
        <v>0</v>
      </c>
      <c r="RF3">
        <v>0</v>
      </c>
      <c r="RG3">
        <v>0</v>
      </c>
      <c r="RH3">
        <v>0</v>
      </c>
      <c r="RI3">
        <v>0</v>
      </c>
      <c r="RJ3">
        <v>0</v>
      </c>
      <c r="RK3">
        <v>0</v>
      </c>
      <c r="RL3">
        <v>0</v>
      </c>
      <c r="RM3">
        <v>0</v>
      </c>
      <c r="RN3">
        <v>0</v>
      </c>
      <c r="RO3">
        <v>0</v>
      </c>
      <c r="RP3">
        <v>0</v>
      </c>
      <c r="RQ3">
        <v>0</v>
      </c>
      <c r="RR3">
        <v>0</v>
      </c>
      <c r="RS3">
        <v>0</v>
      </c>
      <c r="RT3">
        <v>0</v>
      </c>
      <c r="RU3">
        <v>0</v>
      </c>
      <c r="RV3">
        <v>0</v>
      </c>
      <c r="RW3">
        <v>0</v>
      </c>
      <c r="RX3">
        <v>0</v>
      </c>
      <c r="RY3">
        <v>0</v>
      </c>
      <c r="RZ3">
        <v>0</v>
      </c>
      <c r="SA3">
        <v>0</v>
      </c>
      <c r="SB3">
        <v>0</v>
      </c>
      <c r="SC3">
        <v>0</v>
      </c>
      <c r="SD3">
        <v>0</v>
      </c>
      <c r="SE3">
        <v>0</v>
      </c>
      <c r="SF3">
        <v>0</v>
      </c>
      <c r="SG3">
        <v>0</v>
      </c>
      <c r="SH3">
        <v>0</v>
      </c>
      <c r="SI3">
        <v>0</v>
      </c>
      <c r="SJ3">
        <v>0</v>
      </c>
      <c r="SK3">
        <v>0</v>
      </c>
      <c r="SL3">
        <v>0</v>
      </c>
      <c r="SM3">
        <v>0</v>
      </c>
      <c r="SN3">
        <v>0</v>
      </c>
      <c r="SO3">
        <v>0</v>
      </c>
      <c r="SP3">
        <v>0</v>
      </c>
      <c r="SQ3">
        <v>0</v>
      </c>
      <c r="SR3">
        <v>0</v>
      </c>
      <c r="SS3">
        <v>0</v>
      </c>
      <c r="ST3">
        <v>0</v>
      </c>
      <c r="SU3">
        <v>0</v>
      </c>
      <c r="SV3">
        <v>0</v>
      </c>
      <c r="SW3">
        <v>0</v>
      </c>
      <c r="SX3">
        <v>0</v>
      </c>
      <c r="SY3">
        <v>0</v>
      </c>
      <c r="SZ3">
        <v>0</v>
      </c>
      <c r="TA3">
        <v>0</v>
      </c>
      <c r="TB3">
        <v>0</v>
      </c>
      <c r="TC3">
        <v>0</v>
      </c>
      <c r="TD3">
        <v>0</v>
      </c>
      <c r="TE3">
        <v>0</v>
      </c>
      <c r="TF3">
        <v>0</v>
      </c>
      <c r="TG3">
        <v>0</v>
      </c>
      <c r="TH3">
        <v>0</v>
      </c>
      <c r="TI3">
        <v>0</v>
      </c>
      <c r="TJ3">
        <v>0</v>
      </c>
      <c r="TK3">
        <v>0</v>
      </c>
      <c r="TL3">
        <v>0</v>
      </c>
      <c r="TM3">
        <v>0</v>
      </c>
      <c r="TN3">
        <v>0</v>
      </c>
      <c r="TO3">
        <v>0</v>
      </c>
      <c r="TP3">
        <v>0</v>
      </c>
      <c r="TQ3">
        <v>0</v>
      </c>
      <c r="TR3">
        <v>0</v>
      </c>
      <c r="TS3">
        <v>0</v>
      </c>
      <c r="TT3">
        <v>0</v>
      </c>
      <c r="TU3">
        <v>0</v>
      </c>
      <c r="TV3">
        <v>0</v>
      </c>
      <c r="TW3">
        <v>0</v>
      </c>
      <c r="TX3">
        <v>0</v>
      </c>
      <c r="TY3">
        <v>0</v>
      </c>
      <c r="TZ3">
        <v>0</v>
      </c>
      <c r="UA3">
        <v>0</v>
      </c>
      <c r="UB3">
        <v>0</v>
      </c>
      <c r="UC3">
        <v>0</v>
      </c>
      <c r="UD3">
        <v>0</v>
      </c>
      <c r="UE3">
        <v>0</v>
      </c>
      <c r="UF3">
        <v>0</v>
      </c>
      <c r="UG3">
        <v>0</v>
      </c>
      <c r="UH3">
        <v>0</v>
      </c>
      <c r="UI3">
        <v>0</v>
      </c>
      <c r="UJ3">
        <v>0</v>
      </c>
      <c r="UK3">
        <v>0</v>
      </c>
      <c r="UL3">
        <v>0</v>
      </c>
      <c r="UM3">
        <v>0</v>
      </c>
      <c r="UN3">
        <v>0</v>
      </c>
      <c r="UO3">
        <v>0</v>
      </c>
      <c r="UP3">
        <v>0</v>
      </c>
      <c r="UQ3">
        <v>0</v>
      </c>
      <c r="UR3">
        <v>0</v>
      </c>
      <c r="US3">
        <v>0</v>
      </c>
      <c r="UT3">
        <v>0</v>
      </c>
      <c r="UU3">
        <v>0</v>
      </c>
      <c r="UV3">
        <v>0</v>
      </c>
      <c r="UW3">
        <v>0</v>
      </c>
      <c r="UX3">
        <v>0</v>
      </c>
      <c r="UY3">
        <v>0</v>
      </c>
      <c r="UZ3">
        <v>0</v>
      </c>
      <c r="VA3">
        <v>0</v>
      </c>
      <c r="VB3">
        <v>0</v>
      </c>
      <c r="VC3">
        <v>0</v>
      </c>
      <c r="VD3">
        <v>0</v>
      </c>
      <c r="VE3">
        <v>0</v>
      </c>
      <c r="VF3">
        <v>0</v>
      </c>
      <c r="VG3">
        <v>0</v>
      </c>
      <c r="VH3">
        <v>0</v>
      </c>
      <c r="VI3">
        <v>0</v>
      </c>
      <c r="VJ3">
        <v>0</v>
      </c>
      <c r="VK3">
        <v>0</v>
      </c>
      <c r="VL3">
        <v>0</v>
      </c>
      <c r="VM3">
        <v>0</v>
      </c>
      <c r="VN3">
        <v>0</v>
      </c>
      <c r="VO3">
        <v>0</v>
      </c>
      <c r="VP3">
        <v>0</v>
      </c>
      <c r="VQ3">
        <v>0</v>
      </c>
      <c r="VR3">
        <v>0</v>
      </c>
      <c r="VS3">
        <v>0</v>
      </c>
      <c r="VT3">
        <v>0</v>
      </c>
      <c r="VU3">
        <v>0</v>
      </c>
      <c r="VV3">
        <v>0</v>
      </c>
      <c r="VW3">
        <v>0</v>
      </c>
      <c r="VX3">
        <v>0</v>
      </c>
      <c r="VY3">
        <v>0</v>
      </c>
      <c r="VZ3">
        <v>0</v>
      </c>
      <c r="WA3">
        <v>0</v>
      </c>
      <c r="WB3">
        <v>0</v>
      </c>
      <c r="WC3">
        <v>0</v>
      </c>
      <c r="WD3">
        <v>0</v>
      </c>
      <c r="WE3">
        <v>0</v>
      </c>
      <c r="WF3">
        <v>0</v>
      </c>
      <c r="WG3">
        <v>0</v>
      </c>
      <c r="WH3">
        <v>0</v>
      </c>
      <c r="WI3">
        <v>0</v>
      </c>
      <c r="WJ3">
        <v>0</v>
      </c>
      <c r="WK3">
        <v>0</v>
      </c>
      <c r="WL3">
        <v>0</v>
      </c>
      <c r="WM3">
        <v>0</v>
      </c>
      <c r="WN3">
        <v>0</v>
      </c>
      <c r="WO3">
        <v>0</v>
      </c>
      <c r="WP3">
        <v>0</v>
      </c>
      <c r="WQ3">
        <v>0</v>
      </c>
      <c r="WR3">
        <v>0</v>
      </c>
      <c r="WS3">
        <v>0</v>
      </c>
      <c r="WT3">
        <v>0</v>
      </c>
      <c r="WU3">
        <v>0</v>
      </c>
      <c r="WV3">
        <v>0</v>
      </c>
      <c r="WW3">
        <v>0</v>
      </c>
      <c r="WX3">
        <v>0</v>
      </c>
      <c r="WY3">
        <v>0</v>
      </c>
      <c r="WZ3">
        <v>0</v>
      </c>
      <c r="XA3">
        <v>0</v>
      </c>
      <c r="XB3">
        <v>0</v>
      </c>
      <c r="XC3">
        <v>0</v>
      </c>
      <c r="XD3">
        <v>0</v>
      </c>
      <c r="XE3">
        <v>0</v>
      </c>
      <c r="XF3">
        <v>0</v>
      </c>
      <c r="XG3">
        <v>0</v>
      </c>
      <c r="XH3">
        <v>0</v>
      </c>
      <c r="XI3">
        <v>0</v>
      </c>
      <c r="XJ3">
        <v>0</v>
      </c>
      <c r="XK3">
        <v>0</v>
      </c>
      <c r="XL3">
        <v>0</v>
      </c>
      <c r="XM3">
        <v>0</v>
      </c>
      <c r="XN3">
        <v>0</v>
      </c>
      <c r="XO3">
        <v>0</v>
      </c>
      <c r="XP3">
        <v>0</v>
      </c>
      <c r="XQ3">
        <v>0</v>
      </c>
      <c r="XR3">
        <v>0</v>
      </c>
      <c r="XS3">
        <v>0</v>
      </c>
      <c r="XT3">
        <v>0</v>
      </c>
      <c r="XU3">
        <v>0</v>
      </c>
      <c r="XV3">
        <v>0</v>
      </c>
      <c r="XW3">
        <v>0</v>
      </c>
      <c r="XX3">
        <v>0</v>
      </c>
      <c r="XY3">
        <v>0</v>
      </c>
      <c r="XZ3">
        <v>0</v>
      </c>
      <c r="YA3">
        <v>0</v>
      </c>
      <c r="YB3">
        <v>0</v>
      </c>
      <c r="YC3">
        <v>0</v>
      </c>
      <c r="YD3">
        <v>0</v>
      </c>
      <c r="YE3">
        <v>0</v>
      </c>
      <c r="YF3">
        <v>0</v>
      </c>
      <c r="YG3">
        <v>0</v>
      </c>
      <c r="YH3">
        <v>0</v>
      </c>
      <c r="YI3">
        <v>0</v>
      </c>
      <c r="YJ3">
        <v>0</v>
      </c>
      <c r="YK3">
        <v>0</v>
      </c>
      <c r="YL3">
        <v>0</v>
      </c>
      <c r="YM3">
        <v>0</v>
      </c>
      <c r="YN3">
        <v>0</v>
      </c>
      <c r="YO3">
        <v>0</v>
      </c>
      <c r="YP3">
        <v>0</v>
      </c>
      <c r="YQ3">
        <v>0</v>
      </c>
      <c r="YR3">
        <v>0</v>
      </c>
      <c r="YS3">
        <v>0</v>
      </c>
      <c r="YT3">
        <v>0</v>
      </c>
      <c r="YU3">
        <v>0</v>
      </c>
      <c r="YV3">
        <v>0</v>
      </c>
      <c r="YW3">
        <v>0</v>
      </c>
      <c r="YX3">
        <v>0</v>
      </c>
      <c r="YY3">
        <v>0</v>
      </c>
      <c r="YZ3">
        <v>0</v>
      </c>
      <c r="ZA3">
        <v>0</v>
      </c>
      <c r="ZB3">
        <v>0</v>
      </c>
      <c r="ZC3">
        <v>0</v>
      </c>
      <c r="ZD3">
        <v>0</v>
      </c>
      <c r="ZE3">
        <v>0</v>
      </c>
      <c r="ZF3">
        <v>0</v>
      </c>
      <c r="ZG3">
        <v>0</v>
      </c>
      <c r="ZH3">
        <v>0</v>
      </c>
      <c r="ZI3">
        <v>0</v>
      </c>
      <c r="ZJ3">
        <v>0</v>
      </c>
      <c r="ZK3">
        <v>0</v>
      </c>
      <c r="ZL3">
        <v>0</v>
      </c>
      <c r="ZM3">
        <v>0</v>
      </c>
      <c r="ZN3">
        <v>0</v>
      </c>
      <c r="ZO3">
        <v>0</v>
      </c>
      <c r="ZP3">
        <v>0</v>
      </c>
      <c r="ZQ3">
        <v>0</v>
      </c>
      <c r="ZR3">
        <v>0</v>
      </c>
      <c r="ZS3">
        <v>0</v>
      </c>
      <c r="ZT3">
        <v>0</v>
      </c>
      <c r="ZU3">
        <v>0</v>
      </c>
      <c r="ZV3">
        <v>0</v>
      </c>
      <c r="ZW3">
        <v>0</v>
      </c>
      <c r="ZX3">
        <v>0</v>
      </c>
      <c r="ZY3">
        <v>0</v>
      </c>
      <c r="ZZ3">
        <v>0</v>
      </c>
      <c r="AAA3">
        <v>0</v>
      </c>
      <c r="AAB3">
        <v>0</v>
      </c>
      <c r="AAC3">
        <v>0</v>
      </c>
      <c r="AAD3">
        <v>0</v>
      </c>
      <c r="AAE3">
        <v>0</v>
      </c>
      <c r="AAF3">
        <v>0</v>
      </c>
      <c r="AAG3">
        <v>0</v>
      </c>
      <c r="AAH3">
        <v>0</v>
      </c>
      <c r="AAI3">
        <v>0</v>
      </c>
      <c r="AAJ3">
        <v>0</v>
      </c>
      <c r="AAK3">
        <v>0</v>
      </c>
      <c r="AAL3">
        <v>0</v>
      </c>
      <c r="AAM3">
        <v>0</v>
      </c>
      <c r="AAN3">
        <v>0</v>
      </c>
      <c r="AAO3">
        <v>0</v>
      </c>
      <c r="AAP3">
        <v>0</v>
      </c>
      <c r="AAQ3">
        <v>0</v>
      </c>
      <c r="AAR3">
        <v>0</v>
      </c>
      <c r="AAS3">
        <v>0</v>
      </c>
      <c r="AAT3">
        <v>0</v>
      </c>
      <c r="AAU3">
        <v>0</v>
      </c>
      <c r="AAV3">
        <v>0</v>
      </c>
      <c r="AAW3">
        <v>0</v>
      </c>
      <c r="AAX3">
        <v>0</v>
      </c>
      <c r="AAY3">
        <v>0</v>
      </c>
      <c r="AAZ3">
        <v>0</v>
      </c>
      <c r="ABA3">
        <v>0</v>
      </c>
      <c r="ABB3">
        <v>0</v>
      </c>
      <c r="ABC3">
        <v>0</v>
      </c>
      <c r="ABD3">
        <v>0</v>
      </c>
      <c r="ABE3">
        <v>0</v>
      </c>
      <c r="ABF3">
        <v>0</v>
      </c>
      <c r="ABG3">
        <v>0</v>
      </c>
      <c r="ABH3">
        <v>0</v>
      </c>
      <c r="ABI3">
        <v>0</v>
      </c>
      <c r="ABJ3">
        <v>0</v>
      </c>
      <c r="ABK3">
        <v>0</v>
      </c>
      <c r="ABL3">
        <v>0</v>
      </c>
      <c r="ABM3">
        <v>0</v>
      </c>
      <c r="ABN3">
        <v>0</v>
      </c>
      <c r="ABO3">
        <v>0</v>
      </c>
      <c r="ABP3">
        <v>0</v>
      </c>
      <c r="ABQ3">
        <v>0</v>
      </c>
      <c r="ABR3">
        <v>0</v>
      </c>
      <c r="ABS3">
        <v>0</v>
      </c>
      <c r="ABT3">
        <v>0</v>
      </c>
      <c r="ABU3">
        <v>0</v>
      </c>
      <c r="ABV3">
        <v>0</v>
      </c>
      <c r="ABW3">
        <v>0</v>
      </c>
      <c r="ABX3">
        <v>0</v>
      </c>
      <c r="ABY3">
        <v>0</v>
      </c>
      <c r="ABZ3">
        <v>0</v>
      </c>
      <c r="ACA3">
        <v>0</v>
      </c>
      <c r="ACB3">
        <v>0</v>
      </c>
      <c r="ACC3">
        <v>0</v>
      </c>
      <c r="ACD3">
        <v>0</v>
      </c>
      <c r="ACE3">
        <v>0</v>
      </c>
      <c r="ACF3">
        <v>0</v>
      </c>
      <c r="ACG3">
        <v>0</v>
      </c>
      <c r="ACH3">
        <v>0</v>
      </c>
      <c r="ACI3">
        <v>0</v>
      </c>
      <c r="ACJ3">
        <v>0</v>
      </c>
      <c r="ACK3">
        <v>0</v>
      </c>
      <c r="ACL3">
        <v>0</v>
      </c>
      <c r="ACM3">
        <v>0</v>
      </c>
      <c r="ACN3">
        <v>0</v>
      </c>
      <c r="ACO3">
        <v>0</v>
      </c>
      <c r="ACP3">
        <v>0</v>
      </c>
      <c r="ACQ3">
        <v>0</v>
      </c>
      <c r="ACR3">
        <v>0</v>
      </c>
      <c r="ACS3">
        <v>0</v>
      </c>
      <c r="ACT3">
        <v>0</v>
      </c>
      <c r="ACU3">
        <v>0</v>
      </c>
      <c r="ACV3">
        <v>0</v>
      </c>
      <c r="ACW3">
        <v>0</v>
      </c>
      <c r="ACX3">
        <v>0</v>
      </c>
      <c r="ACY3">
        <v>0</v>
      </c>
      <c r="ACZ3">
        <v>0</v>
      </c>
      <c r="ADA3">
        <v>0</v>
      </c>
      <c r="ADB3">
        <v>0</v>
      </c>
      <c r="ADC3">
        <v>0</v>
      </c>
      <c r="ADD3">
        <v>0</v>
      </c>
      <c r="ADE3">
        <v>0</v>
      </c>
      <c r="ADF3">
        <v>0</v>
      </c>
      <c r="ADG3">
        <v>0</v>
      </c>
      <c r="ADH3">
        <v>0</v>
      </c>
      <c r="ADI3">
        <v>0</v>
      </c>
      <c r="ADJ3">
        <v>0</v>
      </c>
      <c r="ADK3">
        <v>0</v>
      </c>
      <c r="ADL3">
        <v>0</v>
      </c>
      <c r="ADM3">
        <v>0</v>
      </c>
      <c r="ADN3">
        <v>0</v>
      </c>
      <c r="ADO3">
        <v>0</v>
      </c>
      <c r="ADP3">
        <v>0</v>
      </c>
      <c r="ADQ3">
        <v>0</v>
      </c>
      <c r="ADR3">
        <v>0</v>
      </c>
      <c r="ADS3">
        <v>0</v>
      </c>
      <c r="ADT3">
        <v>0</v>
      </c>
      <c r="ADU3">
        <v>0</v>
      </c>
      <c r="ADV3">
        <v>0</v>
      </c>
      <c r="ADW3">
        <v>0</v>
      </c>
      <c r="ADX3">
        <v>0</v>
      </c>
      <c r="ADY3">
        <v>0</v>
      </c>
      <c r="ADZ3">
        <v>0</v>
      </c>
      <c r="AEA3">
        <v>0</v>
      </c>
      <c r="AEB3">
        <v>0</v>
      </c>
      <c r="AEC3">
        <v>0</v>
      </c>
      <c r="AED3">
        <v>0</v>
      </c>
      <c r="AEE3">
        <v>0</v>
      </c>
      <c r="AEF3">
        <v>0</v>
      </c>
      <c r="AEG3">
        <v>0</v>
      </c>
      <c r="AEH3">
        <v>0</v>
      </c>
      <c r="AEI3">
        <v>0</v>
      </c>
      <c r="AEJ3">
        <v>0</v>
      </c>
      <c r="AEK3">
        <v>0</v>
      </c>
      <c r="AEL3">
        <v>0</v>
      </c>
      <c r="AEM3">
        <v>0</v>
      </c>
      <c r="AEN3">
        <v>0</v>
      </c>
      <c r="AEO3">
        <v>0</v>
      </c>
      <c r="AEP3">
        <v>0</v>
      </c>
      <c r="AEQ3">
        <v>0</v>
      </c>
      <c r="AER3">
        <v>0</v>
      </c>
      <c r="AES3">
        <v>0</v>
      </c>
      <c r="AET3">
        <v>0</v>
      </c>
      <c r="AEU3">
        <v>0</v>
      </c>
      <c r="AEV3">
        <v>0</v>
      </c>
      <c r="AEW3">
        <v>0</v>
      </c>
      <c r="AEX3">
        <v>0</v>
      </c>
      <c r="AEY3">
        <v>0</v>
      </c>
      <c r="AEZ3">
        <v>0</v>
      </c>
      <c r="AFA3">
        <v>0</v>
      </c>
      <c r="AFB3">
        <v>0</v>
      </c>
      <c r="AFC3">
        <v>0</v>
      </c>
      <c r="AFD3">
        <v>0</v>
      </c>
      <c r="AFE3">
        <v>0</v>
      </c>
      <c r="AFF3">
        <v>0</v>
      </c>
      <c r="AFG3">
        <v>0</v>
      </c>
      <c r="AFH3">
        <v>0</v>
      </c>
      <c r="AFI3">
        <v>0</v>
      </c>
      <c r="AFJ3">
        <v>0</v>
      </c>
      <c r="AFK3">
        <v>0</v>
      </c>
      <c r="AFL3">
        <v>0</v>
      </c>
      <c r="AFM3">
        <v>0</v>
      </c>
      <c r="AFN3">
        <v>0</v>
      </c>
      <c r="AFO3">
        <v>0</v>
      </c>
      <c r="AFP3">
        <v>0</v>
      </c>
      <c r="AFQ3">
        <v>0</v>
      </c>
      <c r="AFR3">
        <v>0</v>
      </c>
      <c r="AFS3">
        <v>0</v>
      </c>
      <c r="AFT3">
        <v>0</v>
      </c>
      <c r="AFU3">
        <v>0</v>
      </c>
      <c r="AFV3">
        <v>0</v>
      </c>
      <c r="AFW3">
        <v>0</v>
      </c>
      <c r="AFX3">
        <v>0</v>
      </c>
      <c r="AFY3">
        <v>0</v>
      </c>
      <c r="AFZ3">
        <v>0</v>
      </c>
      <c r="AGA3">
        <v>0</v>
      </c>
      <c r="AGB3">
        <v>0</v>
      </c>
      <c r="AGC3">
        <v>0</v>
      </c>
      <c r="AGD3">
        <v>0</v>
      </c>
      <c r="AGE3">
        <v>0</v>
      </c>
      <c r="AGF3">
        <v>0</v>
      </c>
      <c r="AGG3">
        <v>0</v>
      </c>
      <c r="AGH3">
        <v>0</v>
      </c>
      <c r="AGI3">
        <v>0</v>
      </c>
      <c r="AGJ3">
        <v>0</v>
      </c>
      <c r="AGK3">
        <v>0</v>
      </c>
      <c r="AGL3">
        <v>0</v>
      </c>
      <c r="AGM3">
        <v>0</v>
      </c>
      <c r="AGN3">
        <v>0</v>
      </c>
      <c r="AGO3">
        <v>0</v>
      </c>
      <c r="AGP3">
        <v>0</v>
      </c>
      <c r="AGQ3">
        <v>0</v>
      </c>
      <c r="AGR3">
        <v>0</v>
      </c>
      <c r="AGS3">
        <v>0</v>
      </c>
      <c r="AGT3">
        <v>0</v>
      </c>
      <c r="AGU3">
        <v>0</v>
      </c>
      <c r="AGV3">
        <v>0</v>
      </c>
      <c r="AGW3">
        <v>0</v>
      </c>
      <c r="AGX3">
        <v>0</v>
      </c>
      <c r="AGY3">
        <v>0</v>
      </c>
      <c r="AGZ3">
        <v>0</v>
      </c>
      <c r="AHA3">
        <v>0</v>
      </c>
      <c r="AHB3">
        <v>0</v>
      </c>
      <c r="AHC3">
        <v>0</v>
      </c>
      <c r="AHD3">
        <v>0</v>
      </c>
      <c r="AHE3">
        <v>0</v>
      </c>
      <c r="AHF3">
        <v>0</v>
      </c>
      <c r="AHG3">
        <v>0</v>
      </c>
      <c r="AHH3">
        <v>0</v>
      </c>
      <c r="AHI3">
        <v>0</v>
      </c>
      <c r="AHJ3">
        <v>0</v>
      </c>
      <c r="AHK3">
        <v>0</v>
      </c>
      <c r="AHL3">
        <v>0</v>
      </c>
      <c r="AHM3">
        <v>0</v>
      </c>
      <c r="AHN3">
        <v>0</v>
      </c>
      <c r="AHO3">
        <v>0</v>
      </c>
      <c r="AHP3">
        <v>0</v>
      </c>
      <c r="AHQ3">
        <v>0</v>
      </c>
      <c r="AHR3">
        <v>0</v>
      </c>
      <c r="AHS3">
        <v>0</v>
      </c>
      <c r="AHT3">
        <v>0</v>
      </c>
      <c r="AHU3">
        <v>0</v>
      </c>
      <c r="AHV3">
        <v>0</v>
      </c>
      <c r="AHW3">
        <v>0</v>
      </c>
      <c r="AHX3">
        <v>0</v>
      </c>
      <c r="AHY3">
        <v>0</v>
      </c>
      <c r="AHZ3">
        <v>0</v>
      </c>
      <c r="AIA3">
        <v>0</v>
      </c>
      <c r="AIB3">
        <v>0</v>
      </c>
      <c r="AIC3">
        <v>0</v>
      </c>
      <c r="AID3">
        <v>0</v>
      </c>
      <c r="AIE3">
        <v>0</v>
      </c>
      <c r="AIF3">
        <v>0</v>
      </c>
      <c r="AIG3">
        <v>0</v>
      </c>
      <c r="AIH3">
        <v>0</v>
      </c>
      <c r="AII3">
        <v>0</v>
      </c>
      <c r="AIJ3">
        <v>0</v>
      </c>
      <c r="AIK3">
        <v>0</v>
      </c>
      <c r="AIL3">
        <v>0</v>
      </c>
      <c r="AIM3">
        <v>0</v>
      </c>
      <c r="AIN3">
        <v>0</v>
      </c>
      <c r="AIO3">
        <v>0</v>
      </c>
      <c r="AIP3">
        <v>0</v>
      </c>
      <c r="AIQ3">
        <v>0</v>
      </c>
      <c r="AIR3">
        <v>0</v>
      </c>
      <c r="AIS3">
        <v>0</v>
      </c>
      <c r="AIT3">
        <v>0</v>
      </c>
      <c r="AIU3">
        <v>0</v>
      </c>
      <c r="AIV3">
        <v>0</v>
      </c>
      <c r="AIW3">
        <v>0</v>
      </c>
      <c r="AIX3">
        <v>0</v>
      </c>
      <c r="AIY3">
        <v>0</v>
      </c>
      <c r="AIZ3">
        <v>0</v>
      </c>
      <c r="AJA3">
        <v>0</v>
      </c>
      <c r="AJB3">
        <v>0</v>
      </c>
      <c r="AJC3">
        <v>0</v>
      </c>
      <c r="AJD3">
        <v>0</v>
      </c>
      <c r="AJE3">
        <v>0</v>
      </c>
      <c r="AJF3">
        <v>0</v>
      </c>
      <c r="AJG3">
        <v>0</v>
      </c>
      <c r="AJH3">
        <v>0</v>
      </c>
      <c r="AJI3">
        <v>0</v>
      </c>
      <c r="AJJ3">
        <v>0</v>
      </c>
      <c r="AJK3">
        <v>0</v>
      </c>
      <c r="AJL3">
        <v>0</v>
      </c>
      <c r="AJM3">
        <v>0</v>
      </c>
      <c r="AJN3">
        <v>0</v>
      </c>
      <c r="AJO3">
        <v>0</v>
      </c>
      <c r="AJP3">
        <v>0</v>
      </c>
      <c r="AJQ3">
        <v>0</v>
      </c>
      <c r="AJR3">
        <v>0</v>
      </c>
      <c r="AJS3">
        <v>0</v>
      </c>
      <c r="AJT3">
        <v>0</v>
      </c>
      <c r="AJU3">
        <v>0</v>
      </c>
      <c r="AJV3">
        <v>0</v>
      </c>
      <c r="AJW3">
        <v>0</v>
      </c>
      <c r="AJX3">
        <v>0</v>
      </c>
      <c r="AJY3">
        <v>0</v>
      </c>
      <c r="AJZ3">
        <v>0</v>
      </c>
      <c r="AKA3">
        <v>1</v>
      </c>
      <c r="AKB3">
        <v>1</v>
      </c>
      <c r="AKC3">
        <v>1</v>
      </c>
      <c r="AKD3">
        <v>1</v>
      </c>
      <c r="AKE3">
        <v>1</v>
      </c>
      <c r="AKF3">
        <v>1</v>
      </c>
      <c r="AKG3">
        <v>1</v>
      </c>
      <c r="AKH3">
        <v>1</v>
      </c>
      <c r="AKI3">
        <v>1</v>
      </c>
      <c r="AKJ3">
        <v>0</v>
      </c>
      <c r="AKK3">
        <v>0</v>
      </c>
      <c r="AKL3">
        <v>0</v>
      </c>
      <c r="AKM3">
        <v>0</v>
      </c>
      <c r="AKN3">
        <v>0</v>
      </c>
      <c r="AKO3">
        <v>0</v>
      </c>
      <c r="AKP3">
        <v>0</v>
      </c>
      <c r="AKQ3">
        <v>0</v>
      </c>
      <c r="AKR3">
        <v>0</v>
      </c>
      <c r="AKS3">
        <v>0</v>
      </c>
      <c r="AKT3">
        <v>0</v>
      </c>
      <c r="AKU3">
        <v>0</v>
      </c>
      <c r="AKV3">
        <v>0</v>
      </c>
      <c r="AKW3">
        <v>0</v>
      </c>
    </row>
    <row r="4" spans="1:985" ht="14.4" customHeight="1" x14ac:dyDescent="0.55000000000000004">
      <c r="A4" t="s">
        <v>611</v>
      </c>
      <c r="B4" t="s">
        <v>618</v>
      </c>
      <c r="C4" s="1" t="s">
        <v>613</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1</v>
      </c>
      <c r="BD4">
        <v>1</v>
      </c>
      <c r="BE4">
        <v>1</v>
      </c>
      <c r="BF4">
        <v>1</v>
      </c>
      <c r="BG4">
        <v>1</v>
      </c>
      <c r="BH4">
        <v>1</v>
      </c>
      <c r="BI4">
        <v>1</v>
      </c>
      <c r="BJ4">
        <v>1</v>
      </c>
      <c r="BK4">
        <v>1</v>
      </c>
      <c r="BL4">
        <v>1</v>
      </c>
      <c r="BM4">
        <v>1</v>
      </c>
      <c r="BN4">
        <v>1</v>
      </c>
      <c r="BO4">
        <v>1</v>
      </c>
      <c r="BP4">
        <v>1</v>
      </c>
      <c r="BQ4">
        <v>1</v>
      </c>
      <c r="BR4">
        <v>1</v>
      </c>
      <c r="BS4">
        <v>1</v>
      </c>
      <c r="BT4">
        <v>1</v>
      </c>
      <c r="BU4">
        <v>1</v>
      </c>
      <c r="BV4">
        <v>1</v>
      </c>
      <c r="BW4">
        <v>1</v>
      </c>
      <c r="BX4">
        <v>1</v>
      </c>
      <c r="BY4">
        <v>1</v>
      </c>
      <c r="BZ4">
        <v>1</v>
      </c>
      <c r="CA4">
        <v>1</v>
      </c>
      <c r="CB4">
        <v>1</v>
      </c>
      <c r="CC4">
        <v>1</v>
      </c>
      <c r="CD4">
        <v>1</v>
      </c>
      <c r="CE4">
        <v>1</v>
      </c>
      <c r="CF4">
        <v>1</v>
      </c>
      <c r="CG4">
        <v>1</v>
      </c>
      <c r="CH4">
        <v>1</v>
      </c>
      <c r="CI4">
        <v>1</v>
      </c>
      <c r="CJ4">
        <v>1</v>
      </c>
      <c r="CK4">
        <v>1</v>
      </c>
      <c r="CL4">
        <v>1</v>
      </c>
      <c r="CM4">
        <v>1</v>
      </c>
      <c r="CN4">
        <v>1</v>
      </c>
      <c r="CO4">
        <v>1</v>
      </c>
      <c r="CP4">
        <v>1</v>
      </c>
      <c r="CQ4">
        <v>1</v>
      </c>
      <c r="CR4">
        <v>1</v>
      </c>
      <c r="CS4">
        <v>1</v>
      </c>
      <c r="CT4">
        <v>1</v>
      </c>
      <c r="CU4">
        <v>1</v>
      </c>
      <c r="CV4">
        <v>1</v>
      </c>
      <c r="CW4">
        <v>1</v>
      </c>
      <c r="CX4">
        <v>1</v>
      </c>
      <c r="CY4">
        <v>1</v>
      </c>
      <c r="CZ4">
        <v>1</v>
      </c>
      <c r="DA4">
        <v>1</v>
      </c>
      <c r="DB4">
        <v>1</v>
      </c>
      <c r="DC4">
        <v>1</v>
      </c>
      <c r="DD4">
        <v>1</v>
      </c>
      <c r="DE4">
        <v>1</v>
      </c>
      <c r="DF4">
        <v>1</v>
      </c>
      <c r="DG4">
        <v>1</v>
      </c>
      <c r="DH4">
        <v>1</v>
      </c>
      <c r="DI4">
        <v>1</v>
      </c>
      <c r="DJ4">
        <v>1</v>
      </c>
      <c r="DK4">
        <v>1</v>
      </c>
      <c r="DL4">
        <v>1</v>
      </c>
      <c r="DM4">
        <v>1</v>
      </c>
      <c r="DN4">
        <v>1</v>
      </c>
      <c r="DO4">
        <v>1</v>
      </c>
      <c r="DP4">
        <v>1</v>
      </c>
      <c r="DQ4">
        <v>1</v>
      </c>
      <c r="DR4">
        <v>1</v>
      </c>
      <c r="DS4">
        <v>1</v>
      </c>
      <c r="DT4">
        <v>1</v>
      </c>
      <c r="DU4">
        <v>1</v>
      </c>
      <c r="DV4">
        <v>1</v>
      </c>
      <c r="DW4">
        <v>1</v>
      </c>
      <c r="DX4">
        <v>1</v>
      </c>
      <c r="DY4">
        <v>1</v>
      </c>
      <c r="DZ4">
        <v>1</v>
      </c>
      <c r="EA4">
        <v>1</v>
      </c>
      <c r="EB4">
        <v>1</v>
      </c>
      <c r="EC4">
        <v>1</v>
      </c>
      <c r="ED4">
        <v>1</v>
      </c>
      <c r="EE4">
        <v>1</v>
      </c>
      <c r="EF4">
        <v>1</v>
      </c>
      <c r="EG4">
        <v>1</v>
      </c>
      <c r="EH4">
        <v>1</v>
      </c>
      <c r="EI4">
        <v>1</v>
      </c>
      <c r="EJ4">
        <v>1</v>
      </c>
      <c r="EK4">
        <v>1</v>
      </c>
      <c r="EL4">
        <v>1</v>
      </c>
      <c r="EM4">
        <v>1</v>
      </c>
      <c r="EN4">
        <v>1</v>
      </c>
      <c r="EO4">
        <v>1</v>
      </c>
      <c r="EP4">
        <v>1</v>
      </c>
      <c r="EQ4">
        <v>1</v>
      </c>
      <c r="ER4">
        <v>1</v>
      </c>
      <c r="ES4">
        <v>1</v>
      </c>
      <c r="ET4">
        <v>1</v>
      </c>
      <c r="EU4">
        <v>1</v>
      </c>
      <c r="EV4">
        <v>1</v>
      </c>
      <c r="EW4">
        <v>1</v>
      </c>
      <c r="EX4">
        <v>1</v>
      </c>
      <c r="EY4">
        <v>1</v>
      </c>
      <c r="EZ4">
        <v>1</v>
      </c>
      <c r="FA4">
        <v>1</v>
      </c>
      <c r="FB4">
        <v>1</v>
      </c>
      <c r="FC4">
        <v>1</v>
      </c>
      <c r="FD4">
        <v>1</v>
      </c>
      <c r="FE4">
        <v>1</v>
      </c>
      <c r="FF4">
        <v>1</v>
      </c>
      <c r="FG4">
        <v>1</v>
      </c>
      <c r="FH4">
        <v>1</v>
      </c>
      <c r="FI4">
        <v>1</v>
      </c>
      <c r="FJ4">
        <v>1</v>
      </c>
      <c r="FK4">
        <v>1</v>
      </c>
      <c r="FL4">
        <v>1</v>
      </c>
      <c r="FM4">
        <v>1</v>
      </c>
      <c r="FN4">
        <v>1</v>
      </c>
      <c r="FO4">
        <v>1</v>
      </c>
      <c r="FP4">
        <v>1</v>
      </c>
      <c r="FQ4">
        <v>1</v>
      </c>
      <c r="FR4">
        <v>1</v>
      </c>
      <c r="FS4">
        <v>1</v>
      </c>
      <c r="FT4">
        <v>1</v>
      </c>
      <c r="FU4">
        <v>1</v>
      </c>
      <c r="FV4">
        <v>1</v>
      </c>
      <c r="FW4">
        <v>1</v>
      </c>
      <c r="FX4">
        <v>1</v>
      </c>
      <c r="FY4">
        <v>1</v>
      </c>
      <c r="FZ4">
        <v>1</v>
      </c>
      <c r="GA4">
        <v>1</v>
      </c>
      <c r="GB4">
        <v>1</v>
      </c>
      <c r="GC4">
        <v>1</v>
      </c>
      <c r="GD4">
        <v>1</v>
      </c>
      <c r="GE4">
        <v>1</v>
      </c>
      <c r="GF4">
        <v>1</v>
      </c>
      <c r="GG4">
        <v>1</v>
      </c>
      <c r="GH4">
        <v>1</v>
      </c>
      <c r="GI4">
        <v>1</v>
      </c>
      <c r="GJ4">
        <v>1</v>
      </c>
      <c r="GK4">
        <v>1</v>
      </c>
      <c r="GL4">
        <v>1</v>
      </c>
      <c r="GM4">
        <v>1</v>
      </c>
      <c r="GN4">
        <v>1</v>
      </c>
      <c r="GO4">
        <v>1</v>
      </c>
      <c r="GP4">
        <v>1</v>
      </c>
      <c r="GQ4">
        <v>1</v>
      </c>
      <c r="GR4">
        <v>1</v>
      </c>
      <c r="GS4">
        <v>1</v>
      </c>
      <c r="GT4">
        <v>1</v>
      </c>
      <c r="GU4">
        <v>1</v>
      </c>
      <c r="GV4">
        <v>1</v>
      </c>
      <c r="GW4">
        <v>1</v>
      </c>
      <c r="GX4">
        <v>1</v>
      </c>
      <c r="GY4">
        <v>1</v>
      </c>
      <c r="GZ4">
        <v>1</v>
      </c>
      <c r="HA4">
        <v>1</v>
      </c>
      <c r="HB4">
        <v>1</v>
      </c>
      <c r="HC4">
        <v>1</v>
      </c>
      <c r="HD4">
        <v>1</v>
      </c>
      <c r="HE4">
        <v>1</v>
      </c>
      <c r="HF4">
        <v>1</v>
      </c>
      <c r="HG4">
        <v>1</v>
      </c>
      <c r="HH4">
        <v>1</v>
      </c>
      <c r="HI4">
        <v>1</v>
      </c>
      <c r="HJ4">
        <v>1</v>
      </c>
      <c r="HK4">
        <v>1</v>
      </c>
      <c r="HL4">
        <v>1</v>
      </c>
      <c r="HM4">
        <v>1</v>
      </c>
      <c r="HN4">
        <v>1</v>
      </c>
      <c r="HO4">
        <v>1</v>
      </c>
      <c r="HP4">
        <v>1</v>
      </c>
      <c r="HQ4">
        <v>1</v>
      </c>
      <c r="HR4">
        <v>1</v>
      </c>
      <c r="HS4">
        <v>1</v>
      </c>
      <c r="HT4">
        <v>1</v>
      </c>
      <c r="HU4">
        <v>1</v>
      </c>
      <c r="HV4">
        <v>1</v>
      </c>
      <c r="HW4">
        <v>1</v>
      </c>
      <c r="HX4">
        <v>1</v>
      </c>
      <c r="HY4">
        <v>1</v>
      </c>
      <c r="HZ4">
        <v>1</v>
      </c>
      <c r="IA4">
        <v>1</v>
      </c>
      <c r="IB4">
        <v>1</v>
      </c>
      <c r="IC4">
        <v>1</v>
      </c>
      <c r="ID4">
        <v>1</v>
      </c>
      <c r="IE4">
        <v>1</v>
      </c>
      <c r="IF4">
        <v>1</v>
      </c>
      <c r="IG4">
        <v>1</v>
      </c>
      <c r="IH4">
        <v>1</v>
      </c>
      <c r="II4">
        <v>1</v>
      </c>
      <c r="IJ4">
        <v>1</v>
      </c>
      <c r="IK4">
        <v>1</v>
      </c>
      <c r="IL4">
        <v>1</v>
      </c>
      <c r="IM4">
        <v>1</v>
      </c>
      <c r="IN4">
        <v>1</v>
      </c>
      <c r="IO4">
        <v>1</v>
      </c>
      <c r="IP4">
        <v>1</v>
      </c>
      <c r="IQ4">
        <v>1</v>
      </c>
      <c r="IR4">
        <v>1</v>
      </c>
      <c r="IS4">
        <v>1</v>
      </c>
      <c r="IT4">
        <v>1</v>
      </c>
      <c r="IU4">
        <v>1</v>
      </c>
      <c r="IV4">
        <v>1</v>
      </c>
      <c r="IW4">
        <v>1</v>
      </c>
      <c r="IX4">
        <v>1</v>
      </c>
      <c r="IY4">
        <v>1</v>
      </c>
      <c r="IZ4">
        <v>1</v>
      </c>
      <c r="JA4">
        <v>1</v>
      </c>
      <c r="JB4">
        <v>1</v>
      </c>
      <c r="JC4">
        <v>1</v>
      </c>
      <c r="JD4">
        <v>1</v>
      </c>
      <c r="JE4">
        <v>1</v>
      </c>
      <c r="JF4">
        <v>1</v>
      </c>
      <c r="JG4">
        <v>1</v>
      </c>
      <c r="JH4">
        <v>1</v>
      </c>
      <c r="JI4">
        <v>1</v>
      </c>
      <c r="JJ4">
        <v>1</v>
      </c>
      <c r="JK4">
        <v>1</v>
      </c>
      <c r="JL4">
        <v>1</v>
      </c>
      <c r="JM4">
        <v>1</v>
      </c>
      <c r="JN4">
        <v>1</v>
      </c>
      <c r="JO4">
        <v>1</v>
      </c>
      <c r="JP4">
        <v>1</v>
      </c>
      <c r="JQ4">
        <v>1</v>
      </c>
      <c r="JR4">
        <v>1</v>
      </c>
      <c r="JS4">
        <v>1</v>
      </c>
      <c r="JT4">
        <v>1</v>
      </c>
      <c r="JU4">
        <v>1</v>
      </c>
      <c r="JV4">
        <v>1</v>
      </c>
      <c r="JW4">
        <v>1</v>
      </c>
      <c r="JX4">
        <v>1</v>
      </c>
      <c r="JY4">
        <v>1</v>
      </c>
      <c r="JZ4">
        <v>1</v>
      </c>
      <c r="KA4">
        <v>1</v>
      </c>
      <c r="KB4">
        <v>1</v>
      </c>
      <c r="KC4">
        <v>1</v>
      </c>
      <c r="KD4">
        <v>1</v>
      </c>
      <c r="KE4">
        <v>1</v>
      </c>
      <c r="KF4">
        <v>1</v>
      </c>
      <c r="KG4">
        <v>1</v>
      </c>
      <c r="KH4">
        <v>1</v>
      </c>
      <c r="KI4">
        <v>1</v>
      </c>
      <c r="KJ4">
        <v>1</v>
      </c>
      <c r="KK4">
        <v>1</v>
      </c>
      <c r="KL4">
        <v>1</v>
      </c>
      <c r="KM4">
        <v>1</v>
      </c>
      <c r="KN4">
        <v>1</v>
      </c>
      <c r="KO4">
        <v>1</v>
      </c>
      <c r="KP4">
        <v>1</v>
      </c>
      <c r="KQ4">
        <v>1</v>
      </c>
      <c r="KR4">
        <v>1</v>
      </c>
      <c r="KS4">
        <v>1</v>
      </c>
      <c r="KT4">
        <v>1</v>
      </c>
      <c r="KU4">
        <v>1</v>
      </c>
      <c r="KV4">
        <v>1</v>
      </c>
      <c r="KW4">
        <v>1</v>
      </c>
      <c r="KX4">
        <v>1</v>
      </c>
      <c r="KY4">
        <v>1</v>
      </c>
      <c r="KZ4">
        <v>1</v>
      </c>
      <c r="LA4">
        <v>1</v>
      </c>
      <c r="LB4">
        <v>1</v>
      </c>
      <c r="LC4">
        <v>1</v>
      </c>
      <c r="LD4">
        <v>1</v>
      </c>
      <c r="LE4">
        <v>1</v>
      </c>
      <c r="LF4">
        <v>1</v>
      </c>
      <c r="LG4">
        <v>1</v>
      </c>
      <c r="LH4">
        <v>1</v>
      </c>
      <c r="LI4">
        <v>1</v>
      </c>
      <c r="LJ4">
        <v>1</v>
      </c>
      <c r="LK4">
        <v>1</v>
      </c>
      <c r="LL4">
        <v>1</v>
      </c>
      <c r="LM4">
        <v>1</v>
      </c>
      <c r="LN4">
        <v>1</v>
      </c>
      <c r="LO4">
        <v>1</v>
      </c>
      <c r="LP4">
        <v>1</v>
      </c>
      <c r="LQ4">
        <v>1</v>
      </c>
      <c r="LR4">
        <v>1</v>
      </c>
      <c r="LS4">
        <v>1</v>
      </c>
      <c r="LT4">
        <v>1</v>
      </c>
      <c r="LU4">
        <v>1</v>
      </c>
      <c r="LV4">
        <v>1</v>
      </c>
      <c r="LW4">
        <v>1</v>
      </c>
      <c r="LX4">
        <v>1</v>
      </c>
      <c r="LY4">
        <v>1</v>
      </c>
      <c r="LZ4">
        <v>1</v>
      </c>
      <c r="MA4">
        <v>1</v>
      </c>
      <c r="MB4">
        <v>1</v>
      </c>
      <c r="MC4">
        <v>1</v>
      </c>
      <c r="MD4">
        <v>1</v>
      </c>
      <c r="ME4">
        <v>1</v>
      </c>
      <c r="MF4">
        <v>1</v>
      </c>
      <c r="MG4">
        <v>1</v>
      </c>
      <c r="MH4">
        <v>1</v>
      </c>
      <c r="MI4">
        <v>1</v>
      </c>
      <c r="MJ4">
        <v>1</v>
      </c>
      <c r="MK4">
        <v>1</v>
      </c>
      <c r="ML4">
        <v>1</v>
      </c>
      <c r="MM4">
        <v>1</v>
      </c>
      <c r="MN4">
        <v>1</v>
      </c>
      <c r="MO4">
        <v>1</v>
      </c>
      <c r="MP4">
        <v>1</v>
      </c>
      <c r="MQ4">
        <v>1</v>
      </c>
      <c r="MR4">
        <v>1</v>
      </c>
      <c r="MS4">
        <v>1</v>
      </c>
      <c r="MT4">
        <v>1</v>
      </c>
      <c r="MU4">
        <v>1</v>
      </c>
      <c r="MV4">
        <v>1</v>
      </c>
      <c r="MW4">
        <v>1</v>
      </c>
      <c r="MX4">
        <v>1</v>
      </c>
      <c r="MY4">
        <v>1</v>
      </c>
      <c r="MZ4">
        <v>1</v>
      </c>
      <c r="NA4">
        <v>1</v>
      </c>
      <c r="NB4">
        <v>1</v>
      </c>
      <c r="NC4">
        <v>1</v>
      </c>
      <c r="ND4">
        <v>1</v>
      </c>
      <c r="NE4">
        <v>1</v>
      </c>
      <c r="NF4">
        <v>1</v>
      </c>
      <c r="NG4">
        <v>1</v>
      </c>
      <c r="NH4">
        <v>1</v>
      </c>
      <c r="NI4">
        <v>1</v>
      </c>
      <c r="NJ4">
        <v>1</v>
      </c>
      <c r="NK4">
        <v>1</v>
      </c>
      <c r="NL4">
        <v>1</v>
      </c>
      <c r="NM4">
        <v>1</v>
      </c>
      <c r="NN4">
        <v>1</v>
      </c>
      <c r="NO4">
        <v>1</v>
      </c>
      <c r="NP4">
        <v>1</v>
      </c>
      <c r="NQ4">
        <v>1</v>
      </c>
      <c r="NR4">
        <v>1</v>
      </c>
      <c r="NS4">
        <v>1</v>
      </c>
      <c r="NT4">
        <v>1</v>
      </c>
      <c r="NU4">
        <v>1</v>
      </c>
      <c r="NV4">
        <v>1</v>
      </c>
      <c r="NW4">
        <v>1</v>
      </c>
      <c r="NX4">
        <v>1</v>
      </c>
      <c r="NY4">
        <v>1</v>
      </c>
      <c r="NZ4">
        <v>1</v>
      </c>
      <c r="OA4">
        <v>1</v>
      </c>
      <c r="OB4">
        <v>1</v>
      </c>
      <c r="OC4">
        <v>1</v>
      </c>
      <c r="OD4">
        <v>1</v>
      </c>
      <c r="OE4">
        <v>1</v>
      </c>
      <c r="OF4">
        <v>1</v>
      </c>
      <c r="OG4">
        <v>1</v>
      </c>
      <c r="OH4">
        <v>1</v>
      </c>
      <c r="OI4">
        <v>1</v>
      </c>
      <c r="OJ4">
        <v>1</v>
      </c>
      <c r="OK4">
        <v>1</v>
      </c>
      <c r="OL4">
        <v>1</v>
      </c>
      <c r="OM4">
        <v>1</v>
      </c>
      <c r="ON4">
        <v>1</v>
      </c>
      <c r="OO4">
        <v>1</v>
      </c>
      <c r="OP4">
        <v>1</v>
      </c>
      <c r="OQ4">
        <v>1</v>
      </c>
      <c r="OR4">
        <v>1</v>
      </c>
      <c r="OS4">
        <v>1</v>
      </c>
      <c r="OT4">
        <v>1</v>
      </c>
      <c r="OU4">
        <v>1</v>
      </c>
      <c r="OV4">
        <v>1</v>
      </c>
      <c r="OW4">
        <v>1</v>
      </c>
      <c r="OX4">
        <v>1</v>
      </c>
      <c r="OY4">
        <v>1</v>
      </c>
      <c r="OZ4">
        <v>1</v>
      </c>
      <c r="PA4">
        <v>1</v>
      </c>
      <c r="PB4">
        <v>1</v>
      </c>
      <c r="PC4">
        <v>1</v>
      </c>
      <c r="PD4">
        <v>1</v>
      </c>
      <c r="PE4">
        <v>1</v>
      </c>
      <c r="PF4">
        <v>1</v>
      </c>
      <c r="PG4">
        <v>1</v>
      </c>
      <c r="PH4">
        <v>1</v>
      </c>
      <c r="PI4">
        <v>1</v>
      </c>
      <c r="PJ4">
        <v>1</v>
      </c>
      <c r="PK4">
        <v>1</v>
      </c>
      <c r="PL4">
        <v>1</v>
      </c>
      <c r="PM4">
        <v>1</v>
      </c>
      <c r="PN4">
        <v>1</v>
      </c>
      <c r="PO4">
        <v>1</v>
      </c>
      <c r="PP4">
        <v>1</v>
      </c>
      <c r="PQ4">
        <v>1</v>
      </c>
      <c r="PR4">
        <v>1</v>
      </c>
      <c r="PS4">
        <v>1</v>
      </c>
      <c r="PT4">
        <v>1</v>
      </c>
      <c r="PU4">
        <v>1</v>
      </c>
      <c r="PV4">
        <v>1</v>
      </c>
      <c r="PW4">
        <v>1</v>
      </c>
      <c r="PX4">
        <v>1</v>
      </c>
      <c r="PY4">
        <v>1</v>
      </c>
      <c r="PZ4">
        <v>1</v>
      </c>
      <c r="QA4">
        <v>1</v>
      </c>
      <c r="QB4">
        <v>1</v>
      </c>
      <c r="QC4">
        <v>1</v>
      </c>
      <c r="QD4">
        <v>1</v>
      </c>
      <c r="QE4">
        <v>1</v>
      </c>
      <c r="QF4">
        <v>1</v>
      </c>
      <c r="QG4">
        <v>1</v>
      </c>
      <c r="QH4">
        <v>1</v>
      </c>
      <c r="QI4">
        <v>1</v>
      </c>
      <c r="QJ4">
        <v>1</v>
      </c>
      <c r="QK4">
        <v>1</v>
      </c>
      <c r="QL4">
        <v>1</v>
      </c>
      <c r="QM4">
        <v>1</v>
      </c>
      <c r="QN4">
        <v>1</v>
      </c>
      <c r="QO4">
        <v>1</v>
      </c>
      <c r="QP4">
        <v>1</v>
      </c>
      <c r="QQ4">
        <v>1</v>
      </c>
      <c r="QR4">
        <v>1</v>
      </c>
      <c r="QS4">
        <v>1</v>
      </c>
      <c r="QT4">
        <v>1</v>
      </c>
      <c r="QU4">
        <v>1</v>
      </c>
      <c r="QV4">
        <v>1</v>
      </c>
      <c r="QW4">
        <v>1</v>
      </c>
      <c r="QX4">
        <v>1</v>
      </c>
      <c r="QY4">
        <v>1</v>
      </c>
      <c r="QZ4">
        <v>1</v>
      </c>
      <c r="RA4">
        <v>1</v>
      </c>
      <c r="RB4">
        <v>1</v>
      </c>
      <c r="RC4">
        <v>1</v>
      </c>
      <c r="RD4">
        <v>1</v>
      </c>
      <c r="RE4">
        <v>1</v>
      </c>
      <c r="RF4">
        <v>1</v>
      </c>
      <c r="RG4">
        <v>1</v>
      </c>
      <c r="RH4">
        <v>1</v>
      </c>
      <c r="RI4">
        <v>1</v>
      </c>
      <c r="RJ4">
        <v>1</v>
      </c>
      <c r="RK4">
        <v>1</v>
      </c>
      <c r="RL4">
        <v>1</v>
      </c>
      <c r="RM4">
        <v>1</v>
      </c>
      <c r="RN4">
        <v>1</v>
      </c>
      <c r="RO4">
        <v>1</v>
      </c>
      <c r="RP4">
        <v>1</v>
      </c>
      <c r="RQ4">
        <v>1</v>
      </c>
      <c r="RR4">
        <v>1</v>
      </c>
      <c r="RS4">
        <v>1</v>
      </c>
      <c r="RT4">
        <v>1</v>
      </c>
      <c r="RU4">
        <v>1</v>
      </c>
      <c r="RV4">
        <v>1</v>
      </c>
      <c r="RW4">
        <v>1</v>
      </c>
      <c r="RX4">
        <v>1</v>
      </c>
      <c r="RY4">
        <v>1</v>
      </c>
      <c r="RZ4">
        <v>1</v>
      </c>
      <c r="SA4">
        <v>1</v>
      </c>
      <c r="SB4">
        <v>1</v>
      </c>
      <c r="SC4">
        <v>1</v>
      </c>
      <c r="SD4">
        <v>1</v>
      </c>
      <c r="SE4">
        <v>1</v>
      </c>
      <c r="SF4">
        <v>1</v>
      </c>
      <c r="SG4">
        <v>1</v>
      </c>
      <c r="SH4">
        <v>1</v>
      </c>
      <c r="SI4">
        <v>1</v>
      </c>
      <c r="SJ4">
        <v>1</v>
      </c>
      <c r="SK4">
        <v>1</v>
      </c>
      <c r="SL4">
        <v>1</v>
      </c>
      <c r="SM4">
        <v>1</v>
      </c>
      <c r="SN4">
        <v>1</v>
      </c>
      <c r="SO4">
        <v>1</v>
      </c>
      <c r="SP4">
        <v>1</v>
      </c>
      <c r="SQ4">
        <v>1</v>
      </c>
      <c r="SR4">
        <v>1</v>
      </c>
      <c r="SS4">
        <v>1</v>
      </c>
      <c r="ST4">
        <v>1</v>
      </c>
      <c r="SU4">
        <v>1</v>
      </c>
      <c r="SV4">
        <v>1</v>
      </c>
      <c r="SW4">
        <v>1</v>
      </c>
      <c r="SX4">
        <v>1</v>
      </c>
      <c r="SY4">
        <v>1</v>
      </c>
      <c r="SZ4">
        <v>1</v>
      </c>
      <c r="TA4">
        <v>1</v>
      </c>
      <c r="TB4">
        <v>1</v>
      </c>
      <c r="TC4">
        <v>1</v>
      </c>
      <c r="TD4">
        <v>1</v>
      </c>
      <c r="TE4">
        <v>1</v>
      </c>
      <c r="TF4">
        <v>1</v>
      </c>
      <c r="TG4">
        <v>1</v>
      </c>
      <c r="TH4">
        <v>1</v>
      </c>
      <c r="TI4">
        <v>1</v>
      </c>
      <c r="TJ4">
        <v>1</v>
      </c>
      <c r="TK4">
        <v>1</v>
      </c>
      <c r="TL4">
        <v>1</v>
      </c>
      <c r="TM4">
        <v>1</v>
      </c>
      <c r="TN4">
        <v>1</v>
      </c>
      <c r="TO4">
        <v>1</v>
      </c>
      <c r="TP4">
        <v>1</v>
      </c>
      <c r="TQ4">
        <v>1</v>
      </c>
      <c r="TR4">
        <v>1</v>
      </c>
      <c r="TS4">
        <v>1</v>
      </c>
      <c r="TT4">
        <v>1</v>
      </c>
      <c r="TU4">
        <v>1</v>
      </c>
      <c r="TV4">
        <v>1</v>
      </c>
      <c r="TW4">
        <v>1</v>
      </c>
      <c r="TX4">
        <v>1</v>
      </c>
      <c r="TY4">
        <v>1</v>
      </c>
      <c r="TZ4">
        <v>1</v>
      </c>
      <c r="UA4">
        <v>1</v>
      </c>
      <c r="UB4">
        <v>1</v>
      </c>
      <c r="UC4">
        <v>1</v>
      </c>
      <c r="UD4">
        <v>1</v>
      </c>
      <c r="UE4">
        <v>1</v>
      </c>
      <c r="UF4">
        <v>1</v>
      </c>
      <c r="UG4">
        <v>1</v>
      </c>
      <c r="UH4">
        <v>1</v>
      </c>
      <c r="UI4">
        <v>1</v>
      </c>
      <c r="UJ4">
        <v>1</v>
      </c>
      <c r="UK4">
        <v>1</v>
      </c>
      <c r="UL4">
        <v>1</v>
      </c>
      <c r="UM4">
        <v>1</v>
      </c>
      <c r="UN4">
        <v>1</v>
      </c>
      <c r="UO4">
        <v>1</v>
      </c>
      <c r="UP4">
        <v>1</v>
      </c>
      <c r="UQ4">
        <v>1</v>
      </c>
      <c r="UR4">
        <v>1</v>
      </c>
      <c r="US4">
        <v>1</v>
      </c>
      <c r="UT4">
        <v>1</v>
      </c>
      <c r="UU4">
        <v>1</v>
      </c>
      <c r="UV4">
        <v>1</v>
      </c>
      <c r="UW4">
        <v>1</v>
      </c>
      <c r="UX4">
        <v>1</v>
      </c>
      <c r="UY4">
        <v>1</v>
      </c>
      <c r="UZ4">
        <v>1</v>
      </c>
      <c r="VA4">
        <v>1</v>
      </c>
      <c r="VB4">
        <v>1</v>
      </c>
      <c r="VC4">
        <v>1</v>
      </c>
      <c r="VD4">
        <v>1</v>
      </c>
      <c r="VE4">
        <v>1</v>
      </c>
      <c r="VF4">
        <v>1</v>
      </c>
      <c r="VG4">
        <v>1</v>
      </c>
      <c r="VH4">
        <v>1</v>
      </c>
      <c r="VI4">
        <v>1</v>
      </c>
      <c r="VJ4">
        <v>1</v>
      </c>
      <c r="VK4">
        <v>1</v>
      </c>
      <c r="VL4">
        <v>1</v>
      </c>
      <c r="VM4">
        <v>1</v>
      </c>
      <c r="VN4">
        <v>1</v>
      </c>
      <c r="VO4">
        <v>1</v>
      </c>
      <c r="VP4">
        <v>1</v>
      </c>
      <c r="VQ4">
        <v>1</v>
      </c>
      <c r="VR4">
        <v>1</v>
      </c>
      <c r="VS4">
        <v>1</v>
      </c>
      <c r="VT4">
        <v>1</v>
      </c>
      <c r="VU4">
        <v>1</v>
      </c>
      <c r="VV4">
        <v>1</v>
      </c>
      <c r="VW4">
        <v>1</v>
      </c>
      <c r="VX4">
        <v>1</v>
      </c>
      <c r="VY4">
        <v>1</v>
      </c>
      <c r="VZ4">
        <v>1</v>
      </c>
      <c r="WA4">
        <v>1</v>
      </c>
      <c r="WB4">
        <v>1</v>
      </c>
      <c r="WC4">
        <v>1</v>
      </c>
      <c r="WD4">
        <v>1</v>
      </c>
      <c r="WE4">
        <v>1</v>
      </c>
      <c r="WF4">
        <v>1</v>
      </c>
      <c r="WG4">
        <v>1</v>
      </c>
      <c r="WH4">
        <v>1</v>
      </c>
      <c r="WI4">
        <v>1</v>
      </c>
      <c r="WJ4">
        <v>1</v>
      </c>
      <c r="WK4">
        <v>1</v>
      </c>
      <c r="WL4">
        <v>1</v>
      </c>
      <c r="WM4">
        <v>1</v>
      </c>
      <c r="WN4">
        <v>1</v>
      </c>
      <c r="WO4">
        <v>1</v>
      </c>
      <c r="WP4">
        <v>1</v>
      </c>
      <c r="WQ4">
        <v>1</v>
      </c>
      <c r="WR4">
        <v>1</v>
      </c>
      <c r="WS4">
        <v>1</v>
      </c>
      <c r="WT4">
        <v>1</v>
      </c>
      <c r="WU4">
        <v>1</v>
      </c>
      <c r="WV4">
        <v>1</v>
      </c>
      <c r="WW4">
        <v>1</v>
      </c>
      <c r="WX4">
        <v>1</v>
      </c>
      <c r="WY4">
        <v>1</v>
      </c>
      <c r="WZ4">
        <v>1</v>
      </c>
      <c r="XA4">
        <v>1</v>
      </c>
      <c r="XB4">
        <v>1</v>
      </c>
      <c r="XC4">
        <v>1</v>
      </c>
      <c r="XD4">
        <v>1</v>
      </c>
      <c r="XE4">
        <v>1</v>
      </c>
      <c r="XF4">
        <v>1</v>
      </c>
      <c r="XG4">
        <v>1</v>
      </c>
      <c r="XH4">
        <v>1</v>
      </c>
      <c r="XI4">
        <v>1</v>
      </c>
      <c r="XJ4">
        <v>1</v>
      </c>
      <c r="XK4">
        <v>1</v>
      </c>
      <c r="XL4">
        <v>1</v>
      </c>
      <c r="XM4">
        <v>1</v>
      </c>
      <c r="XN4">
        <v>1</v>
      </c>
      <c r="XO4">
        <v>1</v>
      </c>
      <c r="XP4">
        <v>1</v>
      </c>
      <c r="XQ4">
        <v>1</v>
      </c>
      <c r="XR4">
        <v>1</v>
      </c>
      <c r="XS4">
        <v>1</v>
      </c>
      <c r="XT4">
        <v>1</v>
      </c>
      <c r="XU4">
        <v>1</v>
      </c>
      <c r="XV4">
        <v>1</v>
      </c>
      <c r="XW4">
        <v>1</v>
      </c>
      <c r="XX4">
        <v>1</v>
      </c>
      <c r="XY4">
        <v>1</v>
      </c>
      <c r="XZ4">
        <v>1</v>
      </c>
      <c r="YA4">
        <v>1</v>
      </c>
      <c r="YB4">
        <v>1</v>
      </c>
      <c r="YC4">
        <v>1</v>
      </c>
      <c r="YD4">
        <v>1</v>
      </c>
      <c r="YE4">
        <v>1</v>
      </c>
      <c r="YF4">
        <v>1</v>
      </c>
      <c r="YG4">
        <v>1</v>
      </c>
      <c r="YH4">
        <v>1</v>
      </c>
      <c r="YI4">
        <v>1</v>
      </c>
      <c r="YJ4">
        <v>1</v>
      </c>
      <c r="YK4">
        <v>1</v>
      </c>
      <c r="YL4">
        <v>1</v>
      </c>
      <c r="YM4">
        <v>1</v>
      </c>
      <c r="YN4">
        <v>1</v>
      </c>
      <c r="YO4">
        <v>1</v>
      </c>
      <c r="YP4">
        <v>1</v>
      </c>
      <c r="YQ4">
        <v>1</v>
      </c>
      <c r="YR4">
        <v>1</v>
      </c>
      <c r="YS4">
        <v>1</v>
      </c>
      <c r="YT4">
        <v>1</v>
      </c>
      <c r="YU4">
        <v>1</v>
      </c>
      <c r="YV4">
        <v>1</v>
      </c>
      <c r="YW4">
        <v>1</v>
      </c>
      <c r="YX4">
        <v>1</v>
      </c>
      <c r="YY4">
        <v>1</v>
      </c>
      <c r="YZ4">
        <v>1</v>
      </c>
      <c r="ZA4">
        <v>1</v>
      </c>
      <c r="ZB4">
        <v>1</v>
      </c>
      <c r="ZC4">
        <v>1</v>
      </c>
      <c r="ZD4">
        <v>1</v>
      </c>
      <c r="ZE4">
        <v>1</v>
      </c>
      <c r="ZF4">
        <v>1</v>
      </c>
      <c r="ZG4">
        <v>1</v>
      </c>
      <c r="ZH4">
        <v>1</v>
      </c>
      <c r="ZI4">
        <v>1</v>
      </c>
      <c r="ZJ4">
        <v>1</v>
      </c>
      <c r="ZK4">
        <v>1</v>
      </c>
      <c r="ZL4">
        <v>1</v>
      </c>
      <c r="ZM4">
        <v>1</v>
      </c>
      <c r="ZN4">
        <v>1</v>
      </c>
      <c r="ZO4">
        <v>1</v>
      </c>
      <c r="ZP4">
        <v>1</v>
      </c>
      <c r="ZQ4">
        <v>1</v>
      </c>
      <c r="ZR4">
        <v>1</v>
      </c>
      <c r="ZS4">
        <v>1</v>
      </c>
      <c r="ZT4">
        <v>1</v>
      </c>
      <c r="ZU4">
        <v>1</v>
      </c>
      <c r="ZV4">
        <v>1</v>
      </c>
      <c r="ZW4">
        <v>1</v>
      </c>
      <c r="ZX4">
        <v>1</v>
      </c>
      <c r="ZY4">
        <v>1</v>
      </c>
      <c r="ZZ4">
        <v>1</v>
      </c>
      <c r="AAA4">
        <v>1</v>
      </c>
      <c r="AAB4">
        <v>1</v>
      </c>
      <c r="AAC4">
        <v>1</v>
      </c>
      <c r="AAD4">
        <v>1</v>
      </c>
      <c r="AAE4">
        <v>1</v>
      </c>
      <c r="AAF4">
        <v>1</v>
      </c>
      <c r="AAG4">
        <v>1</v>
      </c>
      <c r="AAH4">
        <v>1</v>
      </c>
      <c r="AAI4">
        <v>1</v>
      </c>
      <c r="AAJ4">
        <v>1</v>
      </c>
      <c r="AAK4">
        <v>1</v>
      </c>
      <c r="AAL4">
        <v>1</v>
      </c>
      <c r="AAM4">
        <v>1</v>
      </c>
      <c r="AAN4">
        <v>1</v>
      </c>
      <c r="AAO4">
        <v>1</v>
      </c>
      <c r="AAP4">
        <v>1</v>
      </c>
      <c r="AAQ4">
        <v>1</v>
      </c>
      <c r="AAR4">
        <v>1</v>
      </c>
      <c r="AAS4">
        <v>1</v>
      </c>
      <c r="AAT4">
        <v>1</v>
      </c>
      <c r="AAU4">
        <v>1</v>
      </c>
      <c r="AAV4">
        <v>1</v>
      </c>
      <c r="AAW4">
        <v>1</v>
      </c>
      <c r="AAX4">
        <v>1</v>
      </c>
      <c r="AAY4">
        <v>1</v>
      </c>
      <c r="AAZ4">
        <v>1</v>
      </c>
      <c r="ABA4">
        <v>1</v>
      </c>
      <c r="ABB4">
        <v>1</v>
      </c>
      <c r="ABC4">
        <v>1</v>
      </c>
      <c r="ABD4">
        <v>1</v>
      </c>
      <c r="ABE4">
        <v>1</v>
      </c>
      <c r="ABF4">
        <v>1</v>
      </c>
      <c r="ABG4">
        <v>1</v>
      </c>
      <c r="ABH4">
        <v>1</v>
      </c>
      <c r="ABI4">
        <v>1</v>
      </c>
      <c r="ABJ4">
        <v>1</v>
      </c>
      <c r="ABK4">
        <v>1</v>
      </c>
      <c r="ABL4">
        <v>1</v>
      </c>
      <c r="ABM4">
        <v>1</v>
      </c>
      <c r="ABN4">
        <v>1</v>
      </c>
      <c r="ABO4">
        <v>1</v>
      </c>
      <c r="ABP4">
        <v>1</v>
      </c>
      <c r="ABQ4">
        <v>1</v>
      </c>
      <c r="ABR4">
        <v>1</v>
      </c>
      <c r="ABS4">
        <v>1</v>
      </c>
      <c r="ABT4">
        <v>1</v>
      </c>
      <c r="ABU4">
        <v>1</v>
      </c>
      <c r="ABV4">
        <v>1</v>
      </c>
      <c r="ABW4">
        <v>1</v>
      </c>
      <c r="ABX4">
        <v>1</v>
      </c>
      <c r="ABY4">
        <v>1</v>
      </c>
      <c r="ABZ4">
        <v>1</v>
      </c>
      <c r="ACA4">
        <v>1</v>
      </c>
      <c r="ACB4">
        <v>1</v>
      </c>
      <c r="ACC4">
        <v>1</v>
      </c>
      <c r="ACD4">
        <v>1</v>
      </c>
      <c r="ACE4">
        <v>1</v>
      </c>
      <c r="ACF4">
        <v>1</v>
      </c>
      <c r="ACG4">
        <v>1</v>
      </c>
      <c r="ACH4">
        <v>1</v>
      </c>
      <c r="ACI4">
        <v>1</v>
      </c>
      <c r="ACJ4">
        <v>1</v>
      </c>
      <c r="ACK4">
        <v>1</v>
      </c>
      <c r="ACL4">
        <v>1</v>
      </c>
      <c r="ACM4">
        <v>1</v>
      </c>
      <c r="ACN4">
        <v>1</v>
      </c>
      <c r="ACO4">
        <v>1</v>
      </c>
      <c r="ACP4">
        <v>1</v>
      </c>
      <c r="ACQ4">
        <v>1</v>
      </c>
      <c r="ACR4">
        <v>1</v>
      </c>
      <c r="ACS4">
        <v>1</v>
      </c>
      <c r="ACT4">
        <v>1</v>
      </c>
      <c r="ACU4">
        <v>1</v>
      </c>
      <c r="ACV4">
        <v>1</v>
      </c>
      <c r="ACW4">
        <v>1</v>
      </c>
      <c r="ACX4">
        <v>1</v>
      </c>
      <c r="ACY4">
        <v>1</v>
      </c>
      <c r="ACZ4">
        <v>1</v>
      </c>
      <c r="ADA4">
        <v>1</v>
      </c>
      <c r="ADB4">
        <v>1</v>
      </c>
      <c r="ADC4">
        <v>1</v>
      </c>
      <c r="ADD4">
        <v>1</v>
      </c>
      <c r="ADE4">
        <v>1</v>
      </c>
      <c r="ADF4">
        <v>1</v>
      </c>
      <c r="ADG4">
        <v>1</v>
      </c>
      <c r="ADH4">
        <v>1</v>
      </c>
      <c r="ADI4">
        <v>1</v>
      </c>
      <c r="ADJ4">
        <v>1</v>
      </c>
      <c r="ADK4">
        <v>1</v>
      </c>
      <c r="ADL4">
        <v>1</v>
      </c>
      <c r="ADM4">
        <v>1</v>
      </c>
      <c r="ADN4">
        <v>1</v>
      </c>
      <c r="ADO4">
        <v>1</v>
      </c>
      <c r="ADP4">
        <v>1</v>
      </c>
      <c r="ADQ4">
        <v>1</v>
      </c>
      <c r="ADR4">
        <v>1</v>
      </c>
      <c r="ADS4">
        <v>1</v>
      </c>
      <c r="ADT4">
        <v>1</v>
      </c>
      <c r="ADU4">
        <v>1</v>
      </c>
      <c r="ADV4">
        <v>1</v>
      </c>
      <c r="ADW4">
        <v>1</v>
      </c>
      <c r="ADX4">
        <v>1</v>
      </c>
      <c r="ADY4">
        <v>1</v>
      </c>
      <c r="ADZ4">
        <v>1</v>
      </c>
      <c r="AEA4">
        <v>1</v>
      </c>
      <c r="AEB4">
        <v>1</v>
      </c>
      <c r="AEC4">
        <v>1</v>
      </c>
      <c r="AED4">
        <v>1</v>
      </c>
      <c r="AEE4">
        <v>1</v>
      </c>
      <c r="AEF4">
        <v>1</v>
      </c>
      <c r="AEG4">
        <v>1</v>
      </c>
      <c r="AEH4">
        <v>1</v>
      </c>
      <c r="AEI4">
        <v>1</v>
      </c>
      <c r="AEJ4">
        <v>1</v>
      </c>
      <c r="AEK4">
        <v>1</v>
      </c>
      <c r="AEL4">
        <v>1</v>
      </c>
      <c r="AEM4">
        <v>1</v>
      </c>
      <c r="AEN4">
        <v>1</v>
      </c>
      <c r="AEO4">
        <v>1</v>
      </c>
      <c r="AEP4">
        <v>1</v>
      </c>
      <c r="AEQ4">
        <v>1</v>
      </c>
      <c r="AER4">
        <v>1</v>
      </c>
      <c r="AES4">
        <v>1</v>
      </c>
      <c r="AET4">
        <v>1</v>
      </c>
      <c r="AEU4">
        <v>1</v>
      </c>
      <c r="AEV4">
        <v>1</v>
      </c>
      <c r="AEW4">
        <v>1</v>
      </c>
      <c r="AEX4">
        <v>1</v>
      </c>
      <c r="AEY4">
        <v>1</v>
      </c>
      <c r="AEZ4">
        <v>1</v>
      </c>
      <c r="AFA4">
        <v>1</v>
      </c>
      <c r="AFB4">
        <v>1</v>
      </c>
      <c r="AFC4">
        <v>1</v>
      </c>
      <c r="AFD4">
        <v>1</v>
      </c>
      <c r="AFE4">
        <v>1</v>
      </c>
      <c r="AFF4">
        <v>1</v>
      </c>
      <c r="AFG4">
        <v>1</v>
      </c>
      <c r="AFH4">
        <v>1</v>
      </c>
      <c r="AFI4">
        <v>1</v>
      </c>
      <c r="AFJ4">
        <v>1</v>
      </c>
      <c r="AFK4">
        <v>1</v>
      </c>
      <c r="AFL4">
        <v>1</v>
      </c>
      <c r="AFM4">
        <v>1</v>
      </c>
      <c r="AFN4">
        <v>1</v>
      </c>
      <c r="AFO4">
        <v>1</v>
      </c>
      <c r="AFP4">
        <v>1</v>
      </c>
      <c r="AFQ4">
        <v>1</v>
      </c>
      <c r="AFR4">
        <v>1</v>
      </c>
      <c r="AFS4">
        <v>1</v>
      </c>
      <c r="AFT4">
        <v>1</v>
      </c>
      <c r="AFU4">
        <v>1</v>
      </c>
      <c r="AFV4">
        <v>1</v>
      </c>
      <c r="AFW4">
        <v>1</v>
      </c>
      <c r="AFX4">
        <v>1</v>
      </c>
      <c r="AFY4">
        <v>1</v>
      </c>
      <c r="AFZ4">
        <v>1</v>
      </c>
      <c r="AGA4">
        <v>1</v>
      </c>
      <c r="AGB4">
        <v>1</v>
      </c>
      <c r="AGC4">
        <v>1</v>
      </c>
      <c r="AGD4">
        <v>1</v>
      </c>
      <c r="AGE4">
        <v>1</v>
      </c>
      <c r="AGF4">
        <v>1</v>
      </c>
      <c r="AGG4">
        <v>1</v>
      </c>
      <c r="AGH4">
        <v>1</v>
      </c>
      <c r="AGI4">
        <v>1</v>
      </c>
      <c r="AGJ4">
        <v>1</v>
      </c>
      <c r="AGK4">
        <v>1</v>
      </c>
      <c r="AGL4">
        <v>1</v>
      </c>
      <c r="AGM4">
        <v>1</v>
      </c>
      <c r="AGN4">
        <v>1</v>
      </c>
      <c r="AGO4">
        <v>1</v>
      </c>
      <c r="AGP4">
        <v>1</v>
      </c>
      <c r="AGQ4">
        <v>1</v>
      </c>
      <c r="AGR4">
        <v>1</v>
      </c>
      <c r="AGS4">
        <v>1</v>
      </c>
      <c r="AGT4">
        <v>1</v>
      </c>
      <c r="AGU4">
        <v>1</v>
      </c>
      <c r="AGV4">
        <v>1</v>
      </c>
      <c r="AGW4">
        <v>1</v>
      </c>
      <c r="AGX4">
        <v>1</v>
      </c>
      <c r="AGY4">
        <v>1</v>
      </c>
      <c r="AGZ4">
        <v>1</v>
      </c>
      <c r="AHA4">
        <v>1</v>
      </c>
      <c r="AHB4">
        <v>1</v>
      </c>
      <c r="AHC4">
        <v>1</v>
      </c>
      <c r="AHD4">
        <v>1</v>
      </c>
      <c r="AHE4">
        <v>1</v>
      </c>
      <c r="AHF4">
        <v>1</v>
      </c>
      <c r="AHG4">
        <v>1</v>
      </c>
      <c r="AHH4">
        <v>1</v>
      </c>
      <c r="AHI4">
        <v>1</v>
      </c>
      <c r="AHJ4">
        <v>1</v>
      </c>
      <c r="AHK4">
        <v>1</v>
      </c>
      <c r="AHL4">
        <v>1</v>
      </c>
      <c r="AHM4">
        <v>1</v>
      </c>
      <c r="AHN4">
        <v>1</v>
      </c>
      <c r="AHO4">
        <v>1</v>
      </c>
      <c r="AHP4">
        <v>1</v>
      </c>
      <c r="AHQ4">
        <v>1</v>
      </c>
      <c r="AHR4">
        <v>1</v>
      </c>
      <c r="AHS4">
        <v>1</v>
      </c>
      <c r="AHT4">
        <v>1</v>
      </c>
      <c r="AHU4">
        <v>1</v>
      </c>
      <c r="AHV4">
        <v>1</v>
      </c>
      <c r="AHW4">
        <v>1</v>
      </c>
      <c r="AHX4">
        <v>1</v>
      </c>
      <c r="AHY4">
        <v>1</v>
      </c>
      <c r="AHZ4">
        <v>1</v>
      </c>
      <c r="AIA4">
        <v>1</v>
      </c>
      <c r="AIB4">
        <v>1</v>
      </c>
      <c r="AIC4">
        <v>1</v>
      </c>
      <c r="AID4">
        <v>1</v>
      </c>
      <c r="AIE4">
        <v>1</v>
      </c>
      <c r="AIF4">
        <v>1</v>
      </c>
      <c r="AIG4">
        <v>1</v>
      </c>
      <c r="AIH4">
        <v>1</v>
      </c>
      <c r="AII4">
        <v>1</v>
      </c>
      <c r="AIJ4">
        <v>1</v>
      </c>
      <c r="AIK4">
        <v>1</v>
      </c>
      <c r="AIL4">
        <v>1</v>
      </c>
      <c r="AIM4">
        <v>1</v>
      </c>
      <c r="AIN4">
        <v>1</v>
      </c>
      <c r="AIO4">
        <v>1</v>
      </c>
      <c r="AIP4">
        <v>1</v>
      </c>
      <c r="AIQ4">
        <v>1</v>
      </c>
      <c r="AIR4">
        <v>1</v>
      </c>
      <c r="AIS4">
        <v>1</v>
      </c>
      <c r="AIT4">
        <v>1</v>
      </c>
      <c r="AIU4">
        <v>1</v>
      </c>
      <c r="AIV4">
        <v>1</v>
      </c>
      <c r="AIW4">
        <v>1</v>
      </c>
      <c r="AIX4">
        <v>1</v>
      </c>
      <c r="AIY4">
        <v>1</v>
      </c>
      <c r="AIZ4">
        <v>1</v>
      </c>
      <c r="AJA4">
        <v>1</v>
      </c>
      <c r="AJB4">
        <v>1</v>
      </c>
      <c r="AJC4">
        <v>1</v>
      </c>
      <c r="AJD4">
        <v>1</v>
      </c>
      <c r="AJE4">
        <v>1</v>
      </c>
      <c r="AJF4">
        <v>1</v>
      </c>
      <c r="AJG4">
        <v>1</v>
      </c>
      <c r="AJH4">
        <v>1</v>
      </c>
      <c r="AJI4">
        <v>1</v>
      </c>
      <c r="AJJ4">
        <v>1</v>
      </c>
      <c r="AJK4">
        <v>1</v>
      </c>
      <c r="AJL4">
        <v>1</v>
      </c>
      <c r="AJM4">
        <v>1</v>
      </c>
      <c r="AJN4">
        <v>1</v>
      </c>
      <c r="AJO4">
        <v>1</v>
      </c>
      <c r="AJP4">
        <v>1</v>
      </c>
      <c r="AJQ4">
        <v>1</v>
      </c>
      <c r="AJR4">
        <v>1</v>
      </c>
      <c r="AJS4">
        <v>1</v>
      </c>
      <c r="AJT4">
        <v>1</v>
      </c>
      <c r="AJU4">
        <v>1</v>
      </c>
      <c r="AJV4">
        <v>1</v>
      </c>
      <c r="AJW4">
        <v>1</v>
      </c>
      <c r="AJX4">
        <v>1</v>
      </c>
      <c r="AJY4">
        <v>1</v>
      </c>
      <c r="AJZ4">
        <v>1</v>
      </c>
      <c r="AKA4">
        <v>1</v>
      </c>
      <c r="AKB4">
        <v>1</v>
      </c>
      <c r="AKC4">
        <v>1</v>
      </c>
      <c r="AKD4">
        <v>1</v>
      </c>
      <c r="AKE4">
        <v>1</v>
      </c>
      <c r="AKF4">
        <v>1</v>
      </c>
      <c r="AKG4">
        <v>1</v>
      </c>
      <c r="AKH4">
        <v>1</v>
      </c>
      <c r="AKI4">
        <v>1</v>
      </c>
      <c r="AKJ4">
        <v>1</v>
      </c>
      <c r="AKK4">
        <v>1</v>
      </c>
      <c r="AKL4">
        <v>1</v>
      </c>
      <c r="AKM4">
        <v>1</v>
      </c>
      <c r="AKN4">
        <v>0</v>
      </c>
      <c r="AKO4">
        <v>0</v>
      </c>
      <c r="AKP4">
        <v>0</v>
      </c>
      <c r="AKQ4">
        <v>0</v>
      </c>
      <c r="AKR4">
        <v>0</v>
      </c>
      <c r="AKS4">
        <v>1</v>
      </c>
      <c r="AKT4">
        <v>1</v>
      </c>
      <c r="AKU4">
        <v>1</v>
      </c>
      <c r="AKV4">
        <v>1</v>
      </c>
      <c r="AKW4">
        <v>1</v>
      </c>
    </row>
    <row r="5" spans="1:985" ht="14.4" customHeight="1" x14ac:dyDescent="0.55000000000000004">
      <c r="A5" t="s">
        <v>27</v>
      </c>
      <c r="B5" t="s">
        <v>521</v>
      </c>
      <c r="C5" s="1" t="s">
        <v>690</v>
      </c>
      <c r="D5" t="s">
        <v>30</v>
      </c>
      <c r="E5" t="s">
        <v>30</v>
      </c>
      <c r="F5" t="s">
        <v>30</v>
      </c>
      <c r="G5" t="s">
        <v>30</v>
      </c>
      <c r="H5" t="s">
        <v>30</v>
      </c>
      <c r="I5" t="s">
        <v>30</v>
      </c>
      <c r="J5" t="s">
        <v>30</v>
      </c>
      <c r="K5" t="s">
        <v>30</v>
      </c>
      <c r="L5" t="s">
        <v>30</v>
      </c>
      <c r="M5" t="s">
        <v>30</v>
      </c>
      <c r="N5" t="s">
        <v>30</v>
      </c>
      <c r="O5" t="s">
        <v>30</v>
      </c>
      <c r="P5" t="s">
        <v>30</v>
      </c>
      <c r="Q5" t="s">
        <v>30</v>
      </c>
      <c r="R5" t="s">
        <v>30</v>
      </c>
      <c r="S5" t="s">
        <v>30</v>
      </c>
      <c r="T5" t="s">
        <v>30</v>
      </c>
      <c r="U5" t="s">
        <v>30</v>
      </c>
      <c r="V5" t="s">
        <v>30</v>
      </c>
      <c r="W5" t="s">
        <v>30</v>
      </c>
      <c r="X5" t="s">
        <v>30</v>
      </c>
      <c r="Y5" t="s">
        <v>30</v>
      </c>
      <c r="Z5" t="s">
        <v>30</v>
      </c>
      <c r="AA5" t="s">
        <v>30</v>
      </c>
      <c r="AB5" t="s">
        <v>30</v>
      </c>
      <c r="AC5" t="s">
        <v>30</v>
      </c>
      <c r="AD5" t="s">
        <v>30</v>
      </c>
      <c r="AE5" t="s">
        <v>30</v>
      </c>
      <c r="AF5" t="s">
        <v>30</v>
      </c>
      <c r="AG5" t="s">
        <v>30</v>
      </c>
      <c r="AH5" t="s">
        <v>30</v>
      </c>
      <c r="AI5" t="s">
        <v>30</v>
      </c>
      <c r="AJ5" t="s">
        <v>30</v>
      </c>
      <c r="AK5" t="s">
        <v>30</v>
      </c>
      <c r="AL5" t="s">
        <v>30</v>
      </c>
      <c r="AM5" t="s">
        <v>30</v>
      </c>
      <c r="AN5" t="s">
        <v>30</v>
      </c>
      <c r="AO5" t="s">
        <v>30</v>
      </c>
      <c r="AP5" t="s">
        <v>30</v>
      </c>
      <c r="AQ5" t="s">
        <v>30</v>
      </c>
      <c r="AR5" t="s">
        <v>30</v>
      </c>
      <c r="AS5" t="s">
        <v>30</v>
      </c>
      <c r="AT5" t="s">
        <v>30</v>
      </c>
      <c r="AU5" t="s">
        <v>30</v>
      </c>
      <c r="AV5" t="s">
        <v>30</v>
      </c>
      <c r="AW5" t="s">
        <v>30</v>
      </c>
      <c r="AX5" t="s">
        <v>30</v>
      </c>
      <c r="AY5" t="s">
        <v>30</v>
      </c>
      <c r="AZ5" t="s">
        <v>30</v>
      </c>
      <c r="BA5" t="s">
        <v>30</v>
      </c>
      <c r="BB5" t="s">
        <v>30</v>
      </c>
      <c r="BC5" t="s">
        <v>30</v>
      </c>
      <c r="BD5" t="s">
        <v>30</v>
      </c>
      <c r="BE5" t="s">
        <v>30</v>
      </c>
      <c r="BF5" t="s">
        <v>30</v>
      </c>
      <c r="BG5" t="s">
        <v>30</v>
      </c>
      <c r="BH5" t="s">
        <v>30</v>
      </c>
      <c r="BI5" t="s">
        <v>30</v>
      </c>
      <c r="BJ5" t="s">
        <v>30</v>
      </c>
      <c r="BK5" t="s">
        <v>30</v>
      </c>
      <c r="BL5" t="s">
        <v>30</v>
      </c>
      <c r="BM5" t="s">
        <v>30</v>
      </c>
      <c r="BN5" t="s">
        <v>30</v>
      </c>
      <c r="BO5" t="s">
        <v>30</v>
      </c>
      <c r="BP5" t="s">
        <v>30</v>
      </c>
      <c r="BQ5" t="s">
        <v>30</v>
      </c>
      <c r="BR5" t="s">
        <v>30</v>
      </c>
      <c r="BS5" t="s">
        <v>30</v>
      </c>
      <c r="BT5" t="s">
        <v>30</v>
      </c>
      <c r="BU5" t="s">
        <v>30</v>
      </c>
      <c r="BV5" t="s">
        <v>30</v>
      </c>
      <c r="BW5" t="s">
        <v>30</v>
      </c>
      <c r="BX5" t="s">
        <v>30</v>
      </c>
      <c r="BY5" t="s">
        <v>30</v>
      </c>
      <c r="BZ5" t="s">
        <v>30</v>
      </c>
      <c r="CA5" t="s">
        <v>30</v>
      </c>
      <c r="CB5" t="s">
        <v>30</v>
      </c>
      <c r="CC5" t="s">
        <v>30</v>
      </c>
      <c r="CD5" t="s">
        <v>30</v>
      </c>
      <c r="CE5" t="s">
        <v>30</v>
      </c>
      <c r="CF5" t="s">
        <v>30</v>
      </c>
      <c r="CG5" t="s">
        <v>30</v>
      </c>
      <c r="CH5" t="s">
        <v>30</v>
      </c>
      <c r="CI5" t="s">
        <v>30</v>
      </c>
      <c r="CJ5" t="s">
        <v>30</v>
      </c>
      <c r="CK5" t="s">
        <v>30</v>
      </c>
      <c r="CL5" t="s">
        <v>30</v>
      </c>
      <c r="CM5" t="s">
        <v>30</v>
      </c>
      <c r="CN5" t="s">
        <v>30</v>
      </c>
      <c r="CO5" t="s">
        <v>30</v>
      </c>
      <c r="CP5" t="s">
        <v>30</v>
      </c>
      <c r="CQ5" t="s">
        <v>30</v>
      </c>
      <c r="CR5" t="s">
        <v>30</v>
      </c>
      <c r="CS5" t="s">
        <v>30</v>
      </c>
      <c r="CT5" t="s">
        <v>30</v>
      </c>
      <c r="CU5" t="s">
        <v>30</v>
      </c>
      <c r="CV5" t="s">
        <v>30</v>
      </c>
      <c r="CW5" t="s">
        <v>30</v>
      </c>
      <c r="CX5" t="s">
        <v>30</v>
      </c>
      <c r="CY5" t="s">
        <v>30</v>
      </c>
      <c r="CZ5" t="s">
        <v>30</v>
      </c>
      <c r="DA5" t="s">
        <v>30</v>
      </c>
      <c r="DB5" t="s">
        <v>30</v>
      </c>
      <c r="DC5" t="s">
        <v>30</v>
      </c>
      <c r="DD5" t="s">
        <v>30</v>
      </c>
      <c r="DE5" t="s">
        <v>30</v>
      </c>
      <c r="DF5" t="s">
        <v>30</v>
      </c>
      <c r="DG5" t="s">
        <v>30</v>
      </c>
      <c r="DH5" t="s">
        <v>30</v>
      </c>
      <c r="DI5" t="s">
        <v>30</v>
      </c>
      <c r="DJ5" t="s">
        <v>30</v>
      </c>
      <c r="DK5" t="s">
        <v>30</v>
      </c>
      <c r="DL5" t="s">
        <v>30</v>
      </c>
      <c r="DM5" t="s">
        <v>30</v>
      </c>
      <c r="DN5" t="s">
        <v>30</v>
      </c>
      <c r="DO5" t="s">
        <v>30</v>
      </c>
      <c r="DP5" t="s">
        <v>30</v>
      </c>
      <c r="DQ5" t="s">
        <v>30</v>
      </c>
      <c r="DR5" t="s">
        <v>30</v>
      </c>
      <c r="DS5" t="s">
        <v>30</v>
      </c>
      <c r="DT5" t="s">
        <v>30</v>
      </c>
      <c r="DU5" t="s">
        <v>30</v>
      </c>
      <c r="DV5" t="s">
        <v>30</v>
      </c>
      <c r="DW5" t="s">
        <v>30</v>
      </c>
      <c r="DX5" t="s">
        <v>30</v>
      </c>
      <c r="DY5" t="s">
        <v>30</v>
      </c>
      <c r="DZ5" t="s">
        <v>30</v>
      </c>
      <c r="EA5" t="s">
        <v>30</v>
      </c>
      <c r="EB5" t="s">
        <v>30</v>
      </c>
      <c r="EC5" t="s">
        <v>30</v>
      </c>
      <c r="ED5" t="s">
        <v>30</v>
      </c>
      <c r="EE5" t="s">
        <v>30</v>
      </c>
      <c r="EF5" t="s">
        <v>30</v>
      </c>
      <c r="EG5" t="s">
        <v>30</v>
      </c>
      <c r="EH5" t="s">
        <v>30</v>
      </c>
      <c r="EI5" t="s">
        <v>30</v>
      </c>
      <c r="EJ5" t="s">
        <v>30</v>
      </c>
      <c r="EK5" t="s">
        <v>30</v>
      </c>
      <c r="EL5" t="s">
        <v>30</v>
      </c>
      <c r="EM5" t="s">
        <v>30</v>
      </c>
      <c r="EN5" t="s">
        <v>30</v>
      </c>
      <c r="EO5" t="s">
        <v>30</v>
      </c>
      <c r="EP5" t="s">
        <v>30</v>
      </c>
      <c r="EQ5" t="s">
        <v>30</v>
      </c>
      <c r="ER5" t="s">
        <v>30</v>
      </c>
      <c r="ES5" t="s">
        <v>30</v>
      </c>
      <c r="ET5" t="s">
        <v>30</v>
      </c>
      <c r="EU5" t="s">
        <v>30</v>
      </c>
      <c r="EV5" t="s">
        <v>30</v>
      </c>
      <c r="EW5" t="s">
        <v>30</v>
      </c>
      <c r="EX5" t="s">
        <v>30</v>
      </c>
      <c r="EY5" t="s">
        <v>30</v>
      </c>
      <c r="EZ5" t="s">
        <v>30</v>
      </c>
      <c r="FA5" t="s">
        <v>30</v>
      </c>
      <c r="FB5" t="s">
        <v>30</v>
      </c>
      <c r="FC5" t="s">
        <v>30</v>
      </c>
      <c r="FD5" t="s">
        <v>30</v>
      </c>
      <c r="FE5" t="s">
        <v>30</v>
      </c>
      <c r="FF5" t="s">
        <v>30</v>
      </c>
      <c r="FG5" t="s">
        <v>30</v>
      </c>
      <c r="FH5" t="s">
        <v>30</v>
      </c>
      <c r="FI5" t="s">
        <v>30</v>
      </c>
      <c r="FJ5" t="s">
        <v>30</v>
      </c>
      <c r="FK5" t="s">
        <v>30</v>
      </c>
      <c r="FL5" t="s">
        <v>30</v>
      </c>
      <c r="FM5" t="s">
        <v>30</v>
      </c>
      <c r="FN5" t="s">
        <v>30</v>
      </c>
      <c r="FO5" t="s">
        <v>30</v>
      </c>
      <c r="FP5" t="s">
        <v>30</v>
      </c>
      <c r="FQ5" t="s">
        <v>30</v>
      </c>
      <c r="FR5" t="s">
        <v>30</v>
      </c>
      <c r="FS5" t="s">
        <v>30</v>
      </c>
      <c r="FT5" t="s">
        <v>30</v>
      </c>
      <c r="FU5" t="s">
        <v>30</v>
      </c>
      <c r="FV5" t="s">
        <v>30</v>
      </c>
      <c r="FW5" t="s">
        <v>30</v>
      </c>
      <c r="FX5" t="s">
        <v>30</v>
      </c>
      <c r="FY5" t="s">
        <v>30</v>
      </c>
      <c r="FZ5" t="s">
        <v>30</v>
      </c>
      <c r="GA5" t="s">
        <v>30</v>
      </c>
      <c r="GB5" t="s">
        <v>30</v>
      </c>
      <c r="GC5" t="s">
        <v>30</v>
      </c>
      <c r="GD5" t="s">
        <v>30</v>
      </c>
      <c r="GE5" t="s">
        <v>30</v>
      </c>
      <c r="GF5" t="s">
        <v>30</v>
      </c>
      <c r="GG5" t="s">
        <v>30</v>
      </c>
      <c r="GH5" t="s">
        <v>30</v>
      </c>
      <c r="GI5" t="s">
        <v>30</v>
      </c>
      <c r="GJ5" t="s">
        <v>30</v>
      </c>
      <c r="GK5" t="s">
        <v>30</v>
      </c>
      <c r="GL5" t="s">
        <v>30</v>
      </c>
      <c r="GM5" t="s">
        <v>30</v>
      </c>
      <c r="GN5" t="s">
        <v>30</v>
      </c>
      <c r="GO5" t="s">
        <v>30</v>
      </c>
      <c r="GP5" t="s">
        <v>30</v>
      </c>
      <c r="GQ5" t="s">
        <v>30</v>
      </c>
      <c r="GR5" t="s">
        <v>30</v>
      </c>
      <c r="GS5" t="s">
        <v>30</v>
      </c>
      <c r="GT5" t="s">
        <v>30</v>
      </c>
      <c r="GU5" t="s">
        <v>30</v>
      </c>
      <c r="GV5" t="s">
        <v>30</v>
      </c>
      <c r="GW5" t="s">
        <v>30</v>
      </c>
      <c r="GX5" t="s">
        <v>30</v>
      </c>
      <c r="GY5" t="s">
        <v>30</v>
      </c>
      <c r="GZ5" t="s">
        <v>30</v>
      </c>
      <c r="HA5" t="s">
        <v>30</v>
      </c>
      <c r="HB5" t="s">
        <v>30</v>
      </c>
      <c r="HC5" t="s">
        <v>30</v>
      </c>
      <c r="HD5" t="s">
        <v>30</v>
      </c>
      <c r="HE5" t="s">
        <v>30</v>
      </c>
      <c r="HF5" t="s">
        <v>30</v>
      </c>
      <c r="HG5" t="s">
        <v>30</v>
      </c>
      <c r="HH5" t="s">
        <v>30</v>
      </c>
      <c r="HI5" t="s">
        <v>30</v>
      </c>
      <c r="HJ5" t="s">
        <v>30</v>
      </c>
      <c r="HK5" t="s">
        <v>30</v>
      </c>
      <c r="HL5" t="s">
        <v>30</v>
      </c>
      <c r="HM5" t="s">
        <v>30</v>
      </c>
      <c r="HN5" t="s">
        <v>30</v>
      </c>
      <c r="HO5" t="s">
        <v>30</v>
      </c>
      <c r="HP5" t="s">
        <v>30</v>
      </c>
      <c r="HQ5" t="s">
        <v>30</v>
      </c>
      <c r="HR5" t="s">
        <v>30</v>
      </c>
      <c r="HS5" t="s">
        <v>30</v>
      </c>
      <c r="HT5" t="s">
        <v>30</v>
      </c>
      <c r="HU5" t="s">
        <v>30</v>
      </c>
      <c r="HV5" t="s">
        <v>30</v>
      </c>
      <c r="HW5" t="s">
        <v>30</v>
      </c>
      <c r="HX5" t="s">
        <v>30</v>
      </c>
      <c r="HY5" t="s">
        <v>30</v>
      </c>
      <c r="HZ5" t="s">
        <v>30</v>
      </c>
      <c r="IA5" t="s">
        <v>30</v>
      </c>
      <c r="IB5" t="s">
        <v>30</v>
      </c>
      <c r="IC5" t="s">
        <v>30</v>
      </c>
      <c r="ID5" t="s">
        <v>30</v>
      </c>
      <c r="IE5" t="s">
        <v>30</v>
      </c>
      <c r="IF5" t="s">
        <v>30</v>
      </c>
      <c r="IG5" t="s">
        <v>30</v>
      </c>
      <c r="IH5" t="s">
        <v>30</v>
      </c>
      <c r="II5" t="s">
        <v>30</v>
      </c>
      <c r="IJ5" t="s">
        <v>30</v>
      </c>
      <c r="IK5" t="s">
        <v>30</v>
      </c>
      <c r="IL5" t="s">
        <v>30</v>
      </c>
      <c r="IM5" t="s">
        <v>30</v>
      </c>
      <c r="IN5" t="s">
        <v>30</v>
      </c>
      <c r="IO5" t="s">
        <v>30</v>
      </c>
      <c r="IP5" t="s">
        <v>30</v>
      </c>
      <c r="IQ5" t="s">
        <v>30</v>
      </c>
      <c r="IR5" t="s">
        <v>30</v>
      </c>
      <c r="IS5" t="s">
        <v>30</v>
      </c>
      <c r="IT5" t="s">
        <v>30</v>
      </c>
      <c r="IU5" t="s">
        <v>30</v>
      </c>
      <c r="IV5" t="s">
        <v>30</v>
      </c>
      <c r="IW5" t="s">
        <v>30</v>
      </c>
      <c r="IX5" t="s">
        <v>30</v>
      </c>
      <c r="IY5" t="s">
        <v>30</v>
      </c>
      <c r="IZ5" t="s">
        <v>30</v>
      </c>
      <c r="JA5" t="s">
        <v>30</v>
      </c>
      <c r="JB5" t="s">
        <v>30</v>
      </c>
      <c r="JC5" t="s">
        <v>30</v>
      </c>
      <c r="JD5" t="s">
        <v>30</v>
      </c>
      <c r="JE5" t="s">
        <v>30</v>
      </c>
      <c r="JF5" t="s">
        <v>30</v>
      </c>
      <c r="JG5" t="s">
        <v>30</v>
      </c>
      <c r="JH5" t="s">
        <v>30</v>
      </c>
      <c r="JI5" t="s">
        <v>30</v>
      </c>
      <c r="JJ5" t="s">
        <v>30</v>
      </c>
      <c r="JK5" t="s">
        <v>30</v>
      </c>
      <c r="JL5" t="s">
        <v>30</v>
      </c>
      <c r="JM5" t="s">
        <v>30</v>
      </c>
      <c r="JN5" t="s">
        <v>30</v>
      </c>
      <c r="JO5" t="s">
        <v>30</v>
      </c>
      <c r="JP5" t="s">
        <v>30</v>
      </c>
      <c r="JQ5" t="s">
        <v>30</v>
      </c>
      <c r="JR5" t="s">
        <v>30</v>
      </c>
      <c r="JS5" t="s">
        <v>30</v>
      </c>
      <c r="JT5" t="s">
        <v>30</v>
      </c>
      <c r="JU5" t="s">
        <v>30</v>
      </c>
      <c r="JV5" t="s">
        <v>30</v>
      </c>
      <c r="JW5" t="s">
        <v>30</v>
      </c>
      <c r="JX5" t="s">
        <v>30</v>
      </c>
      <c r="JY5" t="s">
        <v>30</v>
      </c>
      <c r="JZ5" t="s">
        <v>30</v>
      </c>
      <c r="KA5" t="s">
        <v>30</v>
      </c>
      <c r="KB5" t="s">
        <v>30</v>
      </c>
      <c r="KC5" t="s">
        <v>30</v>
      </c>
      <c r="KD5" t="s">
        <v>30</v>
      </c>
      <c r="KE5" t="s">
        <v>30</v>
      </c>
      <c r="KF5" t="s">
        <v>30</v>
      </c>
      <c r="KG5" t="s">
        <v>30</v>
      </c>
      <c r="KH5" t="s">
        <v>30</v>
      </c>
      <c r="KI5" t="s">
        <v>30</v>
      </c>
      <c r="KJ5" t="s">
        <v>30</v>
      </c>
      <c r="KK5" t="s">
        <v>30</v>
      </c>
      <c r="KL5" t="s">
        <v>30</v>
      </c>
      <c r="KM5" t="s">
        <v>30</v>
      </c>
      <c r="KN5" t="s">
        <v>30</v>
      </c>
      <c r="KO5" t="s">
        <v>30</v>
      </c>
      <c r="KP5" t="s">
        <v>30</v>
      </c>
      <c r="KQ5" t="s">
        <v>30</v>
      </c>
      <c r="KR5" t="s">
        <v>30</v>
      </c>
      <c r="KS5" t="s">
        <v>30</v>
      </c>
      <c r="KT5" t="s">
        <v>30</v>
      </c>
      <c r="KU5" t="s">
        <v>30</v>
      </c>
      <c r="KV5" t="s">
        <v>30</v>
      </c>
      <c r="KW5" t="s">
        <v>30</v>
      </c>
      <c r="KX5" t="s">
        <v>30</v>
      </c>
      <c r="KY5" t="s">
        <v>30</v>
      </c>
      <c r="KZ5" t="s">
        <v>30</v>
      </c>
      <c r="LA5" t="s">
        <v>30</v>
      </c>
      <c r="LB5" t="s">
        <v>30</v>
      </c>
      <c r="LC5" t="s">
        <v>30</v>
      </c>
      <c r="LD5" t="s">
        <v>30</v>
      </c>
      <c r="LE5" t="s">
        <v>30</v>
      </c>
      <c r="LF5" t="s">
        <v>30</v>
      </c>
      <c r="LG5" t="s">
        <v>30</v>
      </c>
      <c r="LH5" t="s">
        <v>30</v>
      </c>
      <c r="LI5" t="s">
        <v>30</v>
      </c>
      <c r="LJ5" t="s">
        <v>30</v>
      </c>
      <c r="LK5" t="s">
        <v>30</v>
      </c>
      <c r="LL5" t="s">
        <v>30</v>
      </c>
      <c r="LM5" t="s">
        <v>30</v>
      </c>
      <c r="LN5" t="s">
        <v>30</v>
      </c>
      <c r="LO5" t="s">
        <v>30</v>
      </c>
      <c r="LP5" t="s">
        <v>30</v>
      </c>
      <c r="LQ5" t="s">
        <v>30</v>
      </c>
      <c r="LR5" t="s">
        <v>30</v>
      </c>
      <c r="LS5" t="s">
        <v>30</v>
      </c>
      <c r="LT5" t="s">
        <v>30</v>
      </c>
      <c r="LU5" t="s">
        <v>30</v>
      </c>
      <c r="LV5" t="s">
        <v>30</v>
      </c>
      <c r="LW5" t="s">
        <v>30</v>
      </c>
      <c r="LX5" t="s">
        <v>30</v>
      </c>
      <c r="LY5" t="s">
        <v>30</v>
      </c>
      <c r="LZ5" t="s">
        <v>30</v>
      </c>
      <c r="MA5" t="s">
        <v>30</v>
      </c>
      <c r="MB5" t="s">
        <v>30</v>
      </c>
      <c r="MC5" t="s">
        <v>30</v>
      </c>
      <c r="MD5" t="s">
        <v>30</v>
      </c>
      <c r="ME5" t="s">
        <v>30</v>
      </c>
      <c r="MF5" t="s">
        <v>30</v>
      </c>
      <c r="MG5" t="s">
        <v>30</v>
      </c>
      <c r="MH5" t="s">
        <v>30</v>
      </c>
      <c r="MI5" t="s">
        <v>30</v>
      </c>
      <c r="MJ5" t="s">
        <v>30</v>
      </c>
      <c r="MK5" t="s">
        <v>30</v>
      </c>
      <c r="ML5" t="s">
        <v>30</v>
      </c>
      <c r="MM5" t="s">
        <v>30</v>
      </c>
      <c r="MN5" t="s">
        <v>30</v>
      </c>
      <c r="MO5" t="s">
        <v>30</v>
      </c>
      <c r="MP5" t="s">
        <v>30</v>
      </c>
      <c r="MQ5" t="s">
        <v>30</v>
      </c>
      <c r="MR5" t="s">
        <v>30</v>
      </c>
      <c r="MS5" t="s">
        <v>30</v>
      </c>
      <c r="MT5" t="s">
        <v>30</v>
      </c>
      <c r="MU5" t="s">
        <v>30</v>
      </c>
      <c r="MV5" t="s">
        <v>30</v>
      </c>
      <c r="MW5" t="s">
        <v>30</v>
      </c>
      <c r="MX5" t="s">
        <v>30</v>
      </c>
      <c r="MY5" t="s">
        <v>30</v>
      </c>
      <c r="MZ5" t="s">
        <v>30</v>
      </c>
      <c r="NA5" t="s">
        <v>30</v>
      </c>
      <c r="NB5" t="s">
        <v>30</v>
      </c>
      <c r="NC5" t="s">
        <v>30</v>
      </c>
      <c r="ND5" t="s">
        <v>30</v>
      </c>
      <c r="NE5" t="s">
        <v>30</v>
      </c>
      <c r="NF5" t="s">
        <v>30</v>
      </c>
      <c r="NG5" t="s">
        <v>30</v>
      </c>
      <c r="NH5" t="s">
        <v>30</v>
      </c>
      <c r="NI5" t="s">
        <v>30</v>
      </c>
      <c r="NJ5" t="s">
        <v>30</v>
      </c>
      <c r="NK5" t="s">
        <v>30</v>
      </c>
      <c r="NL5" t="s">
        <v>30</v>
      </c>
      <c r="NM5" t="s">
        <v>30</v>
      </c>
      <c r="NN5" t="s">
        <v>30</v>
      </c>
      <c r="NO5" t="s">
        <v>30</v>
      </c>
      <c r="NP5" t="s">
        <v>30</v>
      </c>
      <c r="NQ5" t="s">
        <v>30</v>
      </c>
      <c r="NR5" t="s">
        <v>30</v>
      </c>
      <c r="NS5" t="s">
        <v>30</v>
      </c>
      <c r="NT5" t="s">
        <v>30</v>
      </c>
      <c r="NU5" t="s">
        <v>30</v>
      </c>
      <c r="NV5" t="s">
        <v>30</v>
      </c>
      <c r="NW5" t="s">
        <v>30</v>
      </c>
      <c r="NX5" t="s">
        <v>30</v>
      </c>
      <c r="NY5" t="s">
        <v>30</v>
      </c>
      <c r="NZ5" t="s">
        <v>30</v>
      </c>
      <c r="OA5" t="s">
        <v>30</v>
      </c>
      <c r="OB5" t="s">
        <v>30</v>
      </c>
      <c r="OC5" t="s">
        <v>30</v>
      </c>
      <c r="OD5" t="s">
        <v>30</v>
      </c>
      <c r="OE5" t="s">
        <v>30</v>
      </c>
      <c r="OF5" t="s">
        <v>30</v>
      </c>
      <c r="OG5" t="s">
        <v>30</v>
      </c>
      <c r="OH5" t="s">
        <v>30</v>
      </c>
      <c r="OI5" t="s">
        <v>30</v>
      </c>
      <c r="OJ5" t="s">
        <v>30</v>
      </c>
      <c r="OK5" t="s">
        <v>30</v>
      </c>
      <c r="OL5" t="s">
        <v>30</v>
      </c>
      <c r="OM5" t="s">
        <v>30</v>
      </c>
      <c r="ON5" t="s">
        <v>30</v>
      </c>
      <c r="OO5" t="s">
        <v>30</v>
      </c>
      <c r="OP5" t="s">
        <v>30</v>
      </c>
      <c r="OQ5" t="s">
        <v>30</v>
      </c>
      <c r="OR5" t="s">
        <v>30</v>
      </c>
      <c r="OS5" t="s">
        <v>30</v>
      </c>
      <c r="OT5" t="s">
        <v>30</v>
      </c>
      <c r="OU5" t="s">
        <v>30</v>
      </c>
      <c r="OV5" t="s">
        <v>30</v>
      </c>
      <c r="OW5" t="s">
        <v>30</v>
      </c>
      <c r="OX5" t="s">
        <v>30</v>
      </c>
      <c r="OY5" t="s">
        <v>30</v>
      </c>
      <c r="OZ5" t="s">
        <v>30</v>
      </c>
      <c r="PA5" t="s">
        <v>30</v>
      </c>
      <c r="PB5" t="s">
        <v>30</v>
      </c>
      <c r="PC5" t="s">
        <v>30</v>
      </c>
      <c r="PD5" t="s">
        <v>30</v>
      </c>
      <c r="PE5" t="s">
        <v>30</v>
      </c>
      <c r="PF5" t="s">
        <v>30</v>
      </c>
      <c r="PG5" t="s">
        <v>30</v>
      </c>
      <c r="PH5" t="s">
        <v>30</v>
      </c>
      <c r="PI5" t="s">
        <v>30</v>
      </c>
      <c r="PJ5" t="s">
        <v>30</v>
      </c>
      <c r="PK5" t="s">
        <v>30</v>
      </c>
      <c r="PL5" t="s">
        <v>30</v>
      </c>
      <c r="PM5" t="s">
        <v>30</v>
      </c>
      <c r="PN5" t="s">
        <v>30</v>
      </c>
      <c r="PO5" t="s">
        <v>30</v>
      </c>
      <c r="PP5" t="s">
        <v>30</v>
      </c>
      <c r="PQ5" t="s">
        <v>30</v>
      </c>
      <c r="PR5" t="s">
        <v>30</v>
      </c>
      <c r="PS5" t="s">
        <v>30</v>
      </c>
      <c r="PT5" t="s">
        <v>30</v>
      </c>
      <c r="PU5" t="s">
        <v>30</v>
      </c>
      <c r="PV5" t="s">
        <v>30</v>
      </c>
      <c r="PW5" t="s">
        <v>30</v>
      </c>
      <c r="PX5" t="s">
        <v>30</v>
      </c>
      <c r="PY5" t="s">
        <v>30</v>
      </c>
      <c r="PZ5" t="s">
        <v>30</v>
      </c>
      <c r="QA5" t="s">
        <v>30</v>
      </c>
      <c r="QB5" t="s">
        <v>30</v>
      </c>
      <c r="QC5" t="s">
        <v>30</v>
      </c>
      <c r="QD5" t="s">
        <v>30</v>
      </c>
      <c r="QE5" t="s">
        <v>30</v>
      </c>
      <c r="QF5" t="s">
        <v>30</v>
      </c>
      <c r="QG5" t="s">
        <v>30</v>
      </c>
      <c r="QH5" t="s">
        <v>30</v>
      </c>
      <c r="QI5" t="s">
        <v>30</v>
      </c>
      <c r="QJ5" t="s">
        <v>30</v>
      </c>
      <c r="QK5" t="s">
        <v>30</v>
      </c>
      <c r="QL5" t="s">
        <v>30</v>
      </c>
      <c r="QM5" t="s">
        <v>30</v>
      </c>
      <c r="QN5" t="s">
        <v>30</v>
      </c>
      <c r="QO5" t="s">
        <v>30</v>
      </c>
      <c r="QP5" t="s">
        <v>30</v>
      </c>
      <c r="QQ5" t="s">
        <v>30</v>
      </c>
      <c r="QR5" t="s">
        <v>30</v>
      </c>
      <c r="QS5" t="s">
        <v>30</v>
      </c>
      <c r="QT5" t="s">
        <v>30</v>
      </c>
      <c r="QU5" t="s">
        <v>30</v>
      </c>
      <c r="QV5" t="s">
        <v>30</v>
      </c>
      <c r="QW5" t="s">
        <v>30</v>
      </c>
      <c r="QX5" t="s">
        <v>30</v>
      </c>
      <c r="QY5" t="s">
        <v>30</v>
      </c>
      <c r="QZ5" t="s">
        <v>30</v>
      </c>
      <c r="RA5" t="s">
        <v>30</v>
      </c>
      <c r="RB5" t="s">
        <v>30</v>
      </c>
      <c r="RC5" t="s">
        <v>30</v>
      </c>
      <c r="RD5" t="s">
        <v>30</v>
      </c>
      <c r="RE5" t="s">
        <v>30</v>
      </c>
      <c r="RF5" t="s">
        <v>30</v>
      </c>
      <c r="RG5" t="s">
        <v>30</v>
      </c>
      <c r="RH5" t="s">
        <v>30</v>
      </c>
      <c r="RI5" t="s">
        <v>30</v>
      </c>
      <c r="RJ5" t="s">
        <v>30</v>
      </c>
      <c r="RK5" t="s">
        <v>30</v>
      </c>
      <c r="RL5" t="s">
        <v>30</v>
      </c>
      <c r="RM5" t="s">
        <v>30</v>
      </c>
      <c r="RN5" t="s">
        <v>30</v>
      </c>
      <c r="RO5" t="s">
        <v>30</v>
      </c>
      <c r="RP5" t="s">
        <v>30</v>
      </c>
      <c r="RQ5" t="s">
        <v>30</v>
      </c>
      <c r="RR5" t="s">
        <v>30</v>
      </c>
      <c r="RS5" t="s">
        <v>30</v>
      </c>
      <c r="RT5" t="s">
        <v>30</v>
      </c>
      <c r="RU5" t="s">
        <v>30</v>
      </c>
      <c r="RV5" t="s">
        <v>30</v>
      </c>
      <c r="RW5" t="s">
        <v>30</v>
      </c>
      <c r="RX5" t="s">
        <v>30</v>
      </c>
      <c r="RY5" t="s">
        <v>30</v>
      </c>
      <c r="RZ5" t="s">
        <v>30</v>
      </c>
      <c r="SA5" t="s">
        <v>30</v>
      </c>
      <c r="SB5" t="s">
        <v>30</v>
      </c>
      <c r="SC5" t="s">
        <v>30</v>
      </c>
      <c r="SD5" t="s">
        <v>30</v>
      </c>
      <c r="SE5" t="s">
        <v>30</v>
      </c>
      <c r="SF5" t="s">
        <v>30</v>
      </c>
      <c r="SG5" t="s">
        <v>30</v>
      </c>
      <c r="SH5" t="s">
        <v>30</v>
      </c>
      <c r="SI5" t="s">
        <v>30</v>
      </c>
      <c r="SJ5" t="s">
        <v>30</v>
      </c>
      <c r="SK5" t="s">
        <v>30</v>
      </c>
      <c r="SL5" t="s">
        <v>30</v>
      </c>
      <c r="SM5" t="s">
        <v>30</v>
      </c>
      <c r="SN5" t="s">
        <v>30</v>
      </c>
      <c r="SO5" t="s">
        <v>30</v>
      </c>
      <c r="SP5" t="s">
        <v>30</v>
      </c>
      <c r="SQ5" t="s">
        <v>30</v>
      </c>
      <c r="SR5" t="s">
        <v>30</v>
      </c>
      <c r="SS5" t="s">
        <v>30</v>
      </c>
      <c r="ST5" t="s">
        <v>30</v>
      </c>
      <c r="SU5" t="s">
        <v>30</v>
      </c>
      <c r="SV5" t="s">
        <v>30</v>
      </c>
      <c r="SW5" t="s">
        <v>30</v>
      </c>
      <c r="SX5" t="s">
        <v>30</v>
      </c>
      <c r="SY5" t="s">
        <v>30</v>
      </c>
      <c r="SZ5" t="s">
        <v>30</v>
      </c>
      <c r="TA5" t="s">
        <v>30</v>
      </c>
      <c r="TB5" t="s">
        <v>30</v>
      </c>
      <c r="TC5" t="s">
        <v>30</v>
      </c>
      <c r="TD5" t="s">
        <v>30</v>
      </c>
      <c r="TE5" t="s">
        <v>30</v>
      </c>
      <c r="TF5" t="s">
        <v>30</v>
      </c>
      <c r="TG5" t="s">
        <v>30</v>
      </c>
      <c r="TH5" t="s">
        <v>30</v>
      </c>
      <c r="TI5" t="s">
        <v>30</v>
      </c>
      <c r="TJ5" t="s">
        <v>30</v>
      </c>
      <c r="TK5" t="s">
        <v>30</v>
      </c>
      <c r="TL5" t="s">
        <v>30</v>
      </c>
      <c r="TM5" t="s">
        <v>30</v>
      </c>
      <c r="TN5" t="s">
        <v>30</v>
      </c>
      <c r="TO5" t="s">
        <v>30</v>
      </c>
      <c r="TP5" t="s">
        <v>30</v>
      </c>
      <c r="TQ5" t="s">
        <v>30</v>
      </c>
      <c r="TR5" t="s">
        <v>30</v>
      </c>
      <c r="TS5" t="s">
        <v>30</v>
      </c>
      <c r="TT5" t="s">
        <v>30</v>
      </c>
      <c r="TU5" t="s">
        <v>30</v>
      </c>
      <c r="TV5" t="s">
        <v>30</v>
      </c>
      <c r="TW5" t="s">
        <v>30</v>
      </c>
      <c r="TX5" t="s">
        <v>30</v>
      </c>
      <c r="TY5" t="s">
        <v>30</v>
      </c>
      <c r="TZ5" t="s">
        <v>30</v>
      </c>
      <c r="UA5" t="s">
        <v>30</v>
      </c>
      <c r="UB5" t="s">
        <v>30</v>
      </c>
      <c r="UC5" t="s">
        <v>30</v>
      </c>
      <c r="UD5" t="s">
        <v>30</v>
      </c>
      <c r="UE5" t="s">
        <v>30</v>
      </c>
      <c r="UF5" t="s">
        <v>30</v>
      </c>
      <c r="UG5" t="s">
        <v>30</v>
      </c>
      <c r="UH5" t="s">
        <v>30</v>
      </c>
      <c r="UI5" t="s">
        <v>30</v>
      </c>
      <c r="UJ5" t="s">
        <v>30</v>
      </c>
      <c r="UK5" t="s">
        <v>30</v>
      </c>
      <c r="UL5" t="s">
        <v>30</v>
      </c>
      <c r="UM5" t="s">
        <v>30</v>
      </c>
      <c r="UN5" t="s">
        <v>30</v>
      </c>
      <c r="UO5" t="s">
        <v>30</v>
      </c>
      <c r="UP5" t="s">
        <v>30</v>
      </c>
      <c r="UQ5" t="s">
        <v>30</v>
      </c>
      <c r="UR5" t="s">
        <v>30</v>
      </c>
      <c r="US5" t="s">
        <v>30</v>
      </c>
      <c r="UT5" t="s">
        <v>30</v>
      </c>
      <c r="UU5" t="s">
        <v>30</v>
      </c>
      <c r="UV5" t="s">
        <v>30</v>
      </c>
      <c r="UW5" t="s">
        <v>30</v>
      </c>
      <c r="UX5" t="s">
        <v>30</v>
      </c>
      <c r="UY5" t="s">
        <v>30</v>
      </c>
      <c r="UZ5" t="s">
        <v>30</v>
      </c>
      <c r="VA5" t="s">
        <v>30</v>
      </c>
      <c r="VB5" t="s">
        <v>30</v>
      </c>
      <c r="VC5" t="s">
        <v>30</v>
      </c>
      <c r="VD5" t="s">
        <v>30</v>
      </c>
      <c r="VE5" t="s">
        <v>30</v>
      </c>
      <c r="VF5" t="s">
        <v>30</v>
      </c>
      <c r="VG5" t="s">
        <v>30</v>
      </c>
      <c r="VH5" t="s">
        <v>30</v>
      </c>
      <c r="VI5" t="s">
        <v>30</v>
      </c>
      <c r="VJ5" t="s">
        <v>30</v>
      </c>
      <c r="VK5" t="s">
        <v>30</v>
      </c>
      <c r="VL5" t="s">
        <v>30</v>
      </c>
      <c r="VM5" t="s">
        <v>30</v>
      </c>
      <c r="VN5" t="s">
        <v>30</v>
      </c>
      <c r="VO5" t="s">
        <v>30</v>
      </c>
      <c r="VP5" t="s">
        <v>30</v>
      </c>
      <c r="VQ5" t="s">
        <v>30</v>
      </c>
      <c r="VR5" t="s">
        <v>30</v>
      </c>
      <c r="VS5" t="s">
        <v>30</v>
      </c>
      <c r="VT5" t="s">
        <v>30</v>
      </c>
      <c r="VU5" t="s">
        <v>30</v>
      </c>
      <c r="VV5" t="s">
        <v>30</v>
      </c>
      <c r="VW5" t="s">
        <v>30</v>
      </c>
      <c r="VX5" t="s">
        <v>30</v>
      </c>
      <c r="VY5" t="s">
        <v>30</v>
      </c>
      <c r="VZ5" t="s">
        <v>30</v>
      </c>
      <c r="WA5" t="s">
        <v>30</v>
      </c>
      <c r="WB5" t="s">
        <v>30</v>
      </c>
      <c r="WC5" t="s">
        <v>30</v>
      </c>
      <c r="WD5" t="s">
        <v>30</v>
      </c>
      <c r="WE5" t="s">
        <v>30</v>
      </c>
      <c r="WF5" t="s">
        <v>30</v>
      </c>
      <c r="WG5" t="s">
        <v>30</v>
      </c>
      <c r="WH5" t="s">
        <v>30</v>
      </c>
      <c r="WI5" t="s">
        <v>30</v>
      </c>
      <c r="WJ5" t="s">
        <v>30</v>
      </c>
      <c r="WK5" t="s">
        <v>30</v>
      </c>
      <c r="WL5" t="s">
        <v>30</v>
      </c>
      <c r="WM5" t="s">
        <v>30</v>
      </c>
      <c r="WN5" t="s">
        <v>30</v>
      </c>
      <c r="WO5" t="s">
        <v>30</v>
      </c>
      <c r="WP5" t="s">
        <v>30</v>
      </c>
      <c r="WQ5" t="s">
        <v>30</v>
      </c>
      <c r="WR5" t="s">
        <v>30</v>
      </c>
      <c r="WS5" t="s">
        <v>30</v>
      </c>
      <c r="WT5" t="s">
        <v>30</v>
      </c>
      <c r="WU5" t="s">
        <v>30</v>
      </c>
      <c r="WV5" t="s">
        <v>30</v>
      </c>
      <c r="WW5" t="s">
        <v>30</v>
      </c>
      <c r="WX5" t="s">
        <v>30</v>
      </c>
      <c r="WY5" t="s">
        <v>30</v>
      </c>
      <c r="WZ5" t="s">
        <v>30</v>
      </c>
      <c r="XA5" t="s">
        <v>30</v>
      </c>
      <c r="XB5" t="s">
        <v>30</v>
      </c>
      <c r="XC5" t="s">
        <v>30</v>
      </c>
      <c r="XD5" t="s">
        <v>30</v>
      </c>
      <c r="XE5" t="s">
        <v>30</v>
      </c>
      <c r="XF5" t="s">
        <v>30</v>
      </c>
      <c r="XG5" t="s">
        <v>30</v>
      </c>
      <c r="XH5" t="s">
        <v>30</v>
      </c>
      <c r="XI5" t="s">
        <v>30</v>
      </c>
      <c r="XJ5" t="s">
        <v>30</v>
      </c>
      <c r="XK5" t="s">
        <v>30</v>
      </c>
      <c r="XL5" t="s">
        <v>30</v>
      </c>
      <c r="XM5" t="s">
        <v>30</v>
      </c>
      <c r="XN5" t="s">
        <v>30</v>
      </c>
      <c r="XO5" t="s">
        <v>30</v>
      </c>
      <c r="XP5" t="s">
        <v>30</v>
      </c>
      <c r="XQ5" t="s">
        <v>30</v>
      </c>
      <c r="XR5" t="s">
        <v>30</v>
      </c>
      <c r="XS5" t="s">
        <v>30</v>
      </c>
      <c r="XT5" t="s">
        <v>30</v>
      </c>
      <c r="XU5" t="s">
        <v>30</v>
      </c>
      <c r="XV5" t="s">
        <v>30</v>
      </c>
      <c r="XW5" t="s">
        <v>30</v>
      </c>
      <c r="XX5" t="s">
        <v>30</v>
      </c>
      <c r="XY5" t="s">
        <v>30</v>
      </c>
      <c r="XZ5" t="s">
        <v>30</v>
      </c>
      <c r="YA5" t="s">
        <v>30</v>
      </c>
      <c r="YB5" t="s">
        <v>30</v>
      </c>
      <c r="YC5" t="s">
        <v>30</v>
      </c>
      <c r="YD5" t="s">
        <v>30</v>
      </c>
      <c r="YE5" t="s">
        <v>30</v>
      </c>
      <c r="YF5" t="s">
        <v>30</v>
      </c>
      <c r="YG5" t="s">
        <v>30</v>
      </c>
      <c r="YH5" t="s">
        <v>30</v>
      </c>
      <c r="YI5" t="s">
        <v>30</v>
      </c>
      <c r="YJ5" t="s">
        <v>30</v>
      </c>
      <c r="YK5" t="s">
        <v>30</v>
      </c>
      <c r="YL5" t="s">
        <v>30</v>
      </c>
      <c r="YM5" t="s">
        <v>30</v>
      </c>
      <c r="YN5" t="s">
        <v>30</v>
      </c>
      <c r="YO5" t="s">
        <v>30</v>
      </c>
      <c r="YP5" t="s">
        <v>30</v>
      </c>
      <c r="YQ5" t="s">
        <v>30</v>
      </c>
      <c r="YR5" t="s">
        <v>30</v>
      </c>
      <c r="YS5" t="s">
        <v>30</v>
      </c>
      <c r="YT5" t="s">
        <v>30</v>
      </c>
      <c r="YU5" t="s">
        <v>30</v>
      </c>
      <c r="YV5" t="s">
        <v>30</v>
      </c>
      <c r="YW5" t="s">
        <v>30</v>
      </c>
      <c r="YX5" t="s">
        <v>30</v>
      </c>
      <c r="YY5" t="s">
        <v>30</v>
      </c>
      <c r="YZ5" t="s">
        <v>30</v>
      </c>
      <c r="ZA5" t="s">
        <v>30</v>
      </c>
      <c r="ZB5" t="s">
        <v>30</v>
      </c>
      <c r="ZC5" t="s">
        <v>30</v>
      </c>
      <c r="ZD5" t="s">
        <v>30</v>
      </c>
      <c r="ZE5" t="s">
        <v>30</v>
      </c>
      <c r="ZF5" t="s">
        <v>30</v>
      </c>
      <c r="ZG5" t="s">
        <v>30</v>
      </c>
      <c r="ZH5" t="s">
        <v>30</v>
      </c>
      <c r="ZI5" t="s">
        <v>30</v>
      </c>
      <c r="ZJ5" t="s">
        <v>30</v>
      </c>
      <c r="ZK5" t="s">
        <v>30</v>
      </c>
      <c r="ZL5" t="s">
        <v>30</v>
      </c>
      <c r="ZM5" t="s">
        <v>30</v>
      </c>
      <c r="ZN5" t="s">
        <v>30</v>
      </c>
      <c r="ZO5" t="s">
        <v>30</v>
      </c>
      <c r="ZP5" t="s">
        <v>30</v>
      </c>
      <c r="ZQ5" t="s">
        <v>78</v>
      </c>
      <c r="ZR5" t="s">
        <v>78</v>
      </c>
      <c r="ZS5" t="s">
        <v>78</v>
      </c>
      <c r="ZT5" t="s">
        <v>78</v>
      </c>
      <c r="ZU5" t="s">
        <v>78</v>
      </c>
      <c r="ZV5" t="s">
        <v>78</v>
      </c>
      <c r="ZW5" t="s">
        <v>78</v>
      </c>
      <c r="ZX5" t="s">
        <v>78</v>
      </c>
      <c r="ZY5" t="s">
        <v>78</v>
      </c>
      <c r="ZZ5" t="s">
        <v>78</v>
      </c>
      <c r="AAA5" t="s">
        <v>78</v>
      </c>
      <c r="AAB5" t="s">
        <v>78</v>
      </c>
      <c r="AAC5" t="s">
        <v>78</v>
      </c>
      <c r="AAD5" t="s">
        <v>78</v>
      </c>
      <c r="AAE5" t="s">
        <v>78</v>
      </c>
      <c r="AAF5" t="s">
        <v>78</v>
      </c>
      <c r="AAG5" t="s">
        <v>78</v>
      </c>
      <c r="AAH5" t="s">
        <v>78</v>
      </c>
      <c r="AAI5" t="s">
        <v>78</v>
      </c>
      <c r="AAJ5" t="s">
        <v>78</v>
      </c>
      <c r="AAK5" t="s">
        <v>78</v>
      </c>
      <c r="AAL5" t="s">
        <v>78</v>
      </c>
      <c r="AAM5" t="s">
        <v>78</v>
      </c>
      <c r="AAN5" t="s">
        <v>78</v>
      </c>
      <c r="AAO5" t="s">
        <v>78</v>
      </c>
      <c r="AAP5" t="s">
        <v>78</v>
      </c>
      <c r="AAQ5" t="s">
        <v>78</v>
      </c>
      <c r="AAR5" t="s">
        <v>78</v>
      </c>
      <c r="AAS5" t="s">
        <v>78</v>
      </c>
      <c r="AAT5" t="s">
        <v>78</v>
      </c>
      <c r="AAU5" t="s">
        <v>78</v>
      </c>
      <c r="AAV5" t="s">
        <v>78</v>
      </c>
      <c r="AAW5" t="s">
        <v>78</v>
      </c>
      <c r="AAX5" t="s">
        <v>78</v>
      </c>
      <c r="AAY5" t="s">
        <v>78</v>
      </c>
      <c r="AAZ5" t="s">
        <v>78</v>
      </c>
      <c r="ABA5" t="s">
        <v>78</v>
      </c>
      <c r="ABB5" t="s">
        <v>78</v>
      </c>
      <c r="ABC5" t="s">
        <v>78</v>
      </c>
      <c r="ABD5" t="s">
        <v>78</v>
      </c>
      <c r="ABE5" t="s">
        <v>78</v>
      </c>
      <c r="ABF5" t="s">
        <v>78</v>
      </c>
      <c r="ABG5" t="s">
        <v>78</v>
      </c>
      <c r="ABH5" t="s">
        <v>78</v>
      </c>
      <c r="ABI5" t="s">
        <v>78</v>
      </c>
      <c r="ABJ5" t="s">
        <v>78</v>
      </c>
      <c r="ABK5" t="s">
        <v>78</v>
      </c>
      <c r="ABL5" t="s">
        <v>78</v>
      </c>
      <c r="ABM5" t="s">
        <v>78</v>
      </c>
      <c r="ABN5" t="s">
        <v>78</v>
      </c>
      <c r="ABO5" t="s">
        <v>78</v>
      </c>
      <c r="ABP5" t="s">
        <v>78</v>
      </c>
      <c r="ABQ5" t="s">
        <v>78</v>
      </c>
      <c r="ABR5" t="s">
        <v>78</v>
      </c>
      <c r="ABS5" t="s">
        <v>78</v>
      </c>
      <c r="ABT5" t="s">
        <v>78</v>
      </c>
      <c r="ABU5" t="s">
        <v>78</v>
      </c>
      <c r="ABV5" t="s">
        <v>78</v>
      </c>
      <c r="ABW5" t="s">
        <v>78</v>
      </c>
      <c r="ABX5" t="s">
        <v>78</v>
      </c>
      <c r="ABY5" t="s">
        <v>78</v>
      </c>
      <c r="ABZ5" t="s">
        <v>78</v>
      </c>
      <c r="ACA5" t="s">
        <v>78</v>
      </c>
      <c r="ACB5" t="s">
        <v>78</v>
      </c>
      <c r="ACC5" t="s">
        <v>78</v>
      </c>
      <c r="ACD5" t="s">
        <v>78</v>
      </c>
      <c r="ACE5" t="s">
        <v>78</v>
      </c>
      <c r="ACF5" t="s">
        <v>78</v>
      </c>
      <c r="ACG5" t="s">
        <v>78</v>
      </c>
      <c r="ACH5" t="s">
        <v>78</v>
      </c>
      <c r="ACI5" t="s">
        <v>78</v>
      </c>
      <c r="ACJ5" t="s">
        <v>78</v>
      </c>
      <c r="ACK5" t="s">
        <v>78</v>
      </c>
      <c r="ACL5" t="s">
        <v>78</v>
      </c>
      <c r="ACM5" t="s">
        <v>78</v>
      </c>
      <c r="ACN5" t="s">
        <v>78</v>
      </c>
      <c r="ACO5" t="s">
        <v>78</v>
      </c>
      <c r="ACP5" t="s">
        <v>78</v>
      </c>
      <c r="ACQ5" t="s">
        <v>78</v>
      </c>
      <c r="ACR5" t="s">
        <v>78</v>
      </c>
      <c r="ACS5" t="s">
        <v>78</v>
      </c>
      <c r="ACT5" t="s">
        <v>78</v>
      </c>
      <c r="ACU5" t="s">
        <v>78</v>
      </c>
      <c r="ACV5" t="s">
        <v>78</v>
      </c>
      <c r="ACW5" t="s">
        <v>78</v>
      </c>
      <c r="ACX5" t="s">
        <v>78</v>
      </c>
      <c r="ACY5" t="s">
        <v>78</v>
      </c>
      <c r="ACZ5" t="s">
        <v>78</v>
      </c>
      <c r="ADA5" t="s">
        <v>78</v>
      </c>
      <c r="ADB5" t="s">
        <v>78</v>
      </c>
      <c r="ADC5" t="s">
        <v>78</v>
      </c>
      <c r="ADD5" t="s">
        <v>78</v>
      </c>
      <c r="ADE5" t="s">
        <v>78</v>
      </c>
      <c r="ADF5" t="s">
        <v>78</v>
      </c>
      <c r="ADG5" t="s">
        <v>78</v>
      </c>
      <c r="ADH5" t="s">
        <v>78</v>
      </c>
      <c r="ADI5" t="s">
        <v>78</v>
      </c>
      <c r="ADJ5" t="s">
        <v>78</v>
      </c>
      <c r="ADK5" t="s">
        <v>78</v>
      </c>
      <c r="ADL5" t="s">
        <v>78</v>
      </c>
      <c r="ADM5" t="s">
        <v>78</v>
      </c>
      <c r="ADN5" t="s">
        <v>78</v>
      </c>
      <c r="ADO5" t="s">
        <v>78</v>
      </c>
      <c r="ADP5" t="s">
        <v>78</v>
      </c>
      <c r="ADQ5" t="s">
        <v>78</v>
      </c>
      <c r="ADR5" t="s">
        <v>78</v>
      </c>
      <c r="ADS5" t="s">
        <v>78</v>
      </c>
      <c r="ADT5" t="s">
        <v>78</v>
      </c>
      <c r="ADU5" t="s">
        <v>78</v>
      </c>
      <c r="ADV5" t="s">
        <v>78</v>
      </c>
      <c r="ADW5" t="s">
        <v>78</v>
      </c>
      <c r="ADX5" t="s">
        <v>78</v>
      </c>
      <c r="ADY5" t="s">
        <v>78</v>
      </c>
      <c r="ADZ5" t="s">
        <v>78</v>
      </c>
      <c r="AEA5" t="s">
        <v>78</v>
      </c>
      <c r="AEB5" t="s">
        <v>78</v>
      </c>
      <c r="AEC5" t="s">
        <v>78</v>
      </c>
      <c r="AED5" t="s">
        <v>78</v>
      </c>
      <c r="AEE5" t="s">
        <v>78</v>
      </c>
      <c r="AEF5" t="s">
        <v>78</v>
      </c>
      <c r="AEG5" t="s">
        <v>78</v>
      </c>
      <c r="AEH5" t="s">
        <v>78</v>
      </c>
      <c r="AEI5" t="s">
        <v>78</v>
      </c>
      <c r="AEJ5" t="s">
        <v>78</v>
      </c>
      <c r="AEK5" t="s">
        <v>78</v>
      </c>
      <c r="AEL5" t="s">
        <v>78</v>
      </c>
      <c r="AEM5" t="s">
        <v>78</v>
      </c>
      <c r="AEN5" t="s">
        <v>78</v>
      </c>
      <c r="AEO5" t="s">
        <v>78</v>
      </c>
      <c r="AEP5" t="s">
        <v>78</v>
      </c>
      <c r="AEQ5" t="s">
        <v>78</v>
      </c>
      <c r="AER5" t="s">
        <v>78</v>
      </c>
      <c r="AES5" t="s">
        <v>78</v>
      </c>
      <c r="AET5" t="s">
        <v>78</v>
      </c>
      <c r="AEU5" t="s">
        <v>78</v>
      </c>
      <c r="AEV5" t="s">
        <v>78</v>
      </c>
      <c r="AEW5" t="s">
        <v>78</v>
      </c>
      <c r="AEX5" t="s">
        <v>78</v>
      </c>
      <c r="AEY5" t="s">
        <v>78</v>
      </c>
      <c r="AEZ5" t="s">
        <v>78</v>
      </c>
      <c r="AFA5" t="s">
        <v>78</v>
      </c>
      <c r="AFB5" t="s">
        <v>78</v>
      </c>
      <c r="AFC5" t="s">
        <v>78</v>
      </c>
      <c r="AFD5" t="s">
        <v>78</v>
      </c>
      <c r="AFE5" t="s">
        <v>78</v>
      </c>
      <c r="AFF5" t="s">
        <v>78</v>
      </c>
      <c r="AFG5" t="s">
        <v>78</v>
      </c>
      <c r="AFH5" t="s">
        <v>78</v>
      </c>
      <c r="AFI5" t="s">
        <v>78</v>
      </c>
      <c r="AFJ5" t="s">
        <v>78</v>
      </c>
      <c r="AFK5" t="s">
        <v>78</v>
      </c>
      <c r="AFL5" t="s">
        <v>78</v>
      </c>
      <c r="AFM5" t="s">
        <v>78</v>
      </c>
      <c r="AFN5" t="s">
        <v>78</v>
      </c>
      <c r="AFO5" t="s">
        <v>78</v>
      </c>
      <c r="AFP5" t="s">
        <v>78</v>
      </c>
      <c r="AFQ5" t="s">
        <v>78</v>
      </c>
      <c r="AFR5" t="s">
        <v>78</v>
      </c>
      <c r="AFS5" t="s">
        <v>78</v>
      </c>
      <c r="AFT5" t="s">
        <v>78</v>
      </c>
      <c r="AFU5" t="s">
        <v>78</v>
      </c>
      <c r="AFV5" t="s">
        <v>78</v>
      </c>
      <c r="AFW5" t="s">
        <v>78</v>
      </c>
      <c r="AFX5" t="s">
        <v>78</v>
      </c>
      <c r="AFY5" t="s">
        <v>78</v>
      </c>
      <c r="AFZ5" t="s">
        <v>78</v>
      </c>
      <c r="AGA5" t="s">
        <v>78</v>
      </c>
      <c r="AGB5" t="s">
        <v>78</v>
      </c>
      <c r="AGC5" t="s">
        <v>78</v>
      </c>
      <c r="AGD5" t="s">
        <v>78</v>
      </c>
      <c r="AGE5" t="s">
        <v>78</v>
      </c>
      <c r="AGF5" t="s">
        <v>78</v>
      </c>
      <c r="AGG5" t="s">
        <v>78</v>
      </c>
      <c r="AGH5" t="s">
        <v>78</v>
      </c>
      <c r="AGI5" t="s">
        <v>78</v>
      </c>
      <c r="AGJ5" t="s">
        <v>78</v>
      </c>
      <c r="AGK5" t="s">
        <v>78</v>
      </c>
      <c r="AGL5" t="s">
        <v>78</v>
      </c>
      <c r="AGM5" t="s">
        <v>78</v>
      </c>
      <c r="AGN5" t="s">
        <v>78</v>
      </c>
      <c r="AGO5" t="s">
        <v>78</v>
      </c>
      <c r="AGP5" t="s">
        <v>78</v>
      </c>
      <c r="AGQ5" t="s">
        <v>78</v>
      </c>
      <c r="AGR5" t="s">
        <v>78</v>
      </c>
      <c r="AGS5" t="s">
        <v>78</v>
      </c>
      <c r="AGT5" t="s">
        <v>78</v>
      </c>
      <c r="AGU5" t="s">
        <v>78</v>
      </c>
      <c r="AGV5" t="s">
        <v>78</v>
      </c>
      <c r="AGW5" t="s">
        <v>78</v>
      </c>
      <c r="AGX5" t="s">
        <v>78</v>
      </c>
      <c r="AGY5" t="s">
        <v>78</v>
      </c>
      <c r="AGZ5" t="s">
        <v>78</v>
      </c>
      <c r="AHA5" t="s">
        <v>78</v>
      </c>
      <c r="AHB5" t="s">
        <v>78</v>
      </c>
      <c r="AHC5" t="s">
        <v>78</v>
      </c>
      <c r="AHD5" t="s">
        <v>78</v>
      </c>
      <c r="AHE5" t="s">
        <v>78</v>
      </c>
      <c r="AHF5" t="s">
        <v>78</v>
      </c>
      <c r="AHG5" t="s">
        <v>78</v>
      </c>
      <c r="AHH5" t="s">
        <v>78</v>
      </c>
      <c r="AHI5" t="s">
        <v>78</v>
      </c>
      <c r="AHJ5" t="s">
        <v>78</v>
      </c>
      <c r="AHK5" t="s">
        <v>78</v>
      </c>
      <c r="AHL5" t="s">
        <v>78</v>
      </c>
      <c r="AHM5" t="s">
        <v>78</v>
      </c>
      <c r="AHN5" t="s">
        <v>78</v>
      </c>
      <c r="AHO5" t="s">
        <v>78</v>
      </c>
      <c r="AHP5" t="s">
        <v>78</v>
      </c>
      <c r="AHQ5" t="s">
        <v>78</v>
      </c>
      <c r="AHR5" t="s">
        <v>78</v>
      </c>
      <c r="AHS5" t="s">
        <v>78</v>
      </c>
      <c r="AHT5" t="s">
        <v>78</v>
      </c>
      <c r="AHU5" t="s">
        <v>78</v>
      </c>
      <c r="AHV5" t="s">
        <v>78</v>
      </c>
      <c r="AHW5" t="s">
        <v>78</v>
      </c>
      <c r="AHX5" t="s">
        <v>78</v>
      </c>
      <c r="AHY5" t="s">
        <v>78</v>
      </c>
      <c r="AHZ5" t="s">
        <v>78</v>
      </c>
      <c r="AIA5" t="s">
        <v>78</v>
      </c>
      <c r="AIB5" t="s">
        <v>78</v>
      </c>
      <c r="AIC5" t="s">
        <v>78</v>
      </c>
      <c r="AID5" t="s">
        <v>78</v>
      </c>
      <c r="AIE5" t="s">
        <v>78</v>
      </c>
      <c r="AIF5" t="s">
        <v>78</v>
      </c>
      <c r="AIG5" t="s">
        <v>78</v>
      </c>
      <c r="AIH5" t="s">
        <v>78</v>
      </c>
      <c r="AII5" t="s">
        <v>78</v>
      </c>
      <c r="AIJ5" t="s">
        <v>78</v>
      </c>
      <c r="AIK5" t="s">
        <v>78</v>
      </c>
      <c r="AIL5" t="s">
        <v>78</v>
      </c>
      <c r="AIM5" t="s">
        <v>78</v>
      </c>
      <c r="AIN5" t="s">
        <v>78</v>
      </c>
      <c r="AIO5" t="s">
        <v>78</v>
      </c>
      <c r="AIP5" t="s">
        <v>78</v>
      </c>
      <c r="AIQ5" t="s">
        <v>78</v>
      </c>
      <c r="AIR5" t="s">
        <v>78</v>
      </c>
      <c r="AIS5" t="s">
        <v>78</v>
      </c>
      <c r="AIT5" t="s">
        <v>78</v>
      </c>
      <c r="AIU5" t="s">
        <v>78</v>
      </c>
      <c r="AIV5" t="s">
        <v>78</v>
      </c>
      <c r="AIW5" t="s">
        <v>78</v>
      </c>
      <c r="AIX5" t="s">
        <v>78</v>
      </c>
      <c r="AIY5" t="s">
        <v>78</v>
      </c>
      <c r="AIZ5" t="s">
        <v>78</v>
      </c>
      <c r="AJA5" t="s">
        <v>78</v>
      </c>
      <c r="AJB5" t="s">
        <v>78</v>
      </c>
      <c r="AJC5" t="s">
        <v>78</v>
      </c>
      <c r="AJD5" t="s">
        <v>78</v>
      </c>
      <c r="AJE5" t="s">
        <v>78</v>
      </c>
      <c r="AJF5" t="s">
        <v>78</v>
      </c>
      <c r="AJG5" t="s">
        <v>78</v>
      </c>
      <c r="AJH5" t="s">
        <v>78</v>
      </c>
      <c r="AJI5" t="s">
        <v>78</v>
      </c>
      <c r="AJJ5" t="s">
        <v>78</v>
      </c>
      <c r="AJK5" t="s">
        <v>78</v>
      </c>
      <c r="AJL5" t="s">
        <v>78</v>
      </c>
      <c r="AJM5" t="s">
        <v>78</v>
      </c>
      <c r="AJN5" t="s">
        <v>78</v>
      </c>
      <c r="AJO5" t="s">
        <v>78</v>
      </c>
      <c r="AJP5" t="s">
        <v>78</v>
      </c>
      <c r="AJQ5" t="s">
        <v>78</v>
      </c>
      <c r="AJR5" t="s">
        <v>30</v>
      </c>
      <c r="AJS5" t="s">
        <v>30</v>
      </c>
      <c r="AJT5" t="s">
        <v>30</v>
      </c>
      <c r="AJU5" t="s">
        <v>30</v>
      </c>
      <c r="AJV5" t="s">
        <v>30</v>
      </c>
      <c r="AJW5" t="s">
        <v>30</v>
      </c>
      <c r="AJX5" t="s">
        <v>30</v>
      </c>
      <c r="AJY5" t="s">
        <v>30</v>
      </c>
      <c r="AJZ5" t="s">
        <v>30</v>
      </c>
      <c r="AKA5" t="s">
        <v>30</v>
      </c>
      <c r="AKB5" t="s">
        <v>30</v>
      </c>
      <c r="AKC5" t="s">
        <v>30</v>
      </c>
      <c r="AKD5" t="s">
        <v>30</v>
      </c>
      <c r="AKE5" t="s">
        <v>30</v>
      </c>
      <c r="AKF5" t="s">
        <v>30</v>
      </c>
      <c r="AKG5" t="s">
        <v>30</v>
      </c>
      <c r="AKH5" t="s">
        <v>78</v>
      </c>
      <c r="AKI5" t="s">
        <v>78</v>
      </c>
      <c r="AKJ5" t="s">
        <v>78</v>
      </c>
      <c r="AKK5" t="s">
        <v>78</v>
      </c>
      <c r="AKL5" t="s">
        <v>78</v>
      </c>
      <c r="AKM5" t="s">
        <v>78</v>
      </c>
      <c r="AKN5" t="s">
        <v>78</v>
      </c>
      <c r="AKO5" t="s">
        <v>78</v>
      </c>
      <c r="AKP5" t="s">
        <v>78</v>
      </c>
      <c r="AKQ5" t="s">
        <v>78</v>
      </c>
      <c r="AKR5" t="s">
        <v>78</v>
      </c>
      <c r="AKS5" t="s">
        <v>78</v>
      </c>
      <c r="AKT5" t="s">
        <v>78</v>
      </c>
      <c r="AKU5" t="s">
        <v>78</v>
      </c>
      <c r="AKV5" t="s">
        <v>78</v>
      </c>
      <c r="AKW5" t="s">
        <v>78</v>
      </c>
    </row>
    <row r="6" spans="1:985" ht="14.4" customHeight="1" x14ac:dyDescent="0.55000000000000004">
      <c r="A6" t="s">
        <v>409</v>
      </c>
      <c r="B6" t="s">
        <v>521</v>
      </c>
      <c r="C6" s="1" t="s">
        <v>691</v>
      </c>
      <c r="CA6" t="s">
        <v>96</v>
      </c>
      <c r="CB6" t="s">
        <v>97</v>
      </c>
      <c r="CC6" t="s">
        <v>2</v>
      </c>
      <c r="CD6" t="s">
        <v>98</v>
      </c>
      <c r="CE6" t="s">
        <v>99</v>
      </c>
      <c r="CF6" t="s">
        <v>100</v>
      </c>
      <c r="CG6" t="s">
        <v>101</v>
      </c>
      <c r="CH6" t="s">
        <v>102</v>
      </c>
      <c r="CI6" t="s">
        <v>103</v>
      </c>
      <c r="CJ6" t="s">
        <v>104</v>
      </c>
      <c r="CK6" t="s">
        <v>105</v>
      </c>
      <c r="CL6" t="s">
        <v>106</v>
      </c>
      <c r="CM6" t="s">
        <v>107</v>
      </c>
      <c r="CN6" t="s">
        <v>108</v>
      </c>
      <c r="CO6" t="s">
        <v>109</v>
      </c>
      <c r="CP6" t="s">
        <v>110</v>
      </c>
      <c r="CQ6" t="s">
        <v>111</v>
      </c>
      <c r="CR6" t="s">
        <v>112</v>
      </c>
      <c r="CS6" t="s">
        <v>113</v>
      </c>
      <c r="CT6" t="s">
        <v>114</v>
      </c>
      <c r="CU6" t="s">
        <v>115</v>
      </c>
      <c r="CV6" t="s">
        <v>116</v>
      </c>
      <c r="CW6" t="s">
        <v>117</v>
      </c>
      <c r="CX6" t="s">
        <v>118</v>
      </c>
      <c r="CY6" t="s">
        <v>119</v>
      </c>
      <c r="CZ6" t="s">
        <v>120</v>
      </c>
      <c r="DA6" t="s">
        <v>121</v>
      </c>
      <c r="DB6" t="s">
        <v>122</v>
      </c>
      <c r="DC6" t="s">
        <v>123</v>
      </c>
      <c r="DD6" t="s">
        <v>124</v>
      </c>
      <c r="DE6" t="s">
        <v>125</v>
      </c>
      <c r="DF6" t="s">
        <v>126</v>
      </c>
      <c r="DG6" t="s">
        <v>127</v>
      </c>
      <c r="DH6" t="s">
        <v>128</v>
      </c>
      <c r="DI6" t="s">
        <v>129</v>
      </c>
      <c r="DJ6" t="s">
        <v>130</v>
      </c>
      <c r="DK6" t="s">
        <v>131</v>
      </c>
      <c r="DL6" t="s">
        <v>132</v>
      </c>
      <c r="DM6" t="s">
        <v>133</v>
      </c>
      <c r="DN6" t="s">
        <v>134</v>
      </c>
      <c r="DO6" t="s">
        <v>135</v>
      </c>
      <c r="DP6" t="s">
        <v>136</v>
      </c>
      <c r="DQ6" t="s">
        <v>137</v>
      </c>
      <c r="DR6" t="s">
        <v>138</v>
      </c>
      <c r="DS6" t="s">
        <v>139</v>
      </c>
      <c r="DT6" t="s">
        <v>140</v>
      </c>
      <c r="DU6" t="s">
        <v>141</v>
      </c>
      <c r="DV6" t="s">
        <v>142</v>
      </c>
      <c r="DW6" t="s">
        <v>143</v>
      </c>
      <c r="DX6" t="s">
        <v>144</v>
      </c>
      <c r="DY6" t="s">
        <v>145</v>
      </c>
      <c r="DZ6" t="s">
        <v>146</v>
      </c>
      <c r="EA6" t="s">
        <v>147</v>
      </c>
      <c r="EB6" t="s">
        <v>96</v>
      </c>
      <c r="EC6" t="s">
        <v>97</v>
      </c>
      <c r="ED6" t="s">
        <v>2</v>
      </c>
      <c r="EE6" t="s">
        <v>98</v>
      </c>
      <c r="EF6" t="s">
        <v>99</v>
      </c>
      <c r="EG6" t="s">
        <v>100</v>
      </c>
      <c r="EH6" t="s">
        <v>101</v>
      </c>
      <c r="EI6" t="s">
        <v>102</v>
      </c>
      <c r="EJ6" t="s">
        <v>103</v>
      </c>
      <c r="EK6" t="s">
        <v>104</v>
      </c>
      <c r="EL6" t="s">
        <v>105</v>
      </c>
      <c r="EM6" t="s">
        <v>106</v>
      </c>
      <c r="EN6" t="s">
        <v>107</v>
      </c>
      <c r="EO6" t="s">
        <v>108</v>
      </c>
      <c r="EP6" t="s">
        <v>109</v>
      </c>
      <c r="EQ6" t="s">
        <v>110</v>
      </c>
      <c r="ER6" t="s">
        <v>111</v>
      </c>
      <c r="ES6" t="s">
        <v>112</v>
      </c>
      <c r="ET6" t="s">
        <v>113</v>
      </c>
      <c r="EU6" t="s">
        <v>114</v>
      </c>
      <c r="EV6" t="s">
        <v>115</v>
      </c>
      <c r="EW6" t="s">
        <v>116</v>
      </c>
      <c r="EX6" t="s">
        <v>117</v>
      </c>
      <c r="EY6" t="s">
        <v>118</v>
      </c>
      <c r="EZ6" t="s">
        <v>119</v>
      </c>
      <c r="FA6" t="s">
        <v>120</v>
      </c>
      <c r="FB6" t="s">
        <v>121</v>
      </c>
      <c r="FC6" t="s">
        <v>122</v>
      </c>
      <c r="FD6" t="s">
        <v>123</v>
      </c>
      <c r="FE6" t="s">
        <v>124</v>
      </c>
      <c r="FF6" t="s">
        <v>125</v>
      </c>
      <c r="FG6" t="s">
        <v>126</v>
      </c>
      <c r="FH6" t="s">
        <v>127</v>
      </c>
      <c r="FI6" t="s">
        <v>128</v>
      </c>
      <c r="FJ6" t="s">
        <v>129</v>
      </c>
      <c r="FK6" t="s">
        <v>130</v>
      </c>
      <c r="FL6" t="s">
        <v>131</v>
      </c>
      <c r="FM6" t="s">
        <v>132</v>
      </c>
      <c r="FN6" t="s">
        <v>133</v>
      </c>
      <c r="FO6" t="s">
        <v>134</v>
      </c>
      <c r="FP6" t="s">
        <v>135</v>
      </c>
      <c r="FQ6" t="s">
        <v>136</v>
      </c>
      <c r="FR6" t="s">
        <v>137</v>
      </c>
      <c r="FS6" t="s">
        <v>138</v>
      </c>
      <c r="FT6" t="s">
        <v>139</v>
      </c>
      <c r="FU6" t="s">
        <v>140</v>
      </c>
      <c r="FV6" t="s">
        <v>141</v>
      </c>
      <c r="FW6" t="s">
        <v>142</v>
      </c>
      <c r="FX6" t="s">
        <v>143</v>
      </c>
      <c r="FY6" t="s">
        <v>144</v>
      </c>
      <c r="FZ6" t="s">
        <v>145</v>
      </c>
      <c r="GA6" t="s">
        <v>146</v>
      </c>
      <c r="GB6" t="s">
        <v>147</v>
      </c>
      <c r="GC6" t="s">
        <v>96</v>
      </c>
      <c r="GD6" t="s">
        <v>97</v>
      </c>
      <c r="GE6" t="s">
        <v>2</v>
      </c>
      <c r="GF6" t="s">
        <v>98</v>
      </c>
      <c r="GG6" t="s">
        <v>99</v>
      </c>
      <c r="GH6" t="s">
        <v>100</v>
      </c>
      <c r="GI6" t="s">
        <v>101</v>
      </c>
      <c r="GJ6" t="s">
        <v>102</v>
      </c>
      <c r="GK6" t="s">
        <v>103</v>
      </c>
      <c r="GL6" t="s">
        <v>104</v>
      </c>
      <c r="GM6" t="s">
        <v>105</v>
      </c>
      <c r="GN6" t="s">
        <v>106</v>
      </c>
      <c r="GO6" t="s">
        <v>107</v>
      </c>
      <c r="GP6" t="s">
        <v>108</v>
      </c>
      <c r="GQ6" t="s">
        <v>109</v>
      </c>
      <c r="GR6" t="s">
        <v>110</v>
      </c>
      <c r="GS6" t="s">
        <v>111</v>
      </c>
      <c r="GT6" t="s">
        <v>112</v>
      </c>
      <c r="GU6" t="s">
        <v>113</v>
      </c>
      <c r="GV6" t="s">
        <v>114</v>
      </c>
      <c r="GW6" t="s">
        <v>115</v>
      </c>
      <c r="GX6" t="s">
        <v>116</v>
      </c>
      <c r="GY6" t="s">
        <v>117</v>
      </c>
      <c r="GZ6" t="s">
        <v>118</v>
      </c>
      <c r="HA6" t="s">
        <v>119</v>
      </c>
      <c r="HB6" t="s">
        <v>120</v>
      </c>
      <c r="HC6" t="s">
        <v>121</v>
      </c>
      <c r="HD6" t="s">
        <v>122</v>
      </c>
      <c r="HE6" t="s">
        <v>123</v>
      </c>
      <c r="HF6" t="s">
        <v>124</v>
      </c>
      <c r="HG6" t="s">
        <v>125</v>
      </c>
      <c r="HH6" t="s">
        <v>126</v>
      </c>
      <c r="HI6" t="s">
        <v>127</v>
      </c>
      <c r="HJ6" t="s">
        <v>128</v>
      </c>
      <c r="HK6" t="s">
        <v>129</v>
      </c>
      <c r="HL6" t="s">
        <v>130</v>
      </c>
      <c r="HM6" t="s">
        <v>131</v>
      </c>
      <c r="HN6" t="s">
        <v>132</v>
      </c>
      <c r="HO6" t="s">
        <v>133</v>
      </c>
      <c r="HP6" t="s">
        <v>134</v>
      </c>
      <c r="HQ6" t="s">
        <v>135</v>
      </c>
      <c r="HR6" t="s">
        <v>136</v>
      </c>
      <c r="HS6" t="s">
        <v>137</v>
      </c>
      <c r="HT6" t="s">
        <v>138</v>
      </c>
      <c r="HU6" t="s">
        <v>139</v>
      </c>
      <c r="HV6" t="s">
        <v>140</v>
      </c>
      <c r="HW6" t="s">
        <v>141</v>
      </c>
      <c r="HX6" t="s">
        <v>142</v>
      </c>
      <c r="HY6" t="s">
        <v>143</v>
      </c>
      <c r="HZ6" t="s">
        <v>144</v>
      </c>
      <c r="IA6" t="s">
        <v>145</v>
      </c>
      <c r="IB6" t="s">
        <v>146</v>
      </c>
      <c r="IC6" t="s">
        <v>147</v>
      </c>
      <c r="ID6" t="s">
        <v>148</v>
      </c>
      <c r="IE6" t="s">
        <v>149</v>
      </c>
      <c r="IF6" t="s">
        <v>150</v>
      </c>
      <c r="IG6" t="s">
        <v>151</v>
      </c>
      <c r="IH6" t="s">
        <v>152</v>
      </c>
      <c r="II6" t="s">
        <v>153</v>
      </c>
      <c r="IJ6" t="s">
        <v>154</v>
      </c>
      <c r="IK6" t="s">
        <v>155</v>
      </c>
      <c r="IL6" t="s">
        <v>156</v>
      </c>
      <c r="IM6" t="s">
        <v>157</v>
      </c>
      <c r="IN6" t="s">
        <v>158</v>
      </c>
      <c r="IO6" t="s">
        <v>159</v>
      </c>
      <c r="IP6" t="s">
        <v>160</v>
      </c>
      <c r="IQ6" t="s">
        <v>161</v>
      </c>
      <c r="IR6" t="s">
        <v>162</v>
      </c>
      <c r="IS6" t="s">
        <v>163</v>
      </c>
      <c r="IT6" t="s">
        <v>164</v>
      </c>
      <c r="IU6" t="s">
        <v>165</v>
      </c>
      <c r="IV6" t="s">
        <v>166</v>
      </c>
      <c r="IW6" t="s">
        <v>167</v>
      </c>
      <c r="IX6" t="s">
        <v>96</v>
      </c>
      <c r="IY6" t="s">
        <v>97</v>
      </c>
      <c r="IZ6" t="s">
        <v>2</v>
      </c>
      <c r="JA6" t="s">
        <v>98</v>
      </c>
      <c r="JB6" t="s">
        <v>99</v>
      </c>
      <c r="JC6" t="s">
        <v>100</v>
      </c>
      <c r="JD6" t="s">
        <v>101</v>
      </c>
      <c r="JE6" t="s">
        <v>102</v>
      </c>
      <c r="JF6" t="s">
        <v>103</v>
      </c>
      <c r="JG6" t="s">
        <v>104</v>
      </c>
      <c r="JH6" t="s">
        <v>105</v>
      </c>
      <c r="JI6" t="s">
        <v>106</v>
      </c>
      <c r="JJ6" t="s">
        <v>107</v>
      </c>
      <c r="JK6" t="s">
        <v>108</v>
      </c>
      <c r="JL6" t="s">
        <v>109</v>
      </c>
      <c r="JM6" t="s">
        <v>110</v>
      </c>
      <c r="JN6" t="s">
        <v>111</v>
      </c>
      <c r="JO6" t="s">
        <v>112</v>
      </c>
      <c r="JP6" t="s">
        <v>113</v>
      </c>
      <c r="JQ6" t="s">
        <v>114</v>
      </c>
      <c r="JR6" t="s">
        <v>115</v>
      </c>
      <c r="JS6" t="s">
        <v>116</v>
      </c>
      <c r="JT6" t="s">
        <v>117</v>
      </c>
      <c r="JU6" t="s">
        <v>118</v>
      </c>
      <c r="JV6" t="s">
        <v>119</v>
      </c>
      <c r="JW6" t="s">
        <v>120</v>
      </c>
      <c r="JX6" t="s">
        <v>121</v>
      </c>
      <c r="JY6" t="s">
        <v>122</v>
      </c>
      <c r="JZ6" t="s">
        <v>123</v>
      </c>
      <c r="KA6" t="s">
        <v>124</v>
      </c>
      <c r="KB6" t="s">
        <v>125</v>
      </c>
      <c r="KC6" t="s">
        <v>126</v>
      </c>
      <c r="KD6" t="s">
        <v>127</v>
      </c>
      <c r="KE6" t="s">
        <v>128</v>
      </c>
      <c r="KF6" t="s">
        <v>129</v>
      </c>
      <c r="KG6" t="s">
        <v>130</v>
      </c>
      <c r="KH6" t="s">
        <v>131</v>
      </c>
      <c r="KI6" t="s">
        <v>132</v>
      </c>
      <c r="KJ6" t="s">
        <v>133</v>
      </c>
      <c r="KK6" t="s">
        <v>134</v>
      </c>
      <c r="KL6" t="s">
        <v>135</v>
      </c>
      <c r="KM6" t="s">
        <v>136</v>
      </c>
      <c r="KN6" t="s">
        <v>137</v>
      </c>
      <c r="KO6" t="s">
        <v>138</v>
      </c>
      <c r="KP6" t="s">
        <v>139</v>
      </c>
      <c r="KQ6" t="s">
        <v>140</v>
      </c>
      <c r="KR6" t="s">
        <v>141</v>
      </c>
      <c r="KS6" t="s">
        <v>142</v>
      </c>
      <c r="KT6" t="s">
        <v>143</v>
      </c>
      <c r="KU6" t="s">
        <v>144</v>
      </c>
      <c r="KV6" t="s">
        <v>145</v>
      </c>
      <c r="KW6" t="s">
        <v>146</v>
      </c>
      <c r="KX6" t="s">
        <v>147</v>
      </c>
      <c r="KY6" t="s">
        <v>148</v>
      </c>
      <c r="KZ6" t="s">
        <v>149</v>
      </c>
      <c r="LA6" t="s">
        <v>150</v>
      </c>
      <c r="LB6" t="s">
        <v>151</v>
      </c>
      <c r="LC6" t="s">
        <v>152</v>
      </c>
      <c r="LD6" t="s">
        <v>153</v>
      </c>
      <c r="LE6" t="s">
        <v>154</v>
      </c>
      <c r="LF6" t="s">
        <v>155</v>
      </c>
      <c r="LG6" t="s">
        <v>156</v>
      </c>
      <c r="LH6" t="s">
        <v>157</v>
      </c>
      <c r="LI6" t="s">
        <v>158</v>
      </c>
      <c r="LJ6" t="s">
        <v>159</v>
      </c>
      <c r="LK6" t="s">
        <v>160</v>
      </c>
      <c r="LL6" t="s">
        <v>161</v>
      </c>
      <c r="LM6" t="s">
        <v>162</v>
      </c>
      <c r="LN6" t="s">
        <v>163</v>
      </c>
      <c r="LO6" t="s">
        <v>164</v>
      </c>
      <c r="LP6" t="s">
        <v>165</v>
      </c>
      <c r="LQ6" t="s">
        <v>166</v>
      </c>
      <c r="LR6" t="s">
        <v>167</v>
      </c>
      <c r="LS6" t="s">
        <v>168</v>
      </c>
      <c r="LT6" t="s">
        <v>169</v>
      </c>
      <c r="LU6" t="s">
        <v>170</v>
      </c>
      <c r="LV6" t="s">
        <v>171</v>
      </c>
      <c r="LW6" t="s">
        <v>172</v>
      </c>
      <c r="LX6" t="s">
        <v>173</v>
      </c>
      <c r="LY6" t="s">
        <v>174</v>
      </c>
      <c r="LZ6" t="s">
        <v>175</v>
      </c>
      <c r="MA6" t="s">
        <v>176</v>
      </c>
      <c r="MB6" t="s">
        <v>177</v>
      </c>
      <c r="MC6" t="s">
        <v>178</v>
      </c>
      <c r="MD6" t="s">
        <v>179</v>
      </c>
      <c r="ME6" t="s">
        <v>180</v>
      </c>
      <c r="MF6" t="s">
        <v>181</v>
      </c>
      <c r="MG6" t="s">
        <v>96</v>
      </c>
      <c r="MH6" t="s">
        <v>97</v>
      </c>
      <c r="MI6" t="s">
        <v>2</v>
      </c>
      <c r="MJ6" t="s">
        <v>98</v>
      </c>
      <c r="MK6" t="s">
        <v>99</v>
      </c>
      <c r="ML6" t="s">
        <v>100</v>
      </c>
      <c r="MM6" t="s">
        <v>101</v>
      </c>
      <c r="MN6" t="s">
        <v>102</v>
      </c>
      <c r="MO6" t="s">
        <v>103</v>
      </c>
      <c r="MP6" t="s">
        <v>104</v>
      </c>
      <c r="MQ6" t="s">
        <v>105</v>
      </c>
      <c r="MR6" t="s">
        <v>106</v>
      </c>
      <c r="MS6" t="s">
        <v>107</v>
      </c>
      <c r="MT6" t="s">
        <v>108</v>
      </c>
      <c r="MU6" t="s">
        <v>109</v>
      </c>
      <c r="MV6" t="s">
        <v>110</v>
      </c>
      <c r="MW6" t="s">
        <v>111</v>
      </c>
      <c r="MX6" t="s">
        <v>112</v>
      </c>
      <c r="MY6" t="s">
        <v>113</v>
      </c>
      <c r="MZ6" t="s">
        <v>114</v>
      </c>
      <c r="NA6" t="s">
        <v>115</v>
      </c>
      <c r="NB6" t="s">
        <v>116</v>
      </c>
      <c r="NC6" t="s">
        <v>117</v>
      </c>
      <c r="ND6" t="s">
        <v>118</v>
      </c>
      <c r="NE6" t="s">
        <v>119</v>
      </c>
      <c r="NF6" t="s">
        <v>120</v>
      </c>
      <c r="NG6" t="s">
        <v>121</v>
      </c>
      <c r="NH6" t="s">
        <v>122</v>
      </c>
      <c r="NI6" t="s">
        <v>123</v>
      </c>
      <c r="NJ6" t="s">
        <v>124</v>
      </c>
      <c r="NK6" t="s">
        <v>125</v>
      </c>
      <c r="NL6" t="s">
        <v>126</v>
      </c>
      <c r="NM6" t="s">
        <v>127</v>
      </c>
      <c r="NN6" t="s">
        <v>128</v>
      </c>
      <c r="NO6" t="s">
        <v>129</v>
      </c>
      <c r="NP6" t="s">
        <v>130</v>
      </c>
      <c r="NQ6" t="s">
        <v>131</v>
      </c>
      <c r="NR6" t="s">
        <v>132</v>
      </c>
      <c r="NS6" t="s">
        <v>133</v>
      </c>
      <c r="NT6" t="s">
        <v>134</v>
      </c>
      <c r="NU6" t="s">
        <v>135</v>
      </c>
      <c r="NV6" t="s">
        <v>136</v>
      </c>
      <c r="NW6" t="s">
        <v>137</v>
      </c>
      <c r="NX6" t="s">
        <v>138</v>
      </c>
      <c r="NY6" t="s">
        <v>139</v>
      </c>
      <c r="NZ6" t="s">
        <v>140</v>
      </c>
      <c r="OA6" t="s">
        <v>141</v>
      </c>
      <c r="OB6" t="s">
        <v>142</v>
      </c>
      <c r="OC6" t="s">
        <v>143</v>
      </c>
      <c r="OD6" t="s">
        <v>144</v>
      </c>
      <c r="OE6" t="s">
        <v>145</v>
      </c>
      <c r="OF6" t="s">
        <v>146</v>
      </c>
      <c r="OG6" t="s">
        <v>147</v>
      </c>
      <c r="OH6" t="s">
        <v>148</v>
      </c>
      <c r="OI6" t="s">
        <v>149</v>
      </c>
      <c r="OJ6" t="s">
        <v>150</v>
      </c>
      <c r="OK6" t="s">
        <v>151</v>
      </c>
      <c r="OL6" t="s">
        <v>152</v>
      </c>
      <c r="OM6" t="s">
        <v>153</v>
      </c>
      <c r="ON6" t="s">
        <v>154</v>
      </c>
      <c r="OO6" t="s">
        <v>155</v>
      </c>
      <c r="OP6" t="s">
        <v>156</v>
      </c>
      <c r="OQ6" t="s">
        <v>157</v>
      </c>
      <c r="OR6" t="s">
        <v>158</v>
      </c>
      <c r="OS6" t="s">
        <v>159</v>
      </c>
      <c r="OT6" t="s">
        <v>160</v>
      </c>
      <c r="OU6" t="s">
        <v>161</v>
      </c>
      <c r="OV6" t="s">
        <v>162</v>
      </c>
      <c r="OW6" t="s">
        <v>163</v>
      </c>
      <c r="OX6" t="s">
        <v>164</v>
      </c>
      <c r="OY6" t="s">
        <v>165</v>
      </c>
      <c r="OZ6" t="s">
        <v>166</v>
      </c>
      <c r="PA6" t="s">
        <v>167</v>
      </c>
      <c r="PB6" t="s">
        <v>168</v>
      </c>
      <c r="PC6" t="s">
        <v>169</v>
      </c>
      <c r="PD6" t="s">
        <v>170</v>
      </c>
      <c r="PE6" t="s">
        <v>171</v>
      </c>
      <c r="PF6" t="s">
        <v>172</v>
      </c>
      <c r="PG6" t="s">
        <v>173</v>
      </c>
      <c r="PH6" t="s">
        <v>174</v>
      </c>
      <c r="PI6" t="s">
        <v>175</v>
      </c>
      <c r="PJ6" t="s">
        <v>176</v>
      </c>
      <c r="PK6" t="s">
        <v>177</v>
      </c>
      <c r="PL6" t="s">
        <v>178</v>
      </c>
      <c r="PM6" t="s">
        <v>179</v>
      </c>
      <c r="PN6" t="s">
        <v>180</v>
      </c>
      <c r="PO6" t="s">
        <v>181</v>
      </c>
      <c r="PP6" t="s">
        <v>96</v>
      </c>
      <c r="PQ6" t="s">
        <v>97</v>
      </c>
      <c r="PR6" t="s">
        <v>2</v>
      </c>
      <c r="PS6" t="s">
        <v>98</v>
      </c>
      <c r="PT6" t="s">
        <v>99</v>
      </c>
      <c r="PU6" t="s">
        <v>100</v>
      </c>
      <c r="PV6" t="s">
        <v>101</v>
      </c>
      <c r="PW6" t="s">
        <v>102</v>
      </c>
      <c r="PX6" t="s">
        <v>103</v>
      </c>
      <c r="PY6" t="s">
        <v>104</v>
      </c>
      <c r="PZ6" t="s">
        <v>105</v>
      </c>
      <c r="QA6" t="s">
        <v>106</v>
      </c>
      <c r="QB6" t="s">
        <v>107</v>
      </c>
      <c r="QC6" t="s">
        <v>108</v>
      </c>
      <c r="QD6" t="s">
        <v>109</v>
      </c>
      <c r="QE6" t="s">
        <v>110</v>
      </c>
      <c r="QF6" t="s">
        <v>111</v>
      </c>
      <c r="QG6" t="s">
        <v>112</v>
      </c>
      <c r="QH6" t="s">
        <v>113</v>
      </c>
      <c r="QI6" t="s">
        <v>114</v>
      </c>
      <c r="QJ6" t="s">
        <v>115</v>
      </c>
      <c r="QK6" t="s">
        <v>116</v>
      </c>
      <c r="QL6" t="s">
        <v>117</v>
      </c>
      <c r="QM6" t="s">
        <v>118</v>
      </c>
      <c r="QN6" t="s">
        <v>119</v>
      </c>
      <c r="QO6" t="s">
        <v>120</v>
      </c>
      <c r="QP6" t="s">
        <v>121</v>
      </c>
      <c r="QQ6" t="s">
        <v>122</v>
      </c>
      <c r="QR6" t="s">
        <v>123</v>
      </c>
      <c r="QS6" t="s">
        <v>124</v>
      </c>
      <c r="QT6" t="s">
        <v>125</v>
      </c>
      <c r="QU6" t="s">
        <v>126</v>
      </c>
      <c r="QV6" t="s">
        <v>127</v>
      </c>
      <c r="QW6" t="s">
        <v>128</v>
      </c>
      <c r="QX6" t="s">
        <v>129</v>
      </c>
      <c r="QY6" t="s">
        <v>130</v>
      </c>
      <c r="QZ6" t="s">
        <v>131</v>
      </c>
      <c r="RA6" t="s">
        <v>132</v>
      </c>
      <c r="RB6" t="s">
        <v>133</v>
      </c>
      <c r="RC6" t="s">
        <v>134</v>
      </c>
      <c r="RD6" t="s">
        <v>135</v>
      </c>
      <c r="RE6" t="s">
        <v>136</v>
      </c>
      <c r="RF6" t="s">
        <v>137</v>
      </c>
      <c r="RG6" t="s">
        <v>138</v>
      </c>
      <c r="RH6" t="s">
        <v>139</v>
      </c>
      <c r="RI6" t="s">
        <v>140</v>
      </c>
      <c r="RJ6" t="s">
        <v>141</v>
      </c>
      <c r="RK6" t="s">
        <v>142</v>
      </c>
      <c r="RL6" t="s">
        <v>143</v>
      </c>
      <c r="RM6" t="s">
        <v>144</v>
      </c>
      <c r="RN6" t="s">
        <v>145</v>
      </c>
      <c r="RO6" t="s">
        <v>146</v>
      </c>
      <c r="RP6" t="s">
        <v>147</v>
      </c>
      <c r="RQ6" t="s">
        <v>148</v>
      </c>
      <c r="RR6" t="s">
        <v>149</v>
      </c>
      <c r="RS6" t="s">
        <v>150</v>
      </c>
      <c r="RT6" t="s">
        <v>151</v>
      </c>
      <c r="RU6" t="s">
        <v>152</v>
      </c>
      <c r="RV6" t="s">
        <v>153</v>
      </c>
      <c r="RW6" t="s">
        <v>154</v>
      </c>
      <c r="RX6" t="s">
        <v>155</v>
      </c>
      <c r="RY6" t="s">
        <v>156</v>
      </c>
      <c r="RZ6" t="s">
        <v>157</v>
      </c>
      <c r="SA6" t="s">
        <v>158</v>
      </c>
      <c r="SB6" t="s">
        <v>159</v>
      </c>
      <c r="SC6" t="s">
        <v>160</v>
      </c>
      <c r="SD6" t="s">
        <v>161</v>
      </c>
      <c r="SE6" t="s">
        <v>162</v>
      </c>
      <c r="SF6" t="s">
        <v>163</v>
      </c>
      <c r="SG6" t="s">
        <v>164</v>
      </c>
      <c r="SH6" t="s">
        <v>165</v>
      </c>
      <c r="SI6" t="s">
        <v>166</v>
      </c>
      <c r="SJ6" t="s">
        <v>167</v>
      </c>
      <c r="SK6" t="s">
        <v>168</v>
      </c>
      <c r="SL6" t="s">
        <v>169</v>
      </c>
      <c r="SM6" t="s">
        <v>170</v>
      </c>
      <c r="SN6" t="s">
        <v>171</v>
      </c>
      <c r="SO6" t="s">
        <v>172</v>
      </c>
      <c r="SP6" t="s">
        <v>173</v>
      </c>
      <c r="SQ6" t="s">
        <v>174</v>
      </c>
      <c r="SR6" t="s">
        <v>175</v>
      </c>
      <c r="SS6" t="s">
        <v>176</v>
      </c>
      <c r="ST6" t="s">
        <v>177</v>
      </c>
      <c r="SU6" t="s">
        <v>178</v>
      </c>
      <c r="SV6" t="s">
        <v>179</v>
      </c>
      <c r="SW6" t="s">
        <v>180</v>
      </c>
      <c r="SX6" t="s">
        <v>181</v>
      </c>
      <c r="SY6" t="s">
        <v>96</v>
      </c>
      <c r="SZ6" t="s">
        <v>97</v>
      </c>
      <c r="TA6" t="s">
        <v>2</v>
      </c>
      <c r="TB6" t="s">
        <v>98</v>
      </c>
      <c r="TC6" t="s">
        <v>99</v>
      </c>
      <c r="TD6" t="s">
        <v>100</v>
      </c>
      <c r="TE6" t="s">
        <v>101</v>
      </c>
      <c r="TF6" t="s">
        <v>102</v>
      </c>
      <c r="TG6" t="s">
        <v>103</v>
      </c>
      <c r="TH6" t="s">
        <v>104</v>
      </c>
      <c r="TI6" t="s">
        <v>105</v>
      </c>
      <c r="TJ6" t="s">
        <v>106</v>
      </c>
      <c r="TK6" t="s">
        <v>107</v>
      </c>
      <c r="TL6" t="s">
        <v>108</v>
      </c>
      <c r="TM6" t="s">
        <v>109</v>
      </c>
      <c r="TN6" t="s">
        <v>110</v>
      </c>
      <c r="TO6" t="s">
        <v>111</v>
      </c>
      <c r="TP6" t="s">
        <v>112</v>
      </c>
      <c r="TQ6" t="s">
        <v>113</v>
      </c>
      <c r="TR6" t="s">
        <v>114</v>
      </c>
      <c r="TS6" t="s">
        <v>115</v>
      </c>
      <c r="TT6" t="s">
        <v>116</v>
      </c>
      <c r="TU6" t="s">
        <v>117</v>
      </c>
      <c r="TV6" t="s">
        <v>118</v>
      </c>
      <c r="TW6" t="s">
        <v>119</v>
      </c>
      <c r="TX6" t="s">
        <v>120</v>
      </c>
      <c r="TY6" t="s">
        <v>121</v>
      </c>
      <c r="TZ6" t="s">
        <v>122</v>
      </c>
      <c r="UA6" t="s">
        <v>123</v>
      </c>
      <c r="UB6" t="s">
        <v>124</v>
      </c>
      <c r="UC6" t="s">
        <v>125</v>
      </c>
      <c r="UD6" t="s">
        <v>126</v>
      </c>
      <c r="UE6" t="s">
        <v>127</v>
      </c>
      <c r="UF6" t="s">
        <v>128</v>
      </c>
      <c r="UG6" t="s">
        <v>129</v>
      </c>
      <c r="UH6" t="s">
        <v>130</v>
      </c>
      <c r="UI6" t="s">
        <v>131</v>
      </c>
      <c r="UJ6" t="s">
        <v>132</v>
      </c>
      <c r="UK6" t="s">
        <v>133</v>
      </c>
      <c r="UL6" t="s">
        <v>134</v>
      </c>
      <c r="UM6" t="s">
        <v>135</v>
      </c>
      <c r="UN6" t="s">
        <v>136</v>
      </c>
      <c r="UO6" t="s">
        <v>137</v>
      </c>
      <c r="UP6" t="s">
        <v>138</v>
      </c>
      <c r="UQ6" t="s">
        <v>139</v>
      </c>
      <c r="UR6" t="s">
        <v>140</v>
      </c>
      <c r="US6" t="s">
        <v>141</v>
      </c>
      <c r="UT6" t="s">
        <v>142</v>
      </c>
      <c r="UU6" t="s">
        <v>143</v>
      </c>
      <c r="UV6" t="s">
        <v>144</v>
      </c>
      <c r="UW6" t="s">
        <v>145</v>
      </c>
      <c r="UX6" t="s">
        <v>146</v>
      </c>
      <c r="UY6" t="s">
        <v>147</v>
      </c>
      <c r="UZ6" t="s">
        <v>148</v>
      </c>
      <c r="VA6" t="s">
        <v>149</v>
      </c>
      <c r="VB6" t="s">
        <v>150</v>
      </c>
      <c r="VC6" t="s">
        <v>151</v>
      </c>
      <c r="VD6" t="s">
        <v>152</v>
      </c>
      <c r="VE6" t="s">
        <v>153</v>
      </c>
      <c r="VF6" t="s">
        <v>154</v>
      </c>
      <c r="VG6" t="s">
        <v>155</v>
      </c>
      <c r="VH6" t="s">
        <v>156</v>
      </c>
      <c r="VI6" t="s">
        <v>157</v>
      </c>
      <c r="VJ6" t="s">
        <v>158</v>
      </c>
      <c r="VK6" t="s">
        <v>159</v>
      </c>
      <c r="VL6" t="s">
        <v>160</v>
      </c>
      <c r="VM6" t="s">
        <v>161</v>
      </c>
      <c r="VN6" t="s">
        <v>162</v>
      </c>
      <c r="VO6" t="s">
        <v>163</v>
      </c>
      <c r="VP6" t="s">
        <v>164</v>
      </c>
      <c r="VQ6" t="s">
        <v>165</v>
      </c>
      <c r="VR6" t="s">
        <v>166</v>
      </c>
      <c r="VS6" t="s">
        <v>167</v>
      </c>
      <c r="VT6" t="s">
        <v>168</v>
      </c>
      <c r="VU6" t="s">
        <v>169</v>
      </c>
      <c r="VV6" t="s">
        <v>170</v>
      </c>
      <c r="VW6" t="s">
        <v>171</v>
      </c>
      <c r="VX6" t="s">
        <v>172</v>
      </c>
      <c r="VY6" t="s">
        <v>173</v>
      </c>
      <c r="VZ6" t="s">
        <v>174</v>
      </c>
      <c r="WA6" t="s">
        <v>175</v>
      </c>
      <c r="WB6" t="s">
        <v>176</v>
      </c>
      <c r="WC6" t="s">
        <v>177</v>
      </c>
      <c r="WD6" t="s">
        <v>178</v>
      </c>
      <c r="WE6" t="s">
        <v>179</v>
      </c>
      <c r="WF6" t="s">
        <v>180</v>
      </c>
      <c r="WG6" t="s">
        <v>181</v>
      </c>
      <c r="WH6" t="s">
        <v>96</v>
      </c>
      <c r="WI6" t="s">
        <v>97</v>
      </c>
      <c r="WJ6" t="s">
        <v>2</v>
      </c>
      <c r="WK6" t="s">
        <v>98</v>
      </c>
      <c r="WL6" t="s">
        <v>99</v>
      </c>
      <c r="WM6" t="s">
        <v>100</v>
      </c>
      <c r="WN6" t="s">
        <v>101</v>
      </c>
      <c r="WO6" t="s">
        <v>102</v>
      </c>
      <c r="WP6" t="s">
        <v>103</v>
      </c>
      <c r="WQ6" t="s">
        <v>104</v>
      </c>
      <c r="WR6" t="s">
        <v>105</v>
      </c>
      <c r="WS6" t="s">
        <v>106</v>
      </c>
      <c r="WT6" t="s">
        <v>107</v>
      </c>
      <c r="WU6" t="s">
        <v>108</v>
      </c>
      <c r="WV6" t="s">
        <v>109</v>
      </c>
      <c r="WW6" t="s">
        <v>110</v>
      </c>
      <c r="WX6" t="s">
        <v>111</v>
      </c>
      <c r="WY6" t="s">
        <v>112</v>
      </c>
      <c r="WZ6" t="s">
        <v>113</v>
      </c>
      <c r="XA6" t="s">
        <v>114</v>
      </c>
      <c r="XB6" t="s">
        <v>115</v>
      </c>
      <c r="XC6" t="s">
        <v>116</v>
      </c>
      <c r="XD6" t="s">
        <v>117</v>
      </c>
      <c r="XE6" t="s">
        <v>118</v>
      </c>
      <c r="XF6" t="s">
        <v>119</v>
      </c>
      <c r="XG6" t="s">
        <v>120</v>
      </c>
      <c r="XH6" t="s">
        <v>121</v>
      </c>
      <c r="XI6" t="s">
        <v>122</v>
      </c>
      <c r="XJ6" t="s">
        <v>123</v>
      </c>
      <c r="XK6" t="s">
        <v>124</v>
      </c>
      <c r="XL6" t="s">
        <v>125</v>
      </c>
      <c r="XM6" t="s">
        <v>126</v>
      </c>
      <c r="XN6" t="s">
        <v>127</v>
      </c>
      <c r="XO6" t="s">
        <v>128</v>
      </c>
      <c r="XP6" t="s">
        <v>129</v>
      </c>
      <c r="XQ6" t="s">
        <v>130</v>
      </c>
      <c r="XR6" t="s">
        <v>131</v>
      </c>
      <c r="XS6" t="s">
        <v>132</v>
      </c>
      <c r="XT6" t="s">
        <v>133</v>
      </c>
      <c r="XU6" t="s">
        <v>134</v>
      </c>
      <c r="XV6" t="s">
        <v>135</v>
      </c>
      <c r="XW6" t="s">
        <v>136</v>
      </c>
      <c r="XX6" t="s">
        <v>137</v>
      </c>
      <c r="XY6" t="s">
        <v>138</v>
      </c>
      <c r="XZ6" t="s">
        <v>139</v>
      </c>
      <c r="YA6" t="s">
        <v>140</v>
      </c>
      <c r="YB6" t="s">
        <v>141</v>
      </c>
      <c r="YC6" t="s">
        <v>142</v>
      </c>
      <c r="YD6" t="s">
        <v>143</v>
      </c>
      <c r="YE6" t="s">
        <v>144</v>
      </c>
      <c r="YF6" t="s">
        <v>145</v>
      </c>
      <c r="YG6" t="s">
        <v>146</v>
      </c>
      <c r="YH6" t="s">
        <v>147</v>
      </c>
      <c r="YI6" t="s">
        <v>148</v>
      </c>
      <c r="YJ6" t="s">
        <v>149</v>
      </c>
      <c r="YK6" t="s">
        <v>150</v>
      </c>
      <c r="YL6" t="s">
        <v>151</v>
      </c>
      <c r="YM6" t="s">
        <v>152</v>
      </c>
      <c r="YN6" t="s">
        <v>153</v>
      </c>
      <c r="YO6" t="s">
        <v>154</v>
      </c>
      <c r="YP6" t="s">
        <v>155</v>
      </c>
      <c r="YQ6" t="s">
        <v>156</v>
      </c>
      <c r="YR6" t="s">
        <v>157</v>
      </c>
      <c r="YS6" t="s">
        <v>158</v>
      </c>
      <c r="YT6" t="s">
        <v>159</v>
      </c>
      <c r="YU6" t="s">
        <v>160</v>
      </c>
      <c r="YV6" t="s">
        <v>161</v>
      </c>
      <c r="YW6" t="s">
        <v>162</v>
      </c>
      <c r="YX6" t="s">
        <v>163</v>
      </c>
      <c r="YY6" t="s">
        <v>164</v>
      </c>
      <c r="YZ6" t="s">
        <v>165</v>
      </c>
      <c r="ZA6" t="s">
        <v>166</v>
      </c>
      <c r="ZB6" t="s">
        <v>167</v>
      </c>
      <c r="ZC6" t="s">
        <v>168</v>
      </c>
      <c r="ZD6" t="s">
        <v>169</v>
      </c>
      <c r="ZE6" t="s">
        <v>170</v>
      </c>
      <c r="ZF6" t="s">
        <v>171</v>
      </c>
      <c r="ZG6" t="s">
        <v>172</v>
      </c>
      <c r="ZH6" t="s">
        <v>173</v>
      </c>
      <c r="ZI6" t="s">
        <v>174</v>
      </c>
      <c r="ZJ6" t="s">
        <v>175</v>
      </c>
      <c r="ZK6" t="s">
        <v>176</v>
      </c>
      <c r="ZL6" t="s">
        <v>177</v>
      </c>
      <c r="ZM6" t="s">
        <v>178</v>
      </c>
      <c r="ZN6" t="s">
        <v>179</v>
      </c>
      <c r="ZO6" t="s">
        <v>180</v>
      </c>
      <c r="ZP6" t="s">
        <v>181</v>
      </c>
      <c r="ZQ6" t="s">
        <v>96</v>
      </c>
      <c r="ZR6" t="s">
        <v>97</v>
      </c>
      <c r="ZS6" t="s">
        <v>2</v>
      </c>
      <c r="ZT6" t="s">
        <v>98</v>
      </c>
      <c r="ZU6" t="s">
        <v>99</v>
      </c>
      <c r="ZV6" t="s">
        <v>100</v>
      </c>
      <c r="ZW6" t="s">
        <v>101</v>
      </c>
      <c r="ZX6" t="s">
        <v>102</v>
      </c>
      <c r="ZY6" t="s">
        <v>103</v>
      </c>
      <c r="ZZ6" t="s">
        <v>104</v>
      </c>
      <c r="AAA6" t="s">
        <v>105</v>
      </c>
      <c r="AAB6" t="s">
        <v>106</v>
      </c>
      <c r="AAC6" t="s">
        <v>107</v>
      </c>
      <c r="AAD6" t="s">
        <v>108</v>
      </c>
      <c r="AAE6" t="s">
        <v>109</v>
      </c>
      <c r="AAF6" t="s">
        <v>110</v>
      </c>
      <c r="AAG6" t="s">
        <v>111</v>
      </c>
      <c r="AAH6" t="s">
        <v>112</v>
      </c>
      <c r="AAI6" t="s">
        <v>113</v>
      </c>
      <c r="AAJ6" t="s">
        <v>114</v>
      </c>
      <c r="AAK6" t="s">
        <v>115</v>
      </c>
      <c r="AAL6" t="s">
        <v>116</v>
      </c>
      <c r="AAM6" t="s">
        <v>117</v>
      </c>
      <c r="AAN6" t="s">
        <v>118</v>
      </c>
      <c r="AAO6" t="s">
        <v>119</v>
      </c>
      <c r="AAP6" t="s">
        <v>120</v>
      </c>
      <c r="AAQ6" t="s">
        <v>121</v>
      </c>
      <c r="AAR6" t="s">
        <v>122</v>
      </c>
      <c r="AAS6" t="s">
        <v>123</v>
      </c>
      <c r="AAT6" t="s">
        <v>124</v>
      </c>
      <c r="AAU6" t="s">
        <v>125</v>
      </c>
      <c r="AAV6" t="s">
        <v>126</v>
      </c>
      <c r="AAW6" t="s">
        <v>127</v>
      </c>
      <c r="AAX6" t="s">
        <v>128</v>
      </c>
      <c r="AAY6" t="s">
        <v>129</v>
      </c>
      <c r="AAZ6" t="s">
        <v>130</v>
      </c>
      <c r="ABA6" t="s">
        <v>131</v>
      </c>
      <c r="ABB6" t="s">
        <v>132</v>
      </c>
      <c r="ABC6" t="s">
        <v>133</v>
      </c>
      <c r="ABD6" t="s">
        <v>134</v>
      </c>
      <c r="ABE6" t="s">
        <v>135</v>
      </c>
      <c r="ABF6" t="s">
        <v>136</v>
      </c>
      <c r="ABG6" t="s">
        <v>137</v>
      </c>
      <c r="ABH6" t="s">
        <v>138</v>
      </c>
      <c r="ABI6" t="s">
        <v>139</v>
      </c>
      <c r="ABJ6" t="s">
        <v>140</v>
      </c>
      <c r="ABK6" t="s">
        <v>141</v>
      </c>
      <c r="ABL6" t="s">
        <v>142</v>
      </c>
      <c r="ABM6" t="s">
        <v>143</v>
      </c>
      <c r="ABN6" t="s">
        <v>144</v>
      </c>
      <c r="ABO6" t="s">
        <v>145</v>
      </c>
      <c r="ABP6" t="s">
        <v>146</v>
      </c>
      <c r="ABQ6" t="s">
        <v>147</v>
      </c>
      <c r="ABR6" t="s">
        <v>148</v>
      </c>
      <c r="ABS6" t="s">
        <v>149</v>
      </c>
      <c r="ABT6" t="s">
        <v>150</v>
      </c>
      <c r="ABU6" t="s">
        <v>151</v>
      </c>
      <c r="ABV6" t="s">
        <v>152</v>
      </c>
      <c r="ABW6" t="s">
        <v>153</v>
      </c>
      <c r="ABX6" t="s">
        <v>154</v>
      </c>
      <c r="ABY6" t="s">
        <v>155</v>
      </c>
      <c r="ABZ6" t="s">
        <v>156</v>
      </c>
      <c r="ACA6" t="s">
        <v>157</v>
      </c>
      <c r="ACB6" t="s">
        <v>158</v>
      </c>
      <c r="ACC6" t="s">
        <v>159</v>
      </c>
      <c r="ACD6" t="s">
        <v>160</v>
      </c>
      <c r="ACE6" t="s">
        <v>161</v>
      </c>
      <c r="ACF6" t="s">
        <v>162</v>
      </c>
      <c r="ACG6" t="s">
        <v>163</v>
      </c>
      <c r="ACH6" t="s">
        <v>164</v>
      </c>
      <c r="ACI6" t="s">
        <v>165</v>
      </c>
      <c r="ACJ6" t="s">
        <v>166</v>
      </c>
      <c r="ACK6" t="s">
        <v>167</v>
      </c>
      <c r="ACL6" t="s">
        <v>168</v>
      </c>
      <c r="ACM6" t="s">
        <v>169</v>
      </c>
      <c r="ACN6" t="s">
        <v>170</v>
      </c>
      <c r="ACO6" t="s">
        <v>171</v>
      </c>
      <c r="ACP6" t="s">
        <v>172</v>
      </c>
      <c r="ACQ6" t="s">
        <v>173</v>
      </c>
      <c r="ACR6" t="s">
        <v>174</v>
      </c>
      <c r="ACS6" t="s">
        <v>175</v>
      </c>
      <c r="ACT6" t="s">
        <v>176</v>
      </c>
      <c r="ACU6" t="s">
        <v>177</v>
      </c>
      <c r="ACV6" t="s">
        <v>178</v>
      </c>
      <c r="ACW6" t="s">
        <v>179</v>
      </c>
      <c r="ACX6" t="s">
        <v>180</v>
      </c>
      <c r="ACY6" t="s">
        <v>181</v>
      </c>
      <c r="ACZ6" t="s">
        <v>96</v>
      </c>
      <c r="ADA6" t="s">
        <v>97</v>
      </c>
      <c r="ADB6" t="s">
        <v>2</v>
      </c>
      <c r="ADC6" t="s">
        <v>98</v>
      </c>
      <c r="ADD6" t="s">
        <v>99</v>
      </c>
      <c r="ADE6" t="s">
        <v>100</v>
      </c>
      <c r="ADF6" t="s">
        <v>101</v>
      </c>
      <c r="ADG6" t="s">
        <v>102</v>
      </c>
      <c r="ADH6" t="s">
        <v>103</v>
      </c>
      <c r="ADI6" t="s">
        <v>104</v>
      </c>
      <c r="ADJ6" t="s">
        <v>105</v>
      </c>
      <c r="ADK6" t="s">
        <v>106</v>
      </c>
      <c r="ADL6" t="s">
        <v>107</v>
      </c>
      <c r="ADM6" t="s">
        <v>108</v>
      </c>
      <c r="ADN6" t="s">
        <v>109</v>
      </c>
      <c r="ADO6" t="s">
        <v>110</v>
      </c>
      <c r="ADP6" t="s">
        <v>111</v>
      </c>
      <c r="ADQ6" t="s">
        <v>112</v>
      </c>
      <c r="ADR6" t="s">
        <v>113</v>
      </c>
      <c r="ADS6" t="s">
        <v>114</v>
      </c>
      <c r="ADT6" t="s">
        <v>115</v>
      </c>
      <c r="ADU6" t="s">
        <v>116</v>
      </c>
      <c r="ADV6" t="s">
        <v>117</v>
      </c>
      <c r="ADW6" t="s">
        <v>118</v>
      </c>
      <c r="ADX6" t="s">
        <v>119</v>
      </c>
      <c r="ADY6" t="s">
        <v>120</v>
      </c>
      <c r="ADZ6" t="s">
        <v>121</v>
      </c>
      <c r="AEA6" t="s">
        <v>122</v>
      </c>
      <c r="AEB6" t="s">
        <v>123</v>
      </c>
      <c r="AEC6" t="s">
        <v>124</v>
      </c>
      <c r="AED6" t="s">
        <v>125</v>
      </c>
      <c r="AEE6" t="s">
        <v>126</v>
      </c>
      <c r="AEF6" t="s">
        <v>127</v>
      </c>
      <c r="AEG6" t="s">
        <v>128</v>
      </c>
      <c r="AEH6" t="s">
        <v>129</v>
      </c>
      <c r="AEI6" t="s">
        <v>130</v>
      </c>
      <c r="AEJ6" t="s">
        <v>131</v>
      </c>
      <c r="AEK6" t="s">
        <v>132</v>
      </c>
      <c r="AEL6" t="s">
        <v>133</v>
      </c>
      <c r="AEM6" t="s">
        <v>134</v>
      </c>
      <c r="AEN6" t="s">
        <v>135</v>
      </c>
      <c r="AEO6" t="s">
        <v>136</v>
      </c>
      <c r="AEP6" t="s">
        <v>137</v>
      </c>
      <c r="AEQ6" t="s">
        <v>138</v>
      </c>
      <c r="AER6" t="s">
        <v>139</v>
      </c>
      <c r="AES6" t="s">
        <v>140</v>
      </c>
      <c r="AET6" t="s">
        <v>141</v>
      </c>
      <c r="AEU6" t="s">
        <v>142</v>
      </c>
      <c r="AEV6" t="s">
        <v>143</v>
      </c>
      <c r="AEW6" t="s">
        <v>144</v>
      </c>
      <c r="AEX6" t="s">
        <v>145</v>
      </c>
      <c r="AEY6" t="s">
        <v>146</v>
      </c>
      <c r="AEZ6" t="s">
        <v>147</v>
      </c>
      <c r="AFA6" t="s">
        <v>148</v>
      </c>
      <c r="AFB6" t="s">
        <v>149</v>
      </c>
      <c r="AFC6" t="s">
        <v>150</v>
      </c>
      <c r="AFD6" t="s">
        <v>151</v>
      </c>
      <c r="AFE6" t="s">
        <v>152</v>
      </c>
      <c r="AFF6" t="s">
        <v>153</v>
      </c>
      <c r="AFG6" t="s">
        <v>154</v>
      </c>
      <c r="AFH6" t="s">
        <v>155</v>
      </c>
      <c r="AFI6" t="s">
        <v>156</v>
      </c>
      <c r="AFJ6" t="s">
        <v>157</v>
      </c>
      <c r="AFK6" t="s">
        <v>158</v>
      </c>
      <c r="AFL6" t="s">
        <v>159</v>
      </c>
      <c r="AFM6" t="s">
        <v>160</v>
      </c>
      <c r="AFN6" t="s">
        <v>161</v>
      </c>
      <c r="AFO6" t="s">
        <v>162</v>
      </c>
      <c r="AFP6" t="s">
        <v>163</v>
      </c>
      <c r="AFQ6" t="s">
        <v>164</v>
      </c>
      <c r="AFR6" t="s">
        <v>165</v>
      </c>
      <c r="AFS6" t="s">
        <v>166</v>
      </c>
      <c r="AFT6" t="s">
        <v>167</v>
      </c>
      <c r="AFU6" t="s">
        <v>168</v>
      </c>
      <c r="AFV6" t="s">
        <v>169</v>
      </c>
      <c r="AFW6" t="s">
        <v>170</v>
      </c>
      <c r="AFX6" t="s">
        <v>171</v>
      </c>
      <c r="AFY6" t="s">
        <v>172</v>
      </c>
      <c r="AFZ6" t="s">
        <v>173</v>
      </c>
      <c r="AGA6" t="s">
        <v>174</v>
      </c>
      <c r="AGB6" t="s">
        <v>175</v>
      </c>
      <c r="AGC6" t="s">
        <v>176</v>
      </c>
      <c r="AGD6" t="s">
        <v>177</v>
      </c>
      <c r="AGE6" t="s">
        <v>178</v>
      </c>
      <c r="AGF6" t="s">
        <v>179</v>
      </c>
      <c r="AGG6" t="s">
        <v>180</v>
      </c>
      <c r="AGH6" t="s">
        <v>181</v>
      </c>
      <c r="AGI6" t="s">
        <v>96</v>
      </c>
      <c r="AGJ6" t="s">
        <v>97</v>
      </c>
      <c r="AGK6" t="s">
        <v>2</v>
      </c>
      <c r="AGL6" t="s">
        <v>98</v>
      </c>
      <c r="AGM6" t="s">
        <v>99</v>
      </c>
      <c r="AGN6" t="s">
        <v>100</v>
      </c>
      <c r="AGO6" t="s">
        <v>101</v>
      </c>
      <c r="AGP6" t="s">
        <v>102</v>
      </c>
      <c r="AGQ6" t="s">
        <v>103</v>
      </c>
      <c r="AGR6" t="s">
        <v>104</v>
      </c>
      <c r="AGS6" t="s">
        <v>105</v>
      </c>
      <c r="AGT6" t="s">
        <v>106</v>
      </c>
      <c r="AGU6" t="s">
        <v>107</v>
      </c>
      <c r="AGV6" t="s">
        <v>108</v>
      </c>
      <c r="AGW6" t="s">
        <v>109</v>
      </c>
      <c r="AGX6" t="s">
        <v>110</v>
      </c>
      <c r="AGY6" t="s">
        <v>111</v>
      </c>
      <c r="AGZ6" t="s">
        <v>112</v>
      </c>
      <c r="AHA6" t="s">
        <v>113</v>
      </c>
      <c r="AHB6" t="s">
        <v>114</v>
      </c>
      <c r="AHC6" t="s">
        <v>115</v>
      </c>
      <c r="AHD6" t="s">
        <v>116</v>
      </c>
      <c r="AHE6" t="s">
        <v>117</v>
      </c>
      <c r="AHF6" t="s">
        <v>118</v>
      </c>
      <c r="AHG6" t="s">
        <v>119</v>
      </c>
      <c r="AHH6" t="s">
        <v>120</v>
      </c>
      <c r="AHI6" t="s">
        <v>121</v>
      </c>
      <c r="AHJ6" t="s">
        <v>122</v>
      </c>
      <c r="AHK6" t="s">
        <v>123</v>
      </c>
      <c r="AHL6" t="s">
        <v>124</v>
      </c>
      <c r="AHM6" t="s">
        <v>125</v>
      </c>
      <c r="AHN6" t="s">
        <v>126</v>
      </c>
      <c r="AHO6" t="s">
        <v>127</v>
      </c>
      <c r="AHP6" t="s">
        <v>128</v>
      </c>
      <c r="AHQ6" t="s">
        <v>129</v>
      </c>
      <c r="AHR6" t="s">
        <v>130</v>
      </c>
      <c r="AHS6" t="s">
        <v>131</v>
      </c>
      <c r="AHT6" t="s">
        <v>132</v>
      </c>
      <c r="AHU6" t="s">
        <v>133</v>
      </c>
      <c r="AHV6" t="s">
        <v>134</v>
      </c>
      <c r="AHW6" t="s">
        <v>135</v>
      </c>
      <c r="AHX6" t="s">
        <v>136</v>
      </c>
      <c r="AHY6" t="s">
        <v>137</v>
      </c>
      <c r="AHZ6" t="s">
        <v>138</v>
      </c>
      <c r="AIA6" t="s">
        <v>139</v>
      </c>
      <c r="AIB6" t="s">
        <v>140</v>
      </c>
      <c r="AIC6" t="s">
        <v>141</v>
      </c>
      <c r="AID6" t="s">
        <v>142</v>
      </c>
      <c r="AIE6" t="s">
        <v>143</v>
      </c>
      <c r="AIF6" t="s">
        <v>144</v>
      </c>
      <c r="AIG6" t="s">
        <v>145</v>
      </c>
      <c r="AIH6" t="s">
        <v>146</v>
      </c>
      <c r="AII6" t="s">
        <v>147</v>
      </c>
      <c r="AIJ6" t="s">
        <v>148</v>
      </c>
      <c r="AIK6" t="s">
        <v>149</v>
      </c>
      <c r="AIL6" t="s">
        <v>150</v>
      </c>
      <c r="AIM6" t="s">
        <v>151</v>
      </c>
      <c r="AIN6" t="s">
        <v>152</v>
      </c>
      <c r="AIO6" t="s">
        <v>153</v>
      </c>
      <c r="AIP6" t="s">
        <v>154</v>
      </c>
      <c r="AIQ6" t="s">
        <v>155</v>
      </c>
      <c r="AIR6" t="s">
        <v>156</v>
      </c>
      <c r="AIS6" t="s">
        <v>157</v>
      </c>
      <c r="AIT6" t="s">
        <v>158</v>
      </c>
      <c r="AIU6" t="s">
        <v>159</v>
      </c>
      <c r="AIV6" t="s">
        <v>160</v>
      </c>
      <c r="AIW6" t="s">
        <v>161</v>
      </c>
      <c r="AIX6" t="s">
        <v>162</v>
      </c>
      <c r="AIY6" t="s">
        <v>163</v>
      </c>
      <c r="AIZ6" t="s">
        <v>164</v>
      </c>
      <c r="AJA6" t="s">
        <v>165</v>
      </c>
      <c r="AJB6" t="s">
        <v>166</v>
      </c>
      <c r="AJC6" t="s">
        <v>167</v>
      </c>
      <c r="AJD6" t="s">
        <v>168</v>
      </c>
      <c r="AJE6" t="s">
        <v>169</v>
      </c>
      <c r="AJF6" t="s">
        <v>170</v>
      </c>
      <c r="AJG6" t="s">
        <v>171</v>
      </c>
      <c r="AJH6" t="s">
        <v>172</v>
      </c>
      <c r="AJI6" t="s">
        <v>173</v>
      </c>
      <c r="AJJ6" t="s">
        <v>174</v>
      </c>
      <c r="AJK6" t="s">
        <v>175</v>
      </c>
      <c r="AJL6" t="s">
        <v>176</v>
      </c>
      <c r="AJM6" t="s">
        <v>177</v>
      </c>
      <c r="AJN6" t="s">
        <v>178</v>
      </c>
      <c r="AJO6" t="s">
        <v>179</v>
      </c>
      <c r="AJP6" t="s">
        <v>180</v>
      </c>
      <c r="AJQ6" t="s">
        <v>181</v>
      </c>
      <c r="AKA6" t="s">
        <v>550</v>
      </c>
      <c r="AKB6" t="s">
        <v>550</v>
      </c>
      <c r="AKC6" t="s">
        <v>550</v>
      </c>
      <c r="AKD6" t="s">
        <v>550</v>
      </c>
      <c r="AKE6" t="s">
        <v>550</v>
      </c>
      <c r="AKF6" t="s">
        <v>550</v>
      </c>
      <c r="AKG6" t="s">
        <v>550</v>
      </c>
      <c r="AKH6" t="s">
        <v>500</v>
      </c>
      <c r="AKI6" t="s">
        <v>500</v>
      </c>
      <c r="AKJ6" t="s">
        <v>546</v>
      </c>
      <c r="AKK6" t="s">
        <v>546</v>
      </c>
      <c r="AKL6" t="s">
        <v>546</v>
      </c>
      <c r="AKM6" t="s">
        <v>546</v>
      </c>
      <c r="AKN6" t="s">
        <v>553</v>
      </c>
      <c r="AKO6" t="s">
        <v>553</v>
      </c>
      <c r="AKP6" t="s">
        <v>575</v>
      </c>
      <c r="AKQ6" t="s">
        <v>575</v>
      </c>
      <c r="AKR6" t="s">
        <v>575</v>
      </c>
      <c r="AKS6" t="s">
        <v>581</v>
      </c>
      <c r="AKT6" t="s">
        <v>586</v>
      </c>
      <c r="AKU6" t="s">
        <v>588</v>
      </c>
      <c r="AKV6" t="s">
        <v>588</v>
      </c>
      <c r="AKW6" t="s">
        <v>588</v>
      </c>
    </row>
    <row r="7" spans="1:985" ht="14.4" customHeight="1" x14ac:dyDescent="0.55000000000000004">
      <c r="A7" t="s">
        <v>29</v>
      </c>
      <c r="B7" t="s">
        <v>618</v>
      </c>
      <c r="C7" s="1" t="s">
        <v>692</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c r="AS7">
        <v>1</v>
      </c>
      <c r="AT7">
        <v>1</v>
      </c>
      <c r="AU7">
        <v>1</v>
      </c>
      <c r="AV7">
        <v>1</v>
      </c>
      <c r="AW7">
        <v>1</v>
      </c>
      <c r="AX7">
        <v>1</v>
      </c>
      <c r="AY7">
        <v>1</v>
      </c>
      <c r="AZ7">
        <v>1</v>
      </c>
      <c r="BA7">
        <v>1</v>
      </c>
      <c r="BB7">
        <v>1</v>
      </c>
      <c r="BC7">
        <v>1</v>
      </c>
      <c r="BD7">
        <v>1</v>
      </c>
      <c r="BE7">
        <v>1</v>
      </c>
      <c r="BF7">
        <v>1</v>
      </c>
      <c r="BG7">
        <v>0</v>
      </c>
      <c r="BH7">
        <v>0</v>
      </c>
      <c r="BI7">
        <v>0</v>
      </c>
      <c r="BJ7">
        <v>0</v>
      </c>
      <c r="BK7">
        <v>0</v>
      </c>
      <c r="BL7">
        <v>0</v>
      </c>
      <c r="BM7">
        <v>0</v>
      </c>
      <c r="BN7">
        <v>0</v>
      </c>
      <c r="BO7">
        <v>0</v>
      </c>
      <c r="BP7">
        <v>0</v>
      </c>
      <c r="BQ7">
        <v>0</v>
      </c>
      <c r="BR7">
        <v>0</v>
      </c>
      <c r="BS7">
        <v>0</v>
      </c>
      <c r="BT7">
        <v>0</v>
      </c>
      <c r="BU7">
        <v>0</v>
      </c>
      <c r="BV7">
        <v>0</v>
      </c>
      <c r="BW7">
        <v>0</v>
      </c>
      <c r="BX7">
        <v>0</v>
      </c>
      <c r="BY7">
        <v>0</v>
      </c>
      <c r="BZ7">
        <v>0</v>
      </c>
      <c r="CA7">
        <v>1</v>
      </c>
      <c r="CB7">
        <v>1</v>
      </c>
      <c r="CC7">
        <v>1</v>
      </c>
      <c r="CD7">
        <v>1</v>
      </c>
      <c r="CE7">
        <v>1</v>
      </c>
      <c r="CF7">
        <v>1</v>
      </c>
      <c r="CG7">
        <v>1</v>
      </c>
      <c r="CH7">
        <v>1</v>
      </c>
      <c r="CI7">
        <v>1</v>
      </c>
      <c r="CJ7">
        <v>1</v>
      </c>
      <c r="CK7">
        <v>1</v>
      </c>
      <c r="CL7">
        <v>1</v>
      </c>
      <c r="CM7">
        <v>1</v>
      </c>
      <c r="CN7">
        <v>1</v>
      </c>
      <c r="CO7">
        <v>1</v>
      </c>
      <c r="CP7">
        <v>1</v>
      </c>
      <c r="CQ7">
        <v>1</v>
      </c>
      <c r="CR7">
        <v>1</v>
      </c>
      <c r="CS7">
        <v>1</v>
      </c>
      <c r="CT7">
        <v>1</v>
      </c>
      <c r="CU7">
        <v>1</v>
      </c>
      <c r="CV7">
        <v>1</v>
      </c>
      <c r="CW7">
        <v>1</v>
      </c>
      <c r="CX7">
        <v>1</v>
      </c>
      <c r="CY7">
        <v>1</v>
      </c>
      <c r="CZ7">
        <v>1</v>
      </c>
      <c r="DA7">
        <v>1</v>
      </c>
      <c r="DB7">
        <v>1</v>
      </c>
      <c r="DC7">
        <v>1</v>
      </c>
      <c r="DD7">
        <v>1</v>
      </c>
      <c r="DE7">
        <v>1</v>
      </c>
      <c r="DF7">
        <v>1</v>
      </c>
      <c r="DG7">
        <v>1</v>
      </c>
      <c r="DH7">
        <v>1</v>
      </c>
      <c r="DI7">
        <v>1</v>
      </c>
      <c r="DJ7">
        <v>1</v>
      </c>
      <c r="DK7">
        <v>1</v>
      </c>
      <c r="DL7">
        <v>1</v>
      </c>
      <c r="DM7">
        <v>1</v>
      </c>
      <c r="DN7">
        <v>1</v>
      </c>
      <c r="DO7">
        <v>1</v>
      </c>
      <c r="DP7">
        <v>1</v>
      </c>
      <c r="DQ7">
        <v>1</v>
      </c>
      <c r="DR7">
        <v>1</v>
      </c>
      <c r="DS7">
        <v>1</v>
      </c>
      <c r="DT7">
        <v>1</v>
      </c>
      <c r="DU7">
        <v>1</v>
      </c>
      <c r="DV7">
        <v>1</v>
      </c>
      <c r="DW7">
        <v>1</v>
      </c>
      <c r="DX7">
        <v>1</v>
      </c>
      <c r="DY7">
        <v>1</v>
      </c>
      <c r="DZ7">
        <v>1</v>
      </c>
      <c r="EA7">
        <v>1</v>
      </c>
      <c r="EB7">
        <v>1</v>
      </c>
      <c r="EC7">
        <v>1</v>
      </c>
      <c r="ED7">
        <v>1</v>
      </c>
      <c r="EE7">
        <v>1</v>
      </c>
      <c r="EF7">
        <v>1</v>
      </c>
      <c r="EG7">
        <v>1</v>
      </c>
      <c r="EH7">
        <v>1</v>
      </c>
      <c r="EI7">
        <v>1</v>
      </c>
      <c r="EJ7">
        <v>1</v>
      </c>
      <c r="EK7">
        <v>1</v>
      </c>
      <c r="EL7">
        <v>1</v>
      </c>
      <c r="EM7">
        <v>1</v>
      </c>
      <c r="EN7">
        <v>1</v>
      </c>
      <c r="EO7">
        <v>1</v>
      </c>
      <c r="EP7">
        <v>1</v>
      </c>
      <c r="EQ7">
        <v>1</v>
      </c>
      <c r="ER7">
        <v>1</v>
      </c>
      <c r="ES7">
        <v>1</v>
      </c>
      <c r="ET7">
        <v>1</v>
      </c>
      <c r="EU7">
        <v>1</v>
      </c>
      <c r="EV7">
        <v>1</v>
      </c>
      <c r="EW7">
        <v>1</v>
      </c>
      <c r="EX7">
        <v>1</v>
      </c>
      <c r="EY7">
        <v>1</v>
      </c>
      <c r="EZ7">
        <v>1</v>
      </c>
      <c r="FA7">
        <v>1</v>
      </c>
      <c r="FB7">
        <v>1</v>
      </c>
      <c r="FC7">
        <v>1</v>
      </c>
      <c r="FD7">
        <v>1</v>
      </c>
      <c r="FE7">
        <v>1</v>
      </c>
      <c r="FF7">
        <v>1</v>
      </c>
      <c r="FG7">
        <v>1</v>
      </c>
      <c r="FH7">
        <v>1</v>
      </c>
      <c r="FI7">
        <v>1</v>
      </c>
      <c r="FJ7">
        <v>1</v>
      </c>
      <c r="FK7">
        <v>1</v>
      </c>
      <c r="FL7">
        <v>1</v>
      </c>
      <c r="FM7">
        <v>1</v>
      </c>
      <c r="FN7">
        <v>1</v>
      </c>
      <c r="FO7">
        <v>1</v>
      </c>
      <c r="FP7">
        <v>1</v>
      </c>
      <c r="FQ7">
        <v>1</v>
      </c>
      <c r="FR7">
        <v>1</v>
      </c>
      <c r="FS7">
        <v>1</v>
      </c>
      <c r="FT7">
        <v>1</v>
      </c>
      <c r="FU7">
        <v>1</v>
      </c>
      <c r="FV7">
        <v>1</v>
      </c>
      <c r="FW7">
        <v>1</v>
      </c>
      <c r="FX7">
        <v>1</v>
      </c>
      <c r="FY7">
        <v>1</v>
      </c>
      <c r="FZ7">
        <v>1</v>
      </c>
      <c r="GA7">
        <v>1</v>
      </c>
      <c r="GB7">
        <v>1</v>
      </c>
      <c r="GC7">
        <v>1</v>
      </c>
      <c r="GD7">
        <v>1</v>
      </c>
      <c r="GE7">
        <v>1</v>
      </c>
      <c r="GF7">
        <v>1</v>
      </c>
      <c r="GG7">
        <v>1</v>
      </c>
      <c r="GH7">
        <v>1</v>
      </c>
      <c r="GI7">
        <v>1</v>
      </c>
      <c r="GJ7">
        <v>1</v>
      </c>
      <c r="GK7">
        <v>1</v>
      </c>
      <c r="GL7">
        <v>1</v>
      </c>
      <c r="GM7">
        <v>1</v>
      </c>
      <c r="GN7">
        <v>1</v>
      </c>
      <c r="GO7">
        <v>1</v>
      </c>
      <c r="GP7">
        <v>1</v>
      </c>
      <c r="GQ7">
        <v>1</v>
      </c>
      <c r="GR7">
        <v>1</v>
      </c>
      <c r="GS7">
        <v>1</v>
      </c>
      <c r="GT7">
        <v>1</v>
      </c>
      <c r="GU7">
        <v>1</v>
      </c>
      <c r="GV7">
        <v>1</v>
      </c>
      <c r="GW7">
        <v>1</v>
      </c>
      <c r="GX7">
        <v>1</v>
      </c>
      <c r="GY7">
        <v>1</v>
      </c>
      <c r="GZ7">
        <v>1</v>
      </c>
      <c r="HA7">
        <v>1</v>
      </c>
      <c r="HB7">
        <v>1</v>
      </c>
      <c r="HC7">
        <v>1</v>
      </c>
      <c r="HD7">
        <v>1</v>
      </c>
      <c r="HE7">
        <v>1</v>
      </c>
      <c r="HF7">
        <v>1</v>
      </c>
      <c r="HG7">
        <v>1</v>
      </c>
      <c r="HH7">
        <v>1</v>
      </c>
      <c r="HI7">
        <v>1</v>
      </c>
      <c r="HJ7">
        <v>1</v>
      </c>
      <c r="HK7">
        <v>1</v>
      </c>
      <c r="HL7">
        <v>1</v>
      </c>
      <c r="HM7">
        <v>1</v>
      </c>
      <c r="HN7">
        <v>1</v>
      </c>
      <c r="HO7">
        <v>1</v>
      </c>
      <c r="HP7">
        <v>1</v>
      </c>
      <c r="HQ7">
        <v>1</v>
      </c>
      <c r="HR7">
        <v>1</v>
      </c>
      <c r="HS7">
        <v>1</v>
      </c>
      <c r="HT7">
        <v>1</v>
      </c>
      <c r="HU7">
        <v>1</v>
      </c>
      <c r="HV7">
        <v>1</v>
      </c>
      <c r="HW7">
        <v>1</v>
      </c>
      <c r="HX7">
        <v>1</v>
      </c>
      <c r="HY7">
        <v>1</v>
      </c>
      <c r="HZ7">
        <v>1</v>
      </c>
      <c r="IA7">
        <v>1</v>
      </c>
      <c r="IB7">
        <v>1</v>
      </c>
      <c r="IC7">
        <v>1</v>
      </c>
      <c r="ID7">
        <v>1</v>
      </c>
      <c r="IE7">
        <v>1</v>
      </c>
      <c r="IF7">
        <v>1</v>
      </c>
      <c r="IG7">
        <v>1</v>
      </c>
      <c r="IH7">
        <v>1</v>
      </c>
      <c r="II7">
        <v>1</v>
      </c>
      <c r="IJ7">
        <v>1</v>
      </c>
      <c r="IK7">
        <v>1</v>
      </c>
      <c r="IL7">
        <v>1</v>
      </c>
      <c r="IM7">
        <v>1</v>
      </c>
      <c r="IN7">
        <v>1</v>
      </c>
      <c r="IO7">
        <v>1</v>
      </c>
      <c r="IP7">
        <v>1</v>
      </c>
      <c r="IQ7">
        <v>1</v>
      </c>
      <c r="IR7">
        <v>1</v>
      </c>
      <c r="IS7">
        <v>1</v>
      </c>
      <c r="IT7">
        <v>1</v>
      </c>
      <c r="IU7">
        <v>1</v>
      </c>
      <c r="IV7">
        <v>1</v>
      </c>
      <c r="IW7">
        <v>1</v>
      </c>
      <c r="IX7">
        <v>1</v>
      </c>
      <c r="IY7">
        <v>1</v>
      </c>
      <c r="IZ7">
        <v>1</v>
      </c>
      <c r="JA7">
        <v>1</v>
      </c>
      <c r="JB7">
        <v>1</v>
      </c>
      <c r="JC7">
        <v>1</v>
      </c>
      <c r="JD7">
        <v>1</v>
      </c>
      <c r="JE7">
        <v>1</v>
      </c>
      <c r="JF7">
        <v>1</v>
      </c>
      <c r="JG7">
        <v>1</v>
      </c>
      <c r="JH7">
        <v>1</v>
      </c>
      <c r="JI7">
        <v>1</v>
      </c>
      <c r="JJ7">
        <v>1</v>
      </c>
      <c r="JK7">
        <v>1</v>
      </c>
      <c r="JL7">
        <v>1</v>
      </c>
      <c r="JM7">
        <v>1</v>
      </c>
      <c r="JN7">
        <v>1</v>
      </c>
      <c r="JO7">
        <v>1</v>
      </c>
      <c r="JP7">
        <v>1</v>
      </c>
      <c r="JQ7">
        <v>1</v>
      </c>
      <c r="JR7">
        <v>1</v>
      </c>
      <c r="JS7">
        <v>1</v>
      </c>
      <c r="JT7">
        <v>1</v>
      </c>
      <c r="JU7">
        <v>1</v>
      </c>
      <c r="JV7">
        <v>1</v>
      </c>
      <c r="JW7">
        <v>1</v>
      </c>
      <c r="JX7">
        <v>1</v>
      </c>
      <c r="JY7">
        <v>1</v>
      </c>
      <c r="JZ7">
        <v>1</v>
      </c>
      <c r="KA7">
        <v>1</v>
      </c>
      <c r="KB7">
        <v>1</v>
      </c>
      <c r="KC7">
        <v>1</v>
      </c>
      <c r="KD7">
        <v>1</v>
      </c>
      <c r="KE7">
        <v>1</v>
      </c>
      <c r="KF7">
        <v>1</v>
      </c>
      <c r="KG7">
        <v>1</v>
      </c>
      <c r="KH7">
        <v>1</v>
      </c>
      <c r="KI7">
        <v>1</v>
      </c>
      <c r="KJ7">
        <v>1</v>
      </c>
      <c r="KK7">
        <v>1</v>
      </c>
      <c r="KL7">
        <v>1</v>
      </c>
      <c r="KM7">
        <v>1</v>
      </c>
      <c r="KN7">
        <v>1</v>
      </c>
      <c r="KO7">
        <v>1</v>
      </c>
      <c r="KP7">
        <v>1</v>
      </c>
      <c r="KQ7">
        <v>1</v>
      </c>
      <c r="KR7">
        <v>1</v>
      </c>
      <c r="KS7">
        <v>1</v>
      </c>
      <c r="KT7">
        <v>1</v>
      </c>
      <c r="KU7">
        <v>1</v>
      </c>
      <c r="KV7">
        <v>1</v>
      </c>
      <c r="KW7">
        <v>1</v>
      </c>
      <c r="KX7">
        <v>1</v>
      </c>
      <c r="KY7">
        <v>1</v>
      </c>
      <c r="KZ7">
        <v>1</v>
      </c>
      <c r="LA7">
        <v>1</v>
      </c>
      <c r="LB7">
        <v>1</v>
      </c>
      <c r="LC7">
        <v>1</v>
      </c>
      <c r="LD7">
        <v>1</v>
      </c>
      <c r="LE7">
        <v>1</v>
      </c>
      <c r="LF7">
        <v>1</v>
      </c>
      <c r="LG7">
        <v>1</v>
      </c>
      <c r="LH7">
        <v>1</v>
      </c>
      <c r="LI7">
        <v>1</v>
      </c>
      <c r="LJ7">
        <v>1</v>
      </c>
      <c r="LK7">
        <v>1</v>
      </c>
      <c r="LL7">
        <v>1</v>
      </c>
      <c r="LM7">
        <v>1</v>
      </c>
      <c r="LN7">
        <v>1</v>
      </c>
      <c r="LO7">
        <v>1</v>
      </c>
      <c r="LP7">
        <v>1</v>
      </c>
      <c r="LQ7">
        <v>1</v>
      </c>
      <c r="LR7">
        <v>1</v>
      </c>
      <c r="LS7">
        <v>1</v>
      </c>
      <c r="LT7">
        <v>1</v>
      </c>
      <c r="LU7">
        <v>1</v>
      </c>
      <c r="LV7">
        <v>1</v>
      </c>
      <c r="LW7">
        <v>1</v>
      </c>
      <c r="LX7">
        <v>1</v>
      </c>
      <c r="LY7">
        <v>1</v>
      </c>
      <c r="LZ7">
        <v>1</v>
      </c>
      <c r="MA7">
        <v>1</v>
      </c>
      <c r="MB7">
        <v>1</v>
      </c>
      <c r="MC7">
        <v>1</v>
      </c>
      <c r="MD7">
        <v>1</v>
      </c>
      <c r="ME7">
        <v>1</v>
      </c>
      <c r="MF7">
        <v>1</v>
      </c>
      <c r="MG7">
        <v>1</v>
      </c>
      <c r="MH7">
        <v>1</v>
      </c>
      <c r="MI7">
        <v>1</v>
      </c>
      <c r="MJ7">
        <v>1</v>
      </c>
      <c r="MK7">
        <v>1</v>
      </c>
      <c r="ML7">
        <v>1</v>
      </c>
      <c r="MM7">
        <v>1</v>
      </c>
      <c r="MN7">
        <v>1</v>
      </c>
      <c r="MO7">
        <v>1</v>
      </c>
      <c r="MP7">
        <v>1</v>
      </c>
      <c r="MQ7">
        <v>1</v>
      </c>
      <c r="MR7">
        <v>1</v>
      </c>
      <c r="MS7">
        <v>1</v>
      </c>
      <c r="MT7">
        <v>1</v>
      </c>
      <c r="MU7">
        <v>1</v>
      </c>
      <c r="MV7">
        <v>1</v>
      </c>
      <c r="MW7">
        <v>1</v>
      </c>
      <c r="MX7">
        <v>1</v>
      </c>
      <c r="MY7">
        <v>1</v>
      </c>
      <c r="MZ7">
        <v>1</v>
      </c>
      <c r="NA7">
        <v>1</v>
      </c>
      <c r="NB7">
        <v>1</v>
      </c>
      <c r="NC7">
        <v>1</v>
      </c>
      <c r="ND7">
        <v>1</v>
      </c>
      <c r="NE7">
        <v>1</v>
      </c>
      <c r="NF7">
        <v>1</v>
      </c>
      <c r="NG7">
        <v>1</v>
      </c>
      <c r="NH7">
        <v>1</v>
      </c>
      <c r="NI7">
        <v>1</v>
      </c>
      <c r="NJ7">
        <v>1</v>
      </c>
      <c r="NK7">
        <v>1</v>
      </c>
      <c r="NL7">
        <v>1</v>
      </c>
      <c r="NM7">
        <v>1</v>
      </c>
      <c r="NN7">
        <v>1</v>
      </c>
      <c r="NO7">
        <v>1</v>
      </c>
      <c r="NP7">
        <v>1</v>
      </c>
      <c r="NQ7">
        <v>1</v>
      </c>
      <c r="NR7">
        <v>1</v>
      </c>
      <c r="NS7">
        <v>1</v>
      </c>
      <c r="NT7">
        <v>1</v>
      </c>
      <c r="NU7">
        <v>1</v>
      </c>
      <c r="NV7">
        <v>1</v>
      </c>
      <c r="NW7">
        <v>1</v>
      </c>
      <c r="NX7">
        <v>1</v>
      </c>
      <c r="NY7">
        <v>1</v>
      </c>
      <c r="NZ7">
        <v>1</v>
      </c>
      <c r="OA7">
        <v>1</v>
      </c>
      <c r="OB7">
        <v>1</v>
      </c>
      <c r="OC7">
        <v>1</v>
      </c>
      <c r="OD7">
        <v>1</v>
      </c>
      <c r="OE7">
        <v>1</v>
      </c>
      <c r="OF7">
        <v>1</v>
      </c>
      <c r="OG7">
        <v>1</v>
      </c>
      <c r="OH7">
        <v>1</v>
      </c>
      <c r="OI7">
        <v>1</v>
      </c>
      <c r="OJ7">
        <v>1</v>
      </c>
      <c r="OK7">
        <v>1</v>
      </c>
      <c r="OL7">
        <v>1</v>
      </c>
      <c r="OM7">
        <v>1</v>
      </c>
      <c r="ON7">
        <v>1</v>
      </c>
      <c r="OO7">
        <v>1</v>
      </c>
      <c r="OP7">
        <v>1</v>
      </c>
      <c r="OQ7">
        <v>1</v>
      </c>
      <c r="OR7">
        <v>1</v>
      </c>
      <c r="OS7">
        <v>1</v>
      </c>
      <c r="OT7">
        <v>1</v>
      </c>
      <c r="OU7">
        <v>1</v>
      </c>
      <c r="OV7">
        <v>1</v>
      </c>
      <c r="OW7">
        <v>1</v>
      </c>
      <c r="OX7">
        <v>1</v>
      </c>
      <c r="OY7">
        <v>1</v>
      </c>
      <c r="OZ7">
        <v>1</v>
      </c>
      <c r="PA7">
        <v>1</v>
      </c>
      <c r="PB7">
        <v>1</v>
      </c>
      <c r="PC7">
        <v>1</v>
      </c>
      <c r="PD7">
        <v>1</v>
      </c>
      <c r="PE7">
        <v>1</v>
      </c>
      <c r="PF7">
        <v>1</v>
      </c>
      <c r="PG7">
        <v>1</v>
      </c>
      <c r="PH7">
        <v>1</v>
      </c>
      <c r="PI7">
        <v>1</v>
      </c>
      <c r="PJ7">
        <v>1</v>
      </c>
      <c r="PK7">
        <v>1</v>
      </c>
      <c r="PL7">
        <v>1</v>
      </c>
      <c r="PM7">
        <v>1</v>
      </c>
      <c r="PN7">
        <v>1</v>
      </c>
      <c r="PO7">
        <v>1</v>
      </c>
      <c r="PP7">
        <v>1</v>
      </c>
      <c r="PQ7">
        <v>1</v>
      </c>
      <c r="PR7">
        <v>1</v>
      </c>
      <c r="PS7">
        <v>1</v>
      </c>
      <c r="PT7">
        <v>1</v>
      </c>
      <c r="PU7">
        <v>1</v>
      </c>
      <c r="PV7">
        <v>1</v>
      </c>
      <c r="PW7">
        <v>1</v>
      </c>
      <c r="PX7">
        <v>1</v>
      </c>
      <c r="PY7">
        <v>1</v>
      </c>
      <c r="PZ7">
        <v>1</v>
      </c>
      <c r="QA7">
        <v>1</v>
      </c>
      <c r="QB7">
        <v>1</v>
      </c>
      <c r="QC7">
        <v>1</v>
      </c>
      <c r="QD7">
        <v>1</v>
      </c>
      <c r="QE7">
        <v>1</v>
      </c>
      <c r="QF7">
        <v>1</v>
      </c>
      <c r="QG7">
        <v>1</v>
      </c>
      <c r="QH7">
        <v>1</v>
      </c>
      <c r="QI7">
        <v>1</v>
      </c>
      <c r="QJ7">
        <v>1</v>
      </c>
      <c r="QK7">
        <v>1</v>
      </c>
      <c r="QL7">
        <v>1</v>
      </c>
      <c r="QM7">
        <v>1</v>
      </c>
      <c r="QN7">
        <v>1</v>
      </c>
      <c r="QO7">
        <v>1</v>
      </c>
      <c r="QP7">
        <v>1</v>
      </c>
      <c r="QQ7">
        <v>1</v>
      </c>
      <c r="QR7">
        <v>1</v>
      </c>
      <c r="QS7">
        <v>1</v>
      </c>
      <c r="QT7">
        <v>1</v>
      </c>
      <c r="QU7">
        <v>1</v>
      </c>
      <c r="QV7">
        <v>1</v>
      </c>
      <c r="QW7">
        <v>1</v>
      </c>
      <c r="QX7">
        <v>1</v>
      </c>
      <c r="QY7">
        <v>1</v>
      </c>
      <c r="QZ7">
        <v>1</v>
      </c>
      <c r="RA7">
        <v>1</v>
      </c>
      <c r="RB7">
        <v>1</v>
      </c>
      <c r="RC7">
        <v>1</v>
      </c>
      <c r="RD7">
        <v>1</v>
      </c>
      <c r="RE7">
        <v>1</v>
      </c>
      <c r="RF7">
        <v>1</v>
      </c>
      <c r="RG7">
        <v>1</v>
      </c>
      <c r="RH7">
        <v>1</v>
      </c>
      <c r="RI7">
        <v>1</v>
      </c>
      <c r="RJ7">
        <v>1</v>
      </c>
      <c r="RK7">
        <v>1</v>
      </c>
      <c r="RL7">
        <v>1</v>
      </c>
      <c r="RM7">
        <v>1</v>
      </c>
      <c r="RN7">
        <v>1</v>
      </c>
      <c r="RO7">
        <v>1</v>
      </c>
      <c r="RP7">
        <v>1</v>
      </c>
      <c r="RQ7">
        <v>1</v>
      </c>
      <c r="RR7">
        <v>1</v>
      </c>
      <c r="RS7">
        <v>1</v>
      </c>
      <c r="RT7">
        <v>1</v>
      </c>
      <c r="RU7">
        <v>1</v>
      </c>
      <c r="RV7">
        <v>1</v>
      </c>
      <c r="RW7">
        <v>1</v>
      </c>
      <c r="RX7">
        <v>1</v>
      </c>
      <c r="RY7">
        <v>1</v>
      </c>
      <c r="RZ7">
        <v>1</v>
      </c>
      <c r="SA7">
        <v>1</v>
      </c>
      <c r="SB7">
        <v>1</v>
      </c>
      <c r="SC7">
        <v>1</v>
      </c>
      <c r="SD7">
        <v>1</v>
      </c>
      <c r="SE7">
        <v>1</v>
      </c>
      <c r="SF7">
        <v>1</v>
      </c>
      <c r="SG7">
        <v>1</v>
      </c>
      <c r="SH7">
        <v>1</v>
      </c>
      <c r="SI7">
        <v>1</v>
      </c>
      <c r="SJ7">
        <v>1</v>
      </c>
      <c r="SK7">
        <v>1</v>
      </c>
      <c r="SL7">
        <v>1</v>
      </c>
      <c r="SM7">
        <v>1</v>
      </c>
      <c r="SN7">
        <v>1</v>
      </c>
      <c r="SO7">
        <v>1</v>
      </c>
      <c r="SP7">
        <v>1</v>
      </c>
      <c r="SQ7">
        <v>1</v>
      </c>
      <c r="SR7">
        <v>1</v>
      </c>
      <c r="SS7">
        <v>1</v>
      </c>
      <c r="ST7">
        <v>1</v>
      </c>
      <c r="SU7">
        <v>1</v>
      </c>
      <c r="SV7">
        <v>1</v>
      </c>
      <c r="SW7">
        <v>1</v>
      </c>
      <c r="SX7">
        <v>1</v>
      </c>
      <c r="SY7">
        <v>1</v>
      </c>
      <c r="SZ7">
        <v>1</v>
      </c>
      <c r="TA7">
        <v>1</v>
      </c>
      <c r="TB7">
        <v>1</v>
      </c>
      <c r="TC7">
        <v>1</v>
      </c>
      <c r="TD7">
        <v>1</v>
      </c>
      <c r="TE7">
        <v>1</v>
      </c>
      <c r="TF7">
        <v>1</v>
      </c>
      <c r="TG7">
        <v>1</v>
      </c>
      <c r="TH7">
        <v>1</v>
      </c>
      <c r="TI7">
        <v>1</v>
      </c>
      <c r="TJ7">
        <v>1</v>
      </c>
      <c r="TK7">
        <v>1</v>
      </c>
      <c r="TL7">
        <v>1</v>
      </c>
      <c r="TM7">
        <v>1</v>
      </c>
      <c r="TN7">
        <v>1</v>
      </c>
      <c r="TO7">
        <v>1</v>
      </c>
      <c r="TP7">
        <v>1</v>
      </c>
      <c r="TQ7">
        <v>1</v>
      </c>
      <c r="TR7">
        <v>1</v>
      </c>
      <c r="TS7">
        <v>1</v>
      </c>
      <c r="TT7">
        <v>1</v>
      </c>
      <c r="TU7">
        <v>1</v>
      </c>
      <c r="TV7">
        <v>1</v>
      </c>
      <c r="TW7">
        <v>1</v>
      </c>
      <c r="TX7">
        <v>1</v>
      </c>
      <c r="TY7">
        <v>1</v>
      </c>
      <c r="TZ7">
        <v>1</v>
      </c>
      <c r="UA7">
        <v>1</v>
      </c>
      <c r="UB7">
        <v>1</v>
      </c>
      <c r="UC7">
        <v>1</v>
      </c>
      <c r="UD7">
        <v>1</v>
      </c>
      <c r="UE7">
        <v>1</v>
      </c>
      <c r="UF7">
        <v>1</v>
      </c>
      <c r="UG7">
        <v>1</v>
      </c>
      <c r="UH7">
        <v>1</v>
      </c>
      <c r="UI7">
        <v>1</v>
      </c>
      <c r="UJ7">
        <v>1</v>
      </c>
      <c r="UK7">
        <v>1</v>
      </c>
      <c r="UL7">
        <v>1</v>
      </c>
      <c r="UM7">
        <v>1</v>
      </c>
      <c r="UN7">
        <v>1</v>
      </c>
      <c r="UO7">
        <v>1</v>
      </c>
      <c r="UP7">
        <v>1</v>
      </c>
      <c r="UQ7">
        <v>1</v>
      </c>
      <c r="UR7">
        <v>1</v>
      </c>
      <c r="US7">
        <v>1</v>
      </c>
      <c r="UT7">
        <v>1</v>
      </c>
      <c r="UU7">
        <v>1</v>
      </c>
      <c r="UV7">
        <v>1</v>
      </c>
      <c r="UW7">
        <v>1</v>
      </c>
      <c r="UX7">
        <v>1</v>
      </c>
      <c r="UY7">
        <v>1</v>
      </c>
      <c r="UZ7">
        <v>1</v>
      </c>
      <c r="VA7">
        <v>1</v>
      </c>
      <c r="VB7">
        <v>1</v>
      </c>
      <c r="VC7">
        <v>1</v>
      </c>
      <c r="VD7">
        <v>1</v>
      </c>
      <c r="VE7">
        <v>1</v>
      </c>
      <c r="VF7">
        <v>1</v>
      </c>
      <c r="VG7">
        <v>1</v>
      </c>
      <c r="VH7">
        <v>1</v>
      </c>
      <c r="VI7">
        <v>1</v>
      </c>
      <c r="VJ7">
        <v>1</v>
      </c>
      <c r="VK7">
        <v>1</v>
      </c>
      <c r="VL7">
        <v>1</v>
      </c>
      <c r="VM7">
        <v>1</v>
      </c>
      <c r="VN7">
        <v>1</v>
      </c>
      <c r="VO7">
        <v>1</v>
      </c>
      <c r="VP7">
        <v>1</v>
      </c>
      <c r="VQ7">
        <v>1</v>
      </c>
      <c r="VR7">
        <v>1</v>
      </c>
      <c r="VS7">
        <v>1</v>
      </c>
      <c r="VT7">
        <v>1</v>
      </c>
      <c r="VU7">
        <v>1</v>
      </c>
      <c r="VV7">
        <v>1</v>
      </c>
      <c r="VW7">
        <v>1</v>
      </c>
      <c r="VX7">
        <v>1</v>
      </c>
      <c r="VY7">
        <v>1</v>
      </c>
      <c r="VZ7">
        <v>1</v>
      </c>
      <c r="WA7">
        <v>1</v>
      </c>
      <c r="WB7">
        <v>1</v>
      </c>
      <c r="WC7">
        <v>1</v>
      </c>
      <c r="WD7">
        <v>1</v>
      </c>
      <c r="WE7">
        <v>1</v>
      </c>
      <c r="WF7">
        <v>1</v>
      </c>
      <c r="WG7">
        <v>1</v>
      </c>
      <c r="WH7">
        <v>1</v>
      </c>
      <c r="WI7">
        <v>1</v>
      </c>
      <c r="WJ7">
        <v>1</v>
      </c>
      <c r="WK7">
        <v>1</v>
      </c>
      <c r="WL7">
        <v>1</v>
      </c>
      <c r="WM7">
        <v>1</v>
      </c>
      <c r="WN7">
        <v>1</v>
      </c>
      <c r="WO7">
        <v>1</v>
      </c>
      <c r="WP7">
        <v>1</v>
      </c>
      <c r="WQ7">
        <v>1</v>
      </c>
      <c r="WR7">
        <v>1</v>
      </c>
      <c r="WS7">
        <v>1</v>
      </c>
      <c r="WT7">
        <v>1</v>
      </c>
      <c r="WU7">
        <v>1</v>
      </c>
      <c r="WV7">
        <v>1</v>
      </c>
      <c r="WW7">
        <v>1</v>
      </c>
      <c r="WX7">
        <v>1</v>
      </c>
      <c r="WY7">
        <v>1</v>
      </c>
      <c r="WZ7">
        <v>1</v>
      </c>
      <c r="XA7">
        <v>1</v>
      </c>
      <c r="XB7">
        <v>1</v>
      </c>
      <c r="XC7">
        <v>1</v>
      </c>
      <c r="XD7">
        <v>1</v>
      </c>
      <c r="XE7">
        <v>1</v>
      </c>
      <c r="XF7">
        <v>1</v>
      </c>
      <c r="XG7">
        <v>1</v>
      </c>
      <c r="XH7">
        <v>1</v>
      </c>
      <c r="XI7">
        <v>1</v>
      </c>
      <c r="XJ7">
        <v>1</v>
      </c>
      <c r="XK7">
        <v>1</v>
      </c>
      <c r="XL7">
        <v>1</v>
      </c>
      <c r="XM7">
        <v>1</v>
      </c>
      <c r="XN7">
        <v>1</v>
      </c>
      <c r="XO7">
        <v>1</v>
      </c>
      <c r="XP7">
        <v>1</v>
      </c>
      <c r="XQ7">
        <v>1</v>
      </c>
      <c r="XR7">
        <v>1</v>
      </c>
      <c r="XS7">
        <v>1</v>
      </c>
      <c r="XT7">
        <v>1</v>
      </c>
      <c r="XU7">
        <v>1</v>
      </c>
      <c r="XV7">
        <v>1</v>
      </c>
      <c r="XW7">
        <v>1</v>
      </c>
      <c r="XX7">
        <v>1</v>
      </c>
      <c r="XY7">
        <v>1</v>
      </c>
      <c r="XZ7">
        <v>1</v>
      </c>
      <c r="YA7">
        <v>1</v>
      </c>
      <c r="YB7">
        <v>1</v>
      </c>
      <c r="YC7">
        <v>1</v>
      </c>
      <c r="YD7">
        <v>1</v>
      </c>
      <c r="YE7">
        <v>1</v>
      </c>
      <c r="YF7">
        <v>1</v>
      </c>
      <c r="YG7">
        <v>1</v>
      </c>
      <c r="YH7">
        <v>1</v>
      </c>
      <c r="YI7">
        <v>1</v>
      </c>
      <c r="YJ7">
        <v>1</v>
      </c>
      <c r="YK7">
        <v>1</v>
      </c>
      <c r="YL7">
        <v>1</v>
      </c>
      <c r="YM7">
        <v>1</v>
      </c>
      <c r="YN7">
        <v>1</v>
      </c>
      <c r="YO7">
        <v>1</v>
      </c>
      <c r="YP7">
        <v>1</v>
      </c>
      <c r="YQ7">
        <v>1</v>
      </c>
      <c r="YR7">
        <v>1</v>
      </c>
      <c r="YS7">
        <v>1</v>
      </c>
      <c r="YT7">
        <v>1</v>
      </c>
      <c r="YU7">
        <v>1</v>
      </c>
      <c r="YV7">
        <v>1</v>
      </c>
      <c r="YW7">
        <v>1</v>
      </c>
      <c r="YX7">
        <v>1</v>
      </c>
      <c r="YY7">
        <v>1</v>
      </c>
      <c r="YZ7">
        <v>1</v>
      </c>
      <c r="ZA7">
        <v>1</v>
      </c>
      <c r="ZB7">
        <v>1</v>
      </c>
      <c r="ZC7">
        <v>1</v>
      </c>
      <c r="ZD7">
        <v>1</v>
      </c>
      <c r="ZE7">
        <v>1</v>
      </c>
      <c r="ZF7">
        <v>1</v>
      </c>
      <c r="ZG7">
        <v>1</v>
      </c>
      <c r="ZH7">
        <v>1</v>
      </c>
      <c r="ZI7">
        <v>1</v>
      </c>
      <c r="ZJ7">
        <v>1</v>
      </c>
      <c r="ZK7">
        <v>1</v>
      </c>
      <c r="ZL7">
        <v>1</v>
      </c>
      <c r="ZM7">
        <v>1</v>
      </c>
      <c r="ZN7">
        <v>1</v>
      </c>
      <c r="ZO7">
        <v>1</v>
      </c>
      <c r="ZP7">
        <v>1</v>
      </c>
      <c r="ZQ7">
        <v>1</v>
      </c>
      <c r="ZR7">
        <v>1</v>
      </c>
      <c r="ZS7">
        <v>1</v>
      </c>
      <c r="ZT7">
        <v>1</v>
      </c>
      <c r="ZU7">
        <v>1</v>
      </c>
      <c r="ZV7">
        <v>1</v>
      </c>
      <c r="ZW7">
        <v>1</v>
      </c>
      <c r="ZX7">
        <v>1</v>
      </c>
      <c r="ZY7">
        <v>1</v>
      </c>
      <c r="ZZ7">
        <v>1</v>
      </c>
      <c r="AAA7">
        <v>1</v>
      </c>
      <c r="AAB7">
        <v>1</v>
      </c>
      <c r="AAC7">
        <v>1</v>
      </c>
      <c r="AAD7">
        <v>1</v>
      </c>
      <c r="AAE7">
        <v>1</v>
      </c>
      <c r="AAF7">
        <v>1</v>
      </c>
      <c r="AAG7">
        <v>1</v>
      </c>
      <c r="AAH7">
        <v>1</v>
      </c>
      <c r="AAI7">
        <v>1</v>
      </c>
      <c r="AAJ7">
        <v>1</v>
      </c>
      <c r="AAK7">
        <v>1</v>
      </c>
      <c r="AAL7">
        <v>1</v>
      </c>
      <c r="AAM7">
        <v>1</v>
      </c>
      <c r="AAN7">
        <v>1</v>
      </c>
      <c r="AAO7">
        <v>1</v>
      </c>
      <c r="AAP7">
        <v>1</v>
      </c>
      <c r="AAQ7">
        <v>1</v>
      </c>
      <c r="AAR7">
        <v>1</v>
      </c>
      <c r="AAS7">
        <v>1</v>
      </c>
      <c r="AAT7">
        <v>1</v>
      </c>
      <c r="AAU7">
        <v>1</v>
      </c>
      <c r="AAV7">
        <v>1</v>
      </c>
      <c r="AAW7">
        <v>1</v>
      </c>
      <c r="AAX7">
        <v>1</v>
      </c>
      <c r="AAY7">
        <v>1</v>
      </c>
      <c r="AAZ7">
        <v>1</v>
      </c>
      <c r="ABA7">
        <v>1</v>
      </c>
      <c r="ABB7">
        <v>1</v>
      </c>
      <c r="ABC7">
        <v>1</v>
      </c>
      <c r="ABD7">
        <v>1</v>
      </c>
      <c r="ABE7">
        <v>1</v>
      </c>
      <c r="ABF7">
        <v>1</v>
      </c>
      <c r="ABG7">
        <v>1</v>
      </c>
      <c r="ABH7">
        <v>1</v>
      </c>
      <c r="ABI7">
        <v>1</v>
      </c>
      <c r="ABJ7">
        <v>1</v>
      </c>
      <c r="ABK7">
        <v>1</v>
      </c>
      <c r="ABL7">
        <v>1</v>
      </c>
      <c r="ABM7">
        <v>1</v>
      </c>
      <c r="ABN7">
        <v>1</v>
      </c>
      <c r="ABO7">
        <v>1</v>
      </c>
      <c r="ABP7">
        <v>1</v>
      </c>
      <c r="ABQ7">
        <v>1</v>
      </c>
      <c r="ABR7">
        <v>1</v>
      </c>
      <c r="ABS7">
        <v>1</v>
      </c>
      <c r="ABT7">
        <v>1</v>
      </c>
      <c r="ABU7">
        <v>1</v>
      </c>
      <c r="ABV7">
        <v>1</v>
      </c>
      <c r="ABW7">
        <v>1</v>
      </c>
      <c r="ABX7">
        <v>1</v>
      </c>
      <c r="ABY7">
        <v>1</v>
      </c>
      <c r="ABZ7">
        <v>1</v>
      </c>
      <c r="ACA7">
        <v>1</v>
      </c>
      <c r="ACB7">
        <v>1</v>
      </c>
      <c r="ACC7">
        <v>1</v>
      </c>
      <c r="ACD7">
        <v>1</v>
      </c>
      <c r="ACE7">
        <v>1</v>
      </c>
      <c r="ACF7">
        <v>1</v>
      </c>
      <c r="ACG7">
        <v>1</v>
      </c>
      <c r="ACH7">
        <v>1</v>
      </c>
      <c r="ACI7">
        <v>1</v>
      </c>
      <c r="ACJ7">
        <v>1</v>
      </c>
      <c r="ACK7">
        <v>1</v>
      </c>
      <c r="ACL7">
        <v>1</v>
      </c>
      <c r="ACM7">
        <v>1</v>
      </c>
      <c r="ACN7">
        <v>1</v>
      </c>
      <c r="ACO7">
        <v>1</v>
      </c>
      <c r="ACP7">
        <v>1</v>
      </c>
      <c r="ACQ7">
        <v>1</v>
      </c>
      <c r="ACR7">
        <v>1</v>
      </c>
      <c r="ACS7">
        <v>1</v>
      </c>
      <c r="ACT7">
        <v>1</v>
      </c>
      <c r="ACU7">
        <v>1</v>
      </c>
      <c r="ACV7">
        <v>1</v>
      </c>
      <c r="ACW7">
        <v>1</v>
      </c>
      <c r="ACX7">
        <v>1</v>
      </c>
      <c r="ACY7">
        <v>1</v>
      </c>
      <c r="ACZ7">
        <v>1</v>
      </c>
      <c r="ADA7">
        <v>1</v>
      </c>
      <c r="ADB7">
        <v>1</v>
      </c>
      <c r="ADC7">
        <v>1</v>
      </c>
      <c r="ADD7">
        <v>1</v>
      </c>
      <c r="ADE7">
        <v>1</v>
      </c>
      <c r="ADF7">
        <v>1</v>
      </c>
      <c r="ADG7">
        <v>1</v>
      </c>
      <c r="ADH7">
        <v>1</v>
      </c>
      <c r="ADI7">
        <v>1</v>
      </c>
      <c r="ADJ7">
        <v>1</v>
      </c>
      <c r="ADK7">
        <v>1</v>
      </c>
      <c r="ADL7">
        <v>1</v>
      </c>
      <c r="ADM7">
        <v>1</v>
      </c>
      <c r="ADN7">
        <v>1</v>
      </c>
      <c r="ADO7">
        <v>1</v>
      </c>
      <c r="ADP7">
        <v>1</v>
      </c>
      <c r="ADQ7">
        <v>1</v>
      </c>
      <c r="ADR7">
        <v>1</v>
      </c>
      <c r="ADS7">
        <v>1</v>
      </c>
      <c r="ADT7">
        <v>1</v>
      </c>
      <c r="ADU7">
        <v>1</v>
      </c>
      <c r="ADV7">
        <v>1</v>
      </c>
      <c r="ADW7">
        <v>1</v>
      </c>
      <c r="ADX7">
        <v>1</v>
      </c>
      <c r="ADY7">
        <v>1</v>
      </c>
      <c r="ADZ7">
        <v>1</v>
      </c>
      <c r="AEA7">
        <v>1</v>
      </c>
      <c r="AEB7">
        <v>1</v>
      </c>
      <c r="AEC7">
        <v>1</v>
      </c>
      <c r="AED7">
        <v>1</v>
      </c>
      <c r="AEE7">
        <v>1</v>
      </c>
      <c r="AEF7">
        <v>1</v>
      </c>
      <c r="AEG7">
        <v>1</v>
      </c>
      <c r="AEH7">
        <v>1</v>
      </c>
      <c r="AEI7">
        <v>1</v>
      </c>
      <c r="AEJ7">
        <v>1</v>
      </c>
      <c r="AEK7">
        <v>1</v>
      </c>
      <c r="AEL7">
        <v>1</v>
      </c>
      <c r="AEM7">
        <v>1</v>
      </c>
      <c r="AEN7">
        <v>1</v>
      </c>
      <c r="AEO7">
        <v>1</v>
      </c>
      <c r="AEP7">
        <v>1</v>
      </c>
      <c r="AEQ7">
        <v>1</v>
      </c>
      <c r="AER7">
        <v>1</v>
      </c>
      <c r="AES7">
        <v>1</v>
      </c>
      <c r="AET7">
        <v>1</v>
      </c>
      <c r="AEU7">
        <v>1</v>
      </c>
      <c r="AEV7">
        <v>1</v>
      </c>
      <c r="AEW7">
        <v>1</v>
      </c>
      <c r="AEX7">
        <v>1</v>
      </c>
      <c r="AEY7">
        <v>1</v>
      </c>
      <c r="AEZ7">
        <v>1</v>
      </c>
      <c r="AFA7">
        <v>1</v>
      </c>
      <c r="AFB7">
        <v>1</v>
      </c>
      <c r="AFC7">
        <v>1</v>
      </c>
      <c r="AFD7">
        <v>1</v>
      </c>
      <c r="AFE7">
        <v>1</v>
      </c>
      <c r="AFF7">
        <v>1</v>
      </c>
      <c r="AFG7">
        <v>1</v>
      </c>
      <c r="AFH7">
        <v>1</v>
      </c>
      <c r="AFI7">
        <v>1</v>
      </c>
      <c r="AFJ7">
        <v>1</v>
      </c>
      <c r="AFK7">
        <v>1</v>
      </c>
      <c r="AFL7">
        <v>1</v>
      </c>
      <c r="AFM7">
        <v>1</v>
      </c>
      <c r="AFN7">
        <v>1</v>
      </c>
      <c r="AFO7">
        <v>1</v>
      </c>
      <c r="AFP7">
        <v>1</v>
      </c>
      <c r="AFQ7">
        <v>1</v>
      </c>
      <c r="AFR7">
        <v>1</v>
      </c>
      <c r="AFS7">
        <v>1</v>
      </c>
      <c r="AFT7">
        <v>1</v>
      </c>
      <c r="AFU7">
        <v>1</v>
      </c>
      <c r="AFV7">
        <v>1</v>
      </c>
      <c r="AFW7">
        <v>1</v>
      </c>
      <c r="AFX7">
        <v>1</v>
      </c>
      <c r="AFY7">
        <v>1</v>
      </c>
      <c r="AFZ7">
        <v>1</v>
      </c>
      <c r="AGA7">
        <v>1</v>
      </c>
      <c r="AGB7">
        <v>1</v>
      </c>
      <c r="AGC7">
        <v>1</v>
      </c>
      <c r="AGD7">
        <v>1</v>
      </c>
      <c r="AGE7">
        <v>1</v>
      </c>
      <c r="AGF7">
        <v>1</v>
      </c>
      <c r="AGG7">
        <v>1</v>
      </c>
      <c r="AGH7">
        <v>1</v>
      </c>
      <c r="AGI7">
        <v>1</v>
      </c>
      <c r="AGJ7">
        <v>1</v>
      </c>
      <c r="AGK7">
        <v>1</v>
      </c>
      <c r="AGL7">
        <v>1</v>
      </c>
      <c r="AGM7">
        <v>1</v>
      </c>
      <c r="AGN7">
        <v>1</v>
      </c>
      <c r="AGO7">
        <v>1</v>
      </c>
      <c r="AGP7">
        <v>1</v>
      </c>
      <c r="AGQ7">
        <v>1</v>
      </c>
      <c r="AGR7">
        <v>1</v>
      </c>
      <c r="AGS7">
        <v>1</v>
      </c>
      <c r="AGT7">
        <v>1</v>
      </c>
      <c r="AGU7">
        <v>1</v>
      </c>
      <c r="AGV7">
        <v>1</v>
      </c>
      <c r="AGW7">
        <v>1</v>
      </c>
      <c r="AGX7">
        <v>1</v>
      </c>
      <c r="AGY7">
        <v>1</v>
      </c>
      <c r="AGZ7">
        <v>1</v>
      </c>
      <c r="AHA7">
        <v>1</v>
      </c>
      <c r="AHB7">
        <v>1</v>
      </c>
      <c r="AHC7">
        <v>1</v>
      </c>
      <c r="AHD7">
        <v>1</v>
      </c>
      <c r="AHE7">
        <v>1</v>
      </c>
      <c r="AHF7">
        <v>1</v>
      </c>
      <c r="AHG7">
        <v>1</v>
      </c>
      <c r="AHH7">
        <v>1</v>
      </c>
      <c r="AHI7">
        <v>1</v>
      </c>
      <c r="AHJ7">
        <v>1</v>
      </c>
      <c r="AHK7">
        <v>1</v>
      </c>
      <c r="AHL7">
        <v>1</v>
      </c>
      <c r="AHM7">
        <v>1</v>
      </c>
      <c r="AHN7">
        <v>1</v>
      </c>
      <c r="AHO7">
        <v>1</v>
      </c>
      <c r="AHP7">
        <v>1</v>
      </c>
      <c r="AHQ7">
        <v>1</v>
      </c>
      <c r="AHR7">
        <v>1</v>
      </c>
      <c r="AHS7">
        <v>1</v>
      </c>
      <c r="AHT7">
        <v>1</v>
      </c>
      <c r="AHU7">
        <v>1</v>
      </c>
      <c r="AHV7">
        <v>1</v>
      </c>
      <c r="AHW7">
        <v>1</v>
      </c>
      <c r="AHX7">
        <v>1</v>
      </c>
      <c r="AHY7">
        <v>1</v>
      </c>
      <c r="AHZ7">
        <v>1</v>
      </c>
      <c r="AIA7">
        <v>1</v>
      </c>
      <c r="AIB7">
        <v>1</v>
      </c>
      <c r="AIC7">
        <v>1</v>
      </c>
      <c r="AID7">
        <v>1</v>
      </c>
      <c r="AIE7">
        <v>1</v>
      </c>
      <c r="AIF7">
        <v>1</v>
      </c>
      <c r="AIG7">
        <v>1</v>
      </c>
      <c r="AIH7">
        <v>1</v>
      </c>
      <c r="AII7">
        <v>1</v>
      </c>
      <c r="AIJ7">
        <v>1</v>
      </c>
      <c r="AIK7">
        <v>1</v>
      </c>
      <c r="AIL7">
        <v>1</v>
      </c>
      <c r="AIM7">
        <v>1</v>
      </c>
      <c r="AIN7">
        <v>1</v>
      </c>
      <c r="AIO7">
        <v>1</v>
      </c>
      <c r="AIP7">
        <v>1</v>
      </c>
      <c r="AIQ7">
        <v>1</v>
      </c>
      <c r="AIR7">
        <v>1</v>
      </c>
      <c r="AIS7">
        <v>1</v>
      </c>
      <c r="AIT7">
        <v>1</v>
      </c>
      <c r="AIU7">
        <v>1</v>
      </c>
      <c r="AIV7">
        <v>1</v>
      </c>
      <c r="AIW7">
        <v>1</v>
      </c>
      <c r="AIX7">
        <v>1</v>
      </c>
      <c r="AIY7">
        <v>1</v>
      </c>
      <c r="AIZ7">
        <v>1</v>
      </c>
      <c r="AJA7">
        <v>1</v>
      </c>
      <c r="AJB7">
        <v>1</v>
      </c>
      <c r="AJC7">
        <v>1</v>
      </c>
      <c r="AJD7">
        <v>1</v>
      </c>
      <c r="AJE7">
        <v>1</v>
      </c>
      <c r="AJF7">
        <v>1</v>
      </c>
      <c r="AJG7">
        <v>1</v>
      </c>
      <c r="AJH7">
        <v>1</v>
      </c>
      <c r="AJI7">
        <v>1</v>
      </c>
      <c r="AJJ7">
        <v>1</v>
      </c>
      <c r="AJK7">
        <v>1</v>
      </c>
      <c r="AJL7">
        <v>1</v>
      </c>
      <c r="AJM7">
        <v>1</v>
      </c>
      <c r="AJN7">
        <v>1</v>
      </c>
      <c r="AJO7">
        <v>1</v>
      </c>
      <c r="AJP7">
        <v>1</v>
      </c>
      <c r="AJQ7">
        <v>1</v>
      </c>
      <c r="AJR7">
        <v>0</v>
      </c>
      <c r="AJS7">
        <v>0</v>
      </c>
      <c r="AJT7">
        <v>0</v>
      </c>
      <c r="AJU7">
        <v>0</v>
      </c>
      <c r="AJV7">
        <v>0</v>
      </c>
      <c r="AJW7">
        <v>0</v>
      </c>
      <c r="AJX7">
        <v>0</v>
      </c>
      <c r="AJY7">
        <v>0</v>
      </c>
      <c r="AJZ7">
        <v>0</v>
      </c>
      <c r="AKA7">
        <v>0</v>
      </c>
      <c r="AKB7">
        <v>0</v>
      </c>
      <c r="AKC7">
        <v>0</v>
      </c>
      <c r="AKD7">
        <v>0</v>
      </c>
      <c r="AKE7">
        <v>0</v>
      </c>
      <c r="AKF7">
        <v>0</v>
      </c>
      <c r="AKG7">
        <v>0</v>
      </c>
      <c r="AKH7">
        <v>0</v>
      </c>
      <c r="AKI7">
        <v>0</v>
      </c>
      <c r="AKJ7">
        <v>0</v>
      </c>
      <c r="AKK7">
        <v>0</v>
      </c>
      <c r="AKL7">
        <v>0</v>
      </c>
      <c r="AKM7">
        <v>0</v>
      </c>
      <c r="AKN7">
        <v>1</v>
      </c>
      <c r="AKO7">
        <v>1</v>
      </c>
      <c r="AKP7">
        <v>1</v>
      </c>
      <c r="AKQ7">
        <v>1</v>
      </c>
      <c r="AKR7">
        <v>1</v>
      </c>
      <c r="AKS7">
        <v>1</v>
      </c>
      <c r="AKT7">
        <v>1</v>
      </c>
      <c r="AKU7">
        <v>0</v>
      </c>
      <c r="AKV7">
        <v>0</v>
      </c>
      <c r="AKW7">
        <v>0</v>
      </c>
    </row>
    <row r="8" spans="1:985" ht="14.4" customHeight="1" x14ac:dyDescent="0.55000000000000004">
      <c r="A8" t="s">
        <v>88</v>
      </c>
      <c r="B8" t="s">
        <v>521</v>
      </c>
      <c r="C8" s="1" t="s">
        <v>693</v>
      </c>
      <c r="CA8">
        <v>1239</v>
      </c>
      <c r="CB8">
        <v>1239</v>
      </c>
      <c r="CC8">
        <v>1239</v>
      </c>
      <c r="CD8">
        <v>1239</v>
      </c>
      <c r="CE8">
        <v>1239</v>
      </c>
      <c r="CF8">
        <v>1239</v>
      </c>
      <c r="CG8">
        <v>1239</v>
      </c>
      <c r="CH8">
        <v>1239</v>
      </c>
      <c r="CI8">
        <v>1239</v>
      </c>
      <c r="CJ8">
        <v>1239</v>
      </c>
      <c r="CK8">
        <v>1239</v>
      </c>
      <c r="CL8">
        <v>1239</v>
      </c>
      <c r="CM8">
        <v>1239</v>
      </c>
      <c r="CN8">
        <v>1239</v>
      </c>
      <c r="CO8">
        <v>1239</v>
      </c>
      <c r="CP8">
        <v>1239</v>
      </c>
      <c r="CQ8">
        <v>1239</v>
      </c>
      <c r="CR8">
        <v>1239</v>
      </c>
      <c r="CS8">
        <v>1239</v>
      </c>
      <c r="CT8">
        <v>1239</v>
      </c>
      <c r="CU8">
        <v>1239</v>
      </c>
      <c r="CV8">
        <v>1239</v>
      </c>
      <c r="CW8">
        <v>1239</v>
      </c>
      <c r="CX8">
        <v>1239</v>
      </c>
      <c r="CY8">
        <v>1239</v>
      </c>
      <c r="CZ8">
        <v>1239</v>
      </c>
      <c r="DA8">
        <v>1239</v>
      </c>
      <c r="DB8">
        <v>1239</v>
      </c>
      <c r="DC8">
        <v>1239</v>
      </c>
      <c r="DD8">
        <v>1239</v>
      </c>
      <c r="DE8">
        <v>1239</v>
      </c>
      <c r="DF8">
        <v>1239</v>
      </c>
      <c r="DG8">
        <v>1239</v>
      </c>
      <c r="DH8">
        <v>1239</v>
      </c>
      <c r="DI8">
        <v>1239</v>
      </c>
      <c r="DJ8">
        <v>1239</v>
      </c>
      <c r="DK8">
        <v>1239</v>
      </c>
      <c r="DL8">
        <v>1239</v>
      </c>
      <c r="DM8">
        <v>1239</v>
      </c>
      <c r="DN8">
        <v>1239</v>
      </c>
      <c r="DO8">
        <v>1239</v>
      </c>
      <c r="DP8">
        <v>1239</v>
      </c>
      <c r="DQ8">
        <v>1239</v>
      </c>
      <c r="DR8">
        <v>1239</v>
      </c>
      <c r="DS8">
        <v>1239</v>
      </c>
      <c r="DT8">
        <v>1239</v>
      </c>
      <c r="DU8">
        <v>1239</v>
      </c>
      <c r="DV8">
        <v>1239</v>
      </c>
      <c r="DW8">
        <v>1239</v>
      </c>
      <c r="DX8">
        <v>1239</v>
      </c>
      <c r="DY8">
        <v>1239</v>
      </c>
      <c r="DZ8">
        <v>1239</v>
      </c>
      <c r="EA8">
        <v>1239</v>
      </c>
      <c r="EB8">
        <v>1239</v>
      </c>
      <c r="EC8">
        <v>1239</v>
      </c>
      <c r="ED8">
        <v>1239</v>
      </c>
      <c r="EE8">
        <v>1239</v>
      </c>
      <c r="EF8">
        <v>1239</v>
      </c>
      <c r="EG8">
        <v>1239</v>
      </c>
      <c r="EH8">
        <v>1239</v>
      </c>
      <c r="EI8">
        <v>1239</v>
      </c>
      <c r="EJ8">
        <v>1239</v>
      </c>
      <c r="EK8">
        <v>1239</v>
      </c>
      <c r="EL8">
        <v>1239</v>
      </c>
      <c r="EM8">
        <v>1239</v>
      </c>
      <c r="EN8">
        <v>1239</v>
      </c>
      <c r="EO8">
        <v>1239</v>
      </c>
      <c r="EP8">
        <v>1239</v>
      </c>
      <c r="EQ8">
        <v>1239</v>
      </c>
      <c r="ER8">
        <v>1239</v>
      </c>
      <c r="ES8">
        <v>1239</v>
      </c>
      <c r="ET8">
        <v>1239</v>
      </c>
      <c r="EU8">
        <v>1239</v>
      </c>
      <c r="EV8">
        <v>1239</v>
      </c>
      <c r="EW8">
        <v>1239</v>
      </c>
      <c r="EX8">
        <v>1239</v>
      </c>
      <c r="EY8">
        <v>1239</v>
      </c>
      <c r="EZ8">
        <v>1239</v>
      </c>
      <c r="FA8">
        <v>1239</v>
      </c>
      <c r="FB8">
        <v>1239</v>
      </c>
      <c r="FC8">
        <v>1239</v>
      </c>
      <c r="FD8">
        <v>1239</v>
      </c>
      <c r="FE8">
        <v>1239</v>
      </c>
      <c r="FF8">
        <v>1239</v>
      </c>
      <c r="FG8">
        <v>1239</v>
      </c>
      <c r="FH8">
        <v>1239</v>
      </c>
      <c r="FI8">
        <v>1239</v>
      </c>
      <c r="FJ8">
        <v>1239</v>
      </c>
      <c r="FK8">
        <v>1239</v>
      </c>
      <c r="FL8">
        <v>1239</v>
      </c>
      <c r="FM8">
        <v>1239</v>
      </c>
      <c r="FN8">
        <v>1239</v>
      </c>
      <c r="FO8">
        <v>1239</v>
      </c>
      <c r="FP8">
        <v>1239</v>
      </c>
      <c r="FQ8">
        <v>1239</v>
      </c>
      <c r="FR8">
        <v>1239</v>
      </c>
      <c r="FS8">
        <v>1239</v>
      </c>
      <c r="FT8">
        <v>1239</v>
      </c>
      <c r="FU8">
        <v>1239</v>
      </c>
      <c r="FV8">
        <v>1239</v>
      </c>
      <c r="FW8">
        <v>1239</v>
      </c>
      <c r="FX8">
        <v>1239</v>
      </c>
      <c r="FY8">
        <v>1239</v>
      </c>
      <c r="FZ8">
        <v>1239</v>
      </c>
      <c r="GA8">
        <v>1239</v>
      </c>
      <c r="GB8">
        <v>1239</v>
      </c>
      <c r="GC8">
        <v>1239</v>
      </c>
      <c r="GD8">
        <v>1239</v>
      </c>
      <c r="GE8">
        <v>1239</v>
      </c>
      <c r="GF8">
        <v>1239</v>
      </c>
      <c r="GG8">
        <v>1239</v>
      </c>
      <c r="GH8">
        <v>1239</v>
      </c>
      <c r="GI8">
        <v>1239</v>
      </c>
      <c r="GJ8">
        <v>1239</v>
      </c>
      <c r="GK8">
        <v>1239</v>
      </c>
      <c r="GL8">
        <v>1239</v>
      </c>
      <c r="GM8">
        <v>1239</v>
      </c>
      <c r="GN8">
        <v>1239</v>
      </c>
      <c r="GO8">
        <v>1239</v>
      </c>
      <c r="GP8">
        <v>1239</v>
      </c>
      <c r="GQ8">
        <v>1239</v>
      </c>
      <c r="GR8">
        <v>1239</v>
      </c>
      <c r="GS8">
        <v>1239</v>
      </c>
      <c r="GT8">
        <v>1239</v>
      </c>
      <c r="GU8">
        <v>1239</v>
      </c>
      <c r="GV8">
        <v>1239</v>
      </c>
      <c r="GW8">
        <v>1239</v>
      </c>
      <c r="GX8">
        <v>1239</v>
      </c>
      <c r="GY8">
        <v>1239</v>
      </c>
      <c r="GZ8">
        <v>1239</v>
      </c>
      <c r="HA8">
        <v>1239</v>
      </c>
      <c r="HB8">
        <v>1239</v>
      </c>
      <c r="HC8">
        <v>1239</v>
      </c>
      <c r="HD8">
        <v>1239</v>
      </c>
      <c r="HE8">
        <v>1239</v>
      </c>
      <c r="HF8">
        <v>1239</v>
      </c>
      <c r="HG8">
        <v>1239</v>
      </c>
      <c r="HH8">
        <v>1239</v>
      </c>
      <c r="HI8">
        <v>1239</v>
      </c>
      <c r="HJ8">
        <v>1239</v>
      </c>
      <c r="HK8">
        <v>1239</v>
      </c>
      <c r="HL8">
        <v>1239</v>
      </c>
      <c r="HM8">
        <v>1239</v>
      </c>
      <c r="HN8">
        <v>1239</v>
      </c>
      <c r="HO8">
        <v>1239</v>
      </c>
      <c r="HP8">
        <v>1239</v>
      </c>
      <c r="HQ8">
        <v>1239</v>
      </c>
      <c r="HR8">
        <v>1239</v>
      </c>
      <c r="HS8">
        <v>1239</v>
      </c>
      <c r="HT8">
        <v>1239</v>
      </c>
      <c r="HU8">
        <v>1239</v>
      </c>
      <c r="HV8">
        <v>1239</v>
      </c>
      <c r="HW8">
        <v>1239</v>
      </c>
      <c r="HX8">
        <v>1239</v>
      </c>
      <c r="HY8">
        <v>1239</v>
      </c>
      <c r="HZ8">
        <v>1239</v>
      </c>
      <c r="IA8">
        <v>1239</v>
      </c>
      <c r="IB8">
        <v>1239</v>
      </c>
      <c r="IC8">
        <v>1239</v>
      </c>
      <c r="ID8">
        <v>1239</v>
      </c>
      <c r="IE8">
        <v>1239</v>
      </c>
      <c r="IF8">
        <v>1239</v>
      </c>
      <c r="IG8">
        <v>1239</v>
      </c>
      <c r="IH8">
        <v>1239</v>
      </c>
      <c r="II8">
        <v>1239</v>
      </c>
      <c r="IJ8">
        <v>1239</v>
      </c>
      <c r="IK8">
        <v>1239</v>
      </c>
      <c r="IL8">
        <v>1239</v>
      </c>
      <c r="IM8">
        <v>1239</v>
      </c>
      <c r="IN8">
        <v>1239</v>
      </c>
      <c r="IO8">
        <v>1239</v>
      </c>
      <c r="IP8">
        <v>1239</v>
      </c>
      <c r="IQ8">
        <v>1239</v>
      </c>
      <c r="IR8">
        <v>1239</v>
      </c>
      <c r="IS8">
        <v>1239</v>
      </c>
      <c r="IT8">
        <v>1239</v>
      </c>
      <c r="IU8">
        <v>1239</v>
      </c>
      <c r="IV8">
        <v>1239</v>
      </c>
      <c r="IW8">
        <v>1239</v>
      </c>
      <c r="IX8">
        <v>1239</v>
      </c>
      <c r="IY8">
        <v>1239</v>
      </c>
      <c r="IZ8">
        <v>1239</v>
      </c>
      <c r="JA8">
        <v>1239</v>
      </c>
      <c r="JB8">
        <v>1239</v>
      </c>
      <c r="JC8">
        <v>1239</v>
      </c>
      <c r="JD8">
        <v>1239</v>
      </c>
      <c r="JE8">
        <v>1239</v>
      </c>
      <c r="JF8">
        <v>1239</v>
      </c>
      <c r="JG8">
        <v>1239</v>
      </c>
      <c r="JH8">
        <v>1239</v>
      </c>
      <c r="JI8">
        <v>1239</v>
      </c>
      <c r="JJ8">
        <v>1239</v>
      </c>
      <c r="JK8">
        <v>1239</v>
      </c>
      <c r="JL8">
        <v>1239</v>
      </c>
      <c r="JM8">
        <v>1239</v>
      </c>
      <c r="JN8">
        <v>1239</v>
      </c>
      <c r="JO8">
        <v>1239</v>
      </c>
      <c r="JP8">
        <v>1239</v>
      </c>
      <c r="JQ8">
        <v>1239</v>
      </c>
      <c r="JR8">
        <v>1239</v>
      </c>
      <c r="JS8">
        <v>1239</v>
      </c>
      <c r="JT8">
        <v>1239</v>
      </c>
      <c r="JU8">
        <v>1239</v>
      </c>
      <c r="JV8">
        <v>1239</v>
      </c>
      <c r="JW8">
        <v>1239</v>
      </c>
      <c r="JX8">
        <v>1239</v>
      </c>
      <c r="JY8">
        <v>1239</v>
      </c>
      <c r="JZ8">
        <v>1239</v>
      </c>
      <c r="KA8">
        <v>1239</v>
      </c>
      <c r="KB8">
        <v>1239</v>
      </c>
      <c r="KC8">
        <v>1239</v>
      </c>
      <c r="KD8">
        <v>1239</v>
      </c>
      <c r="KE8">
        <v>1239</v>
      </c>
      <c r="KF8">
        <v>1239</v>
      </c>
      <c r="KG8">
        <v>1239</v>
      </c>
      <c r="KH8">
        <v>1239</v>
      </c>
      <c r="KI8">
        <v>1239</v>
      </c>
      <c r="KJ8">
        <v>1239</v>
      </c>
      <c r="KK8">
        <v>1239</v>
      </c>
      <c r="KL8">
        <v>1239</v>
      </c>
      <c r="KM8">
        <v>1239</v>
      </c>
      <c r="KN8">
        <v>1239</v>
      </c>
      <c r="KO8">
        <v>1239</v>
      </c>
      <c r="KP8">
        <v>1239</v>
      </c>
      <c r="KQ8">
        <v>1239</v>
      </c>
      <c r="KR8">
        <v>1239</v>
      </c>
      <c r="KS8">
        <v>1239</v>
      </c>
      <c r="KT8">
        <v>1239</v>
      </c>
      <c r="KU8">
        <v>1239</v>
      </c>
      <c r="KV8">
        <v>1239</v>
      </c>
      <c r="KW8">
        <v>1239</v>
      </c>
      <c r="KX8">
        <v>1239</v>
      </c>
      <c r="KY8">
        <v>1239</v>
      </c>
      <c r="KZ8">
        <v>1239</v>
      </c>
      <c r="LA8">
        <v>1239</v>
      </c>
      <c r="LB8">
        <v>1239</v>
      </c>
      <c r="LC8">
        <v>1239</v>
      </c>
      <c r="LD8">
        <v>1239</v>
      </c>
      <c r="LE8">
        <v>1239</v>
      </c>
      <c r="LF8">
        <v>1239</v>
      </c>
      <c r="LG8">
        <v>1239</v>
      </c>
      <c r="LH8">
        <v>1239</v>
      </c>
      <c r="LI8">
        <v>1239</v>
      </c>
      <c r="LJ8">
        <v>1239</v>
      </c>
      <c r="LK8">
        <v>1239</v>
      </c>
      <c r="LL8">
        <v>1239</v>
      </c>
      <c r="LM8">
        <v>1239</v>
      </c>
      <c r="LN8">
        <v>1239</v>
      </c>
      <c r="LO8">
        <v>1239</v>
      </c>
      <c r="LP8">
        <v>1239</v>
      </c>
      <c r="LQ8">
        <v>1239</v>
      </c>
      <c r="LR8">
        <v>1239</v>
      </c>
      <c r="LS8">
        <v>1239</v>
      </c>
      <c r="LT8">
        <v>1239</v>
      </c>
      <c r="LU8">
        <v>1239</v>
      </c>
      <c r="LV8">
        <v>1239</v>
      </c>
      <c r="LW8">
        <v>1239</v>
      </c>
      <c r="LX8">
        <v>1239</v>
      </c>
      <c r="LY8">
        <v>1239</v>
      </c>
      <c r="LZ8">
        <v>1239</v>
      </c>
      <c r="MA8">
        <v>1239</v>
      </c>
      <c r="MB8">
        <v>1239</v>
      </c>
      <c r="MC8">
        <v>1239</v>
      </c>
      <c r="MD8">
        <v>1239</v>
      </c>
      <c r="ME8">
        <v>1239</v>
      </c>
      <c r="MF8">
        <v>1239</v>
      </c>
      <c r="MG8">
        <v>1239</v>
      </c>
      <c r="MH8">
        <v>1239</v>
      </c>
      <c r="MI8">
        <v>1239</v>
      </c>
      <c r="MJ8">
        <v>1239</v>
      </c>
      <c r="MK8">
        <v>1239</v>
      </c>
      <c r="ML8">
        <v>1239</v>
      </c>
      <c r="MM8">
        <v>1239</v>
      </c>
      <c r="MN8">
        <v>1239</v>
      </c>
      <c r="MO8">
        <v>1239</v>
      </c>
      <c r="MP8">
        <v>1239</v>
      </c>
      <c r="MQ8">
        <v>1239</v>
      </c>
      <c r="MR8">
        <v>1239</v>
      </c>
      <c r="MS8">
        <v>1239</v>
      </c>
      <c r="MT8">
        <v>1239</v>
      </c>
      <c r="MU8">
        <v>1239</v>
      </c>
      <c r="MV8">
        <v>1239</v>
      </c>
      <c r="MW8">
        <v>1239</v>
      </c>
      <c r="MX8">
        <v>1239</v>
      </c>
      <c r="MY8">
        <v>1239</v>
      </c>
      <c r="MZ8">
        <v>1239</v>
      </c>
      <c r="NA8">
        <v>1239</v>
      </c>
      <c r="NB8">
        <v>1239</v>
      </c>
      <c r="NC8">
        <v>1239</v>
      </c>
      <c r="ND8">
        <v>1239</v>
      </c>
      <c r="NE8">
        <v>1239</v>
      </c>
      <c r="NF8">
        <v>1239</v>
      </c>
      <c r="NG8">
        <v>1239</v>
      </c>
      <c r="NH8">
        <v>1239</v>
      </c>
      <c r="NI8">
        <v>1239</v>
      </c>
      <c r="NJ8">
        <v>1239</v>
      </c>
      <c r="NK8">
        <v>1239</v>
      </c>
      <c r="NL8">
        <v>1239</v>
      </c>
      <c r="NM8">
        <v>1239</v>
      </c>
      <c r="NN8">
        <v>1239</v>
      </c>
      <c r="NO8">
        <v>1239</v>
      </c>
      <c r="NP8">
        <v>1239</v>
      </c>
      <c r="NQ8">
        <v>1239</v>
      </c>
      <c r="NR8">
        <v>1239</v>
      </c>
      <c r="NS8">
        <v>1239</v>
      </c>
      <c r="NT8">
        <v>1239</v>
      </c>
      <c r="NU8">
        <v>1239</v>
      </c>
      <c r="NV8">
        <v>1239</v>
      </c>
      <c r="NW8">
        <v>1239</v>
      </c>
      <c r="NX8">
        <v>1239</v>
      </c>
      <c r="NY8">
        <v>1239</v>
      </c>
      <c r="NZ8">
        <v>1239</v>
      </c>
      <c r="OA8">
        <v>1239</v>
      </c>
      <c r="OB8">
        <v>1239</v>
      </c>
      <c r="OC8">
        <v>1239</v>
      </c>
      <c r="OD8">
        <v>1239</v>
      </c>
      <c r="OE8">
        <v>1239</v>
      </c>
      <c r="OF8">
        <v>1239</v>
      </c>
      <c r="OG8">
        <v>1239</v>
      </c>
      <c r="OH8">
        <v>1239</v>
      </c>
      <c r="OI8">
        <v>1239</v>
      </c>
      <c r="OJ8">
        <v>1239</v>
      </c>
      <c r="OK8">
        <v>1239</v>
      </c>
      <c r="OL8">
        <v>1239</v>
      </c>
      <c r="OM8">
        <v>1239</v>
      </c>
      <c r="ON8">
        <v>1239</v>
      </c>
      <c r="OO8">
        <v>1239</v>
      </c>
      <c r="OP8">
        <v>1239</v>
      </c>
      <c r="OQ8">
        <v>1239</v>
      </c>
      <c r="OR8">
        <v>1239</v>
      </c>
      <c r="OS8">
        <v>1239</v>
      </c>
      <c r="OT8">
        <v>1239</v>
      </c>
      <c r="OU8">
        <v>1239</v>
      </c>
      <c r="OV8">
        <v>1239</v>
      </c>
      <c r="OW8">
        <v>1239</v>
      </c>
      <c r="OX8">
        <v>1239</v>
      </c>
      <c r="OY8">
        <v>1239</v>
      </c>
      <c r="OZ8">
        <v>1239</v>
      </c>
      <c r="PA8">
        <v>1239</v>
      </c>
      <c r="PB8">
        <v>1239</v>
      </c>
      <c r="PC8">
        <v>1239</v>
      </c>
      <c r="PD8">
        <v>1239</v>
      </c>
      <c r="PE8">
        <v>1239</v>
      </c>
      <c r="PF8">
        <v>1239</v>
      </c>
      <c r="PG8">
        <v>1239</v>
      </c>
      <c r="PH8">
        <v>1239</v>
      </c>
      <c r="PI8">
        <v>1239</v>
      </c>
      <c r="PJ8">
        <v>1239</v>
      </c>
      <c r="PK8">
        <v>1239</v>
      </c>
      <c r="PL8">
        <v>1239</v>
      </c>
      <c r="PM8">
        <v>1239</v>
      </c>
      <c r="PN8">
        <v>1239</v>
      </c>
      <c r="PO8">
        <v>1239</v>
      </c>
      <c r="PP8">
        <v>1239</v>
      </c>
      <c r="PQ8">
        <v>1239</v>
      </c>
      <c r="PR8">
        <v>1239</v>
      </c>
      <c r="PS8">
        <v>1239</v>
      </c>
      <c r="PT8">
        <v>1239</v>
      </c>
      <c r="PU8">
        <v>1239</v>
      </c>
      <c r="PV8">
        <v>1239</v>
      </c>
      <c r="PW8">
        <v>1239</v>
      </c>
      <c r="PX8">
        <v>1239</v>
      </c>
      <c r="PY8">
        <v>1239</v>
      </c>
      <c r="PZ8">
        <v>1239</v>
      </c>
      <c r="QA8">
        <v>1239</v>
      </c>
      <c r="QB8">
        <v>1239</v>
      </c>
      <c r="QC8">
        <v>1239</v>
      </c>
      <c r="QD8">
        <v>1239</v>
      </c>
      <c r="QE8">
        <v>1239</v>
      </c>
      <c r="QF8">
        <v>1239</v>
      </c>
      <c r="QG8">
        <v>1239</v>
      </c>
      <c r="QH8">
        <v>1239</v>
      </c>
      <c r="QI8">
        <v>1239</v>
      </c>
      <c r="QJ8">
        <v>1239</v>
      </c>
      <c r="QK8">
        <v>1239</v>
      </c>
      <c r="QL8">
        <v>1239</v>
      </c>
      <c r="QM8">
        <v>1239</v>
      </c>
      <c r="QN8">
        <v>1239</v>
      </c>
      <c r="QO8">
        <v>1239</v>
      </c>
      <c r="QP8">
        <v>1239</v>
      </c>
      <c r="QQ8">
        <v>1239</v>
      </c>
      <c r="QR8">
        <v>1239</v>
      </c>
      <c r="QS8">
        <v>1239</v>
      </c>
      <c r="QT8">
        <v>1239</v>
      </c>
      <c r="QU8">
        <v>1239</v>
      </c>
      <c r="QV8">
        <v>1239</v>
      </c>
      <c r="QW8">
        <v>1239</v>
      </c>
      <c r="QX8">
        <v>1239</v>
      </c>
      <c r="QY8">
        <v>1239</v>
      </c>
      <c r="QZ8">
        <v>1239</v>
      </c>
      <c r="RA8">
        <v>1239</v>
      </c>
      <c r="RB8">
        <v>1239</v>
      </c>
      <c r="RC8">
        <v>1239</v>
      </c>
      <c r="RD8">
        <v>1239</v>
      </c>
      <c r="RE8">
        <v>1239</v>
      </c>
      <c r="RF8">
        <v>1239</v>
      </c>
      <c r="RG8">
        <v>1239</v>
      </c>
      <c r="RH8">
        <v>1239</v>
      </c>
      <c r="RI8">
        <v>1239</v>
      </c>
      <c r="RJ8">
        <v>1239</v>
      </c>
      <c r="RK8">
        <v>1239</v>
      </c>
      <c r="RL8">
        <v>1239</v>
      </c>
      <c r="RM8">
        <v>1239</v>
      </c>
      <c r="RN8">
        <v>1239</v>
      </c>
      <c r="RO8">
        <v>1239</v>
      </c>
      <c r="RP8">
        <v>1239</v>
      </c>
      <c r="RQ8">
        <v>1239</v>
      </c>
      <c r="RR8">
        <v>1239</v>
      </c>
      <c r="RS8">
        <v>1239</v>
      </c>
      <c r="RT8">
        <v>1239</v>
      </c>
      <c r="RU8">
        <v>1239</v>
      </c>
      <c r="RV8">
        <v>1239</v>
      </c>
      <c r="RW8">
        <v>1239</v>
      </c>
      <c r="RX8">
        <v>1239</v>
      </c>
      <c r="RY8">
        <v>1239</v>
      </c>
      <c r="RZ8">
        <v>1239</v>
      </c>
      <c r="SA8">
        <v>1239</v>
      </c>
      <c r="SB8">
        <v>1239</v>
      </c>
      <c r="SC8">
        <v>1239</v>
      </c>
      <c r="SD8">
        <v>1239</v>
      </c>
      <c r="SE8">
        <v>1239</v>
      </c>
      <c r="SF8">
        <v>1239</v>
      </c>
      <c r="SG8">
        <v>1239</v>
      </c>
      <c r="SH8">
        <v>1239</v>
      </c>
      <c r="SI8">
        <v>1239</v>
      </c>
      <c r="SJ8">
        <v>1239</v>
      </c>
      <c r="SK8">
        <v>1239</v>
      </c>
      <c r="SL8">
        <v>1239</v>
      </c>
      <c r="SM8">
        <v>1239</v>
      </c>
      <c r="SN8">
        <v>1239</v>
      </c>
      <c r="SO8">
        <v>1239</v>
      </c>
      <c r="SP8">
        <v>1239</v>
      </c>
      <c r="SQ8">
        <v>1239</v>
      </c>
      <c r="SR8">
        <v>1239</v>
      </c>
      <c r="SS8">
        <v>1239</v>
      </c>
      <c r="ST8">
        <v>1239</v>
      </c>
      <c r="SU8">
        <v>1239</v>
      </c>
      <c r="SV8">
        <v>1239</v>
      </c>
      <c r="SW8">
        <v>1239</v>
      </c>
      <c r="SX8">
        <v>1239</v>
      </c>
      <c r="SY8">
        <v>1239</v>
      </c>
      <c r="SZ8">
        <v>1239</v>
      </c>
      <c r="TA8">
        <v>1239</v>
      </c>
      <c r="TB8">
        <v>1239</v>
      </c>
      <c r="TC8">
        <v>1239</v>
      </c>
      <c r="TD8">
        <v>1239</v>
      </c>
      <c r="TE8">
        <v>1239</v>
      </c>
      <c r="TF8">
        <v>1239</v>
      </c>
      <c r="TG8">
        <v>1239</v>
      </c>
      <c r="TH8">
        <v>1239</v>
      </c>
      <c r="TI8">
        <v>1239</v>
      </c>
      <c r="TJ8">
        <v>1239</v>
      </c>
      <c r="TK8">
        <v>1239</v>
      </c>
      <c r="TL8">
        <v>1239</v>
      </c>
      <c r="TM8">
        <v>1239</v>
      </c>
      <c r="TN8">
        <v>1239</v>
      </c>
      <c r="TO8">
        <v>1239</v>
      </c>
      <c r="TP8">
        <v>1239</v>
      </c>
      <c r="TQ8">
        <v>1239</v>
      </c>
      <c r="TR8">
        <v>1239</v>
      </c>
      <c r="TS8">
        <v>1239</v>
      </c>
      <c r="TT8">
        <v>1239</v>
      </c>
      <c r="TU8">
        <v>1239</v>
      </c>
      <c r="TV8">
        <v>1239</v>
      </c>
      <c r="TW8">
        <v>1239</v>
      </c>
      <c r="TX8">
        <v>1239</v>
      </c>
      <c r="TY8">
        <v>1239</v>
      </c>
      <c r="TZ8">
        <v>1239</v>
      </c>
      <c r="UA8">
        <v>1239</v>
      </c>
      <c r="UB8">
        <v>1239</v>
      </c>
      <c r="UC8">
        <v>1239</v>
      </c>
      <c r="UD8">
        <v>1239</v>
      </c>
      <c r="UE8">
        <v>1239</v>
      </c>
      <c r="UF8">
        <v>1239</v>
      </c>
      <c r="UG8">
        <v>1239</v>
      </c>
      <c r="UH8">
        <v>1239</v>
      </c>
      <c r="UI8">
        <v>1239</v>
      </c>
      <c r="UJ8">
        <v>1239</v>
      </c>
      <c r="UK8">
        <v>1239</v>
      </c>
      <c r="UL8">
        <v>1239</v>
      </c>
      <c r="UM8">
        <v>1239</v>
      </c>
      <c r="UN8">
        <v>1239</v>
      </c>
      <c r="UO8">
        <v>1239</v>
      </c>
      <c r="UP8">
        <v>1239</v>
      </c>
      <c r="UQ8">
        <v>1239</v>
      </c>
      <c r="UR8">
        <v>1239</v>
      </c>
      <c r="US8">
        <v>1239</v>
      </c>
      <c r="UT8">
        <v>1239</v>
      </c>
      <c r="UU8">
        <v>1239</v>
      </c>
      <c r="UV8">
        <v>1239</v>
      </c>
      <c r="UW8">
        <v>1239</v>
      </c>
      <c r="UX8">
        <v>1239</v>
      </c>
      <c r="UY8">
        <v>1239</v>
      </c>
      <c r="UZ8">
        <v>1239</v>
      </c>
      <c r="VA8">
        <v>1239</v>
      </c>
      <c r="VB8">
        <v>1239</v>
      </c>
      <c r="VC8">
        <v>1239</v>
      </c>
      <c r="VD8">
        <v>1239</v>
      </c>
      <c r="VE8">
        <v>1239</v>
      </c>
      <c r="VF8">
        <v>1239</v>
      </c>
      <c r="VG8">
        <v>1239</v>
      </c>
      <c r="VH8">
        <v>1239</v>
      </c>
      <c r="VI8">
        <v>1239</v>
      </c>
      <c r="VJ8">
        <v>1239</v>
      </c>
      <c r="VK8">
        <v>1239</v>
      </c>
      <c r="VL8">
        <v>1239</v>
      </c>
      <c r="VM8">
        <v>1239</v>
      </c>
      <c r="VN8">
        <v>1239</v>
      </c>
      <c r="VO8">
        <v>1239</v>
      </c>
      <c r="VP8">
        <v>1239</v>
      </c>
      <c r="VQ8">
        <v>1239</v>
      </c>
      <c r="VR8">
        <v>1239</v>
      </c>
      <c r="VS8">
        <v>1239</v>
      </c>
      <c r="VT8">
        <v>1239</v>
      </c>
      <c r="VU8">
        <v>1239</v>
      </c>
      <c r="VV8">
        <v>1239</v>
      </c>
      <c r="VW8">
        <v>1239</v>
      </c>
      <c r="VX8">
        <v>1239</v>
      </c>
      <c r="VY8">
        <v>1239</v>
      </c>
      <c r="VZ8">
        <v>1239</v>
      </c>
      <c r="WA8">
        <v>1239</v>
      </c>
      <c r="WB8">
        <v>1239</v>
      </c>
      <c r="WC8">
        <v>1239</v>
      </c>
      <c r="WD8">
        <v>1239</v>
      </c>
      <c r="WE8">
        <v>1239</v>
      </c>
      <c r="WF8">
        <v>1239</v>
      </c>
      <c r="WG8">
        <v>1239</v>
      </c>
      <c r="WH8">
        <v>1239</v>
      </c>
      <c r="WI8">
        <v>1239</v>
      </c>
      <c r="WJ8">
        <v>1239</v>
      </c>
      <c r="WK8">
        <v>1239</v>
      </c>
      <c r="WL8">
        <v>1239</v>
      </c>
      <c r="WM8">
        <v>1239</v>
      </c>
      <c r="WN8">
        <v>1239</v>
      </c>
      <c r="WO8">
        <v>1239</v>
      </c>
      <c r="WP8">
        <v>1239</v>
      </c>
      <c r="WQ8">
        <v>1239</v>
      </c>
      <c r="WR8">
        <v>1239</v>
      </c>
      <c r="WS8">
        <v>1239</v>
      </c>
      <c r="WT8">
        <v>1239</v>
      </c>
      <c r="WU8">
        <v>1239</v>
      </c>
      <c r="WV8">
        <v>1239</v>
      </c>
      <c r="WW8">
        <v>1239</v>
      </c>
      <c r="WX8">
        <v>1239</v>
      </c>
      <c r="WY8">
        <v>1239</v>
      </c>
      <c r="WZ8">
        <v>1239</v>
      </c>
      <c r="XA8">
        <v>1239</v>
      </c>
      <c r="XB8">
        <v>1239</v>
      </c>
      <c r="XC8">
        <v>1239</v>
      </c>
      <c r="XD8">
        <v>1239</v>
      </c>
      <c r="XE8">
        <v>1239</v>
      </c>
      <c r="XF8">
        <v>1239</v>
      </c>
      <c r="XG8">
        <v>1239</v>
      </c>
      <c r="XH8">
        <v>1239</v>
      </c>
      <c r="XI8">
        <v>1239</v>
      </c>
      <c r="XJ8">
        <v>1239</v>
      </c>
      <c r="XK8">
        <v>1239</v>
      </c>
      <c r="XL8">
        <v>1239</v>
      </c>
      <c r="XM8">
        <v>1239</v>
      </c>
      <c r="XN8">
        <v>1239</v>
      </c>
      <c r="XO8">
        <v>1239</v>
      </c>
      <c r="XP8">
        <v>1239</v>
      </c>
      <c r="XQ8">
        <v>1239</v>
      </c>
      <c r="XR8">
        <v>1239</v>
      </c>
      <c r="XS8">
        <v>1239</v>
      </c>
      <c r="XT8">
        <v>1239</v>
      </c>
      <c r="XU8">
        <v>1239</v>
      </c>
      <c r="XV8">
        <v>1239</v>
      </c>
      <c r="XW8">
        <v>1239</v>
      </c>
      <c r="XX8">
        <v>1239</v>
      </c>
      <c r="XY8">
        <v>1239</v>
      </c>
      <c r="XZ8">
        <v>1239</v>
      </c>
      <c r="YA8">
        <v>1239</v>
      </c>
      <c r="YB8">
        <v>1239</v>
      </c>
      <c r="YC8">
        <v>1239</v>
      </c>
      <c r="YD8">
        <v>1239</v>
      </c>
      <c r="YE8">
        <v>1239</v>
      </c>
      <c r="YF8">
        <v>1239</v>
      </c>
      <c r="YG8">
        <v>1239</v>
      </c>
      <c r="YH8">
        <v>1239</v>
      </c>
      <c r="YI8">
        <v>1239</v>
      </c>
      <c r="YJ8">
        <v>1239</v>
      </c>
      <c r="YK8">
        <v>1239</v>
      </c>
      <c r="YL8">
        <v>1239</v>
      </c>
      <c r="YM8">
        <v>1239</v>
      </c>
      <c r="YN8">
        <v>1239</v>
      </c>
      <c r="YO8">
        <v>1239</v>
      </c>
      <c r="YP8">
        <v>1239</v>
      </c>
      <c r="YQ8">
        <v>1239</v>
      </c>
      <c r="YR8">
        <v>1239</v>
      </c>
      <c r="YS8">
        <v>1239</v>
      </c>
      <c r="YT8">
        <v>1239</v>
      </c>
      <c r="YU8">
        <v>1239</v>
      </c>
      <c r="YV8">
        <v>1239</v>
      </c>
      <c r="YW8">
        <v>1239</v>
      </c>
      <c r="YX8">
        <v>1239</v>
      </c>
      <c r="YY8">
        <v>1239</v>
      </c>
      <c r="YZ8">
        <v>1239</v>
      </c>
      <c r="ZA8">
        <v>1239</v>
      </c>
      <c r="ZB8">
        <v>1239</v>
      </c>
      <c r="ZC8">
        <v>1239</v>
      </c>
      <c r="ZD8">
        <v>1239</v>
      </c>
      <c r="ZE8">
        <v>1239</v>
      </c>
      <c r="ZF8">
        <v>1239</v>
      </c>
      <c r="ZG8">
        <v>1239</v>
      </c>
      <c r="ZH8">
        <v>1239</v>
      </c>
      <c r="ZI8">
        <v>1239</v>
      </c>
      <c r="ZJ8">
        <v>1239</v>
      </c>
      <c r="ZK8">
        <v>1239</v>
      </c>
      <c r="ZL8">
        <v>1239</v>
      </c>
      <c r="ZM8">
        <v>1239</v>
      </c>
      <c r="ZN8">
        <v>1239</v>
      </c>
      <c r="ZO8">
        <v>1239</v>
      </c>
      <c r="ZP8">
        <v>1239</v>
      </c>
      <c r="ZQ8">
        <v>1239</v>
      </c>
      <c r="ZR8">
        <v>1239</v>
      </c>
      <c r="ZS8">
        <v>1239</v>
      </c>
      <c r="ZT8">
        <v>1239</v>
      </c>
      <c r="ZU8">
        <v>1239</v>
      </c>
      <c r="ZV8">
        <v>1239</v>
      </c>
      <c r="ZW8">
        <v>1239</v>
      </c>
      <c r="ZX8">
        <v>1239</v>
      </c>
      <c r="ZY8">
        <v>1239</v>
      </c>
      <c r="ZZ8">
        <v>1239</v>
      </c>
      <c r="AAA8">
        <v>1239</v>
      </c>
      <c r="AAB8">
        <v>1239</v>
      </c>
      <c r="AAC8">
        <v>1239</v>
      </c>
      <c r="AAD8">
        <v>1239</v>
      </c>
      <c r="AAE8">
        <v>1239</v>
      </c>
      <c r="AAF8">
        <v>1239</v>
      </c>
      <c r="AAG8">
        <v>1239</v>
      </c>
      <c r="AAH8">
        <v>1239</v>
      </c>
      <c r="AAI8">
        <v>1239</v>
      </c>
      <c r="AAJ8">
        <v>1239</v>
      </c>
      <c r="AAK8">
        <v>1239</v>
      </c>
      <c r="AAL8">
        <v>1239</v>
      </c>
      <c r="AAM8">
        <v>1239</v>
      </c>
      <c r="AAN8">
        <v>1239</v>
      </c>
      <c r="AAO8">
        <v>1239</v>
      </c>
      <c r="AAP8">
        <v>1239</v>
      </c>
      <c r="AAQ8">
        <v>1239</v>
      </c>
      <c r="AAR8">
        <v>1239</v>
      </c>
      <c r="AAS8">
        <v>1239</v>
      </c>
      <c r="AAT8">
        <v>1239</v>
      </c>
      <c r="AAU8">
        <v>1239</v>
      </c>
      <c r="AAV8">
        <v>1239</v>
      </c>
      <c r="AAW8">
        <v>1239</v>
      </c>
      <c r="AAX8">
        <v>1239</v>
      </c>
      <c r="AAY8">
        <v>1239</v>
      </c>
      <c r="AAZ8">
        <v>1239</v>
      </c>
      <c r="ABA8">
        <v>1239</v>
      </c>
      <c r="ABB8">
        <v>1239</v>
      </c>
      <c r="ABC8">
        <v>1239</v>
      </c>
      <c r="ABD8">
        <v>1239</v>
      </c>
      <c r="ABE8">
        <v>1239</v>
      </c>
      <c r="ABF8">
        <v>1239</v>
      </c>
      <c r="ABG8">
        <v>1239</v>
      </c>
      <c r="ABH8">
        <v>1239</v>
      </c>
      <c r="ABI8">
        <v>1239</v>
      </c>
      <c r="ABJ8">
        <v>1239</v>
      </c>
      <c r="ABK8">
        <v>1239</v>
      </c>
      <c r="ABL8">
        <v>1239</v>
      </c>
      <c r="ABM8">
        <v>1239</v>
      </c>
      <c r="ABN8">
        <v>1239</v>
      </c>
      <c r="ABO8">
        <v>1239</v>
      </c>
      <c r="ABP8">
        <v>1239</v>
      </c>
      <c r="ABQ8">
        <v>1239</v>
      </c>
      <c r="ABR8">
        <v>1239</v>
      </c>
      <c r="ABS8">
        <v>1239</v>
      </c>
      <c r="ABT8">
        <v>1239</v>
      </c>
      <c r="ABU8">
        <v>1239</v>
      </c>
      <c r="ABV8">
        <v>1239</v>
      </c>
      <c r="ABW8">
        <v>1239</v>
      </c>
      <c r="ABX8">
        <v>1239</v>
      </c>
      <c r="ABY8">
        <v>1239</v>
      </c>
      <c r="ABZ8">
        <v>1239</v>
      </c>
      <c r="ACA8">
        <v>1239</v>
      </c>
      <c r="ACB8">
        <v>1239</v>
      </c>
      <c r="ACC8">
        <v>1239</v>
      </c>
      <c r="ACD8">
        <v>1239</v>
      </c>
      <c r="ACE8">
        <v>1239</v>
      </c>
      <c r="ACF8">
        <v>1239</v>
      </c>
      <c r="ACG8">
        <v>1239</v>
      </c>
      <c r="ACH8">
        <v>1239</v>
      </c>
      <c r="ACI8">
        <v>1239</v>
      </c>
      <c r="ACJ8">
        <v>1239</v>
      </c>
      <c r="ACK8">
        <v>1239</v>
      </c>
      <c r="ACL8">
        <v>1239</v>
      </c>
      <c r="ACM8">
        <v>1239</v>
      </c>
      <c r="ACN8">
        <v>1239</v>
      </c>
      <c r="ACO8">
        <v>1239</v>
      </c>
      <c r="ACP8">
        <v>1239</v>
      </c>
      <c r="ACQ8">
        <v>1239</v>
      </c>
      <c r="ACR8">
        <v>1239</v>
      </c>
      <c r="ACS8">
        <v>1239</v>
      </c>
      <c r="ACT8">
        <v>1239</v>
      </c>
      <c r="ACU8">
        <v>1239</v>
      </c>
      <c r="ACV8">
        <v>1239</v>
      </c>
      <c r="ACW8">
        <v>1239</v>
      </c>
      <c r="ACX8">
        <v>1239</v>
      </c>
      <c r="ACY8">
        <v>1239</v>
      </c>
      <c r="ACZ8">
        <v>1239</v>
      </c>
      <c r="ADA8">
        <v>1239</v>
      </c>
      <c r="ADB8">
        <v>1239</v>
      </c>
      <c r="ADC8">
        <v>1239</v>
      </c>
      <c r="ADD8">
        <v>1239</v>
      </c>
      <c r="ADE8">
        <v>1239</v>
      </c>
      <c r="ADF8">
        <v>1239</v>
      </c>
      <c r="ADG8">
        <v>1239</v>
      </c>
      <c r="ADH8">
        <v>1239</v>
      </c>
      <c r="ADI8">
        <v>1239</v>
      </c>
      <c r="ADJ8">
        <v>1239</v>
      </c>
      <c r="ADK8">
        <v>1239</v>
      </c>
      <c r="ADL8">
        <v>1239</v>
      </c>
      <c r="ADM8">
        <v>1239</v>
      </c>
      <c r="ADN8">
        <v>1239</v>
      </c>
      <c r="ADO8">
        <v>1239</v>
      </c>
      <c r="ADP8">
        <v>1239</v>
      </c>
      <c r="ADQ8">
        <v>1239</v>
      </c>
      <c r="ADR8">
        <v>1239</v>
      </c>
      <c r="ADS8">
        <v>1239</v>
      </c>
      <c r="ADT8">
        <v>1239</v>
      </c>
      <c r="ADU8">
        <v>1239</v>
      </c>
      <c r="ADV8">
        <v>1239</v>
      </c>
      <c r="ADW8">
        <v>1239</v>
      </c>
      <c r="ADX8">
        <v>1239</v>
      </c>
      <c r="ADY8">
        <v>1239</v>
      </c>
      <c r="ADZ8">
        <v>1239</v>
      </c>
      <c r="AEA8">
        <v>1239</v>
      </c>
      <c r="AEB8">
        <v>1239</v>
      </c>
      <c r="AEC8">
        <v>1239</v>
      </c>
      <c r="AED8">
        <v>1239</v>
      </c>
      <c r="AEE8">
        <v>1239</v>
      </c>
      <c r="AEF8">
        <v>1239</v>
      </c>
      <c r="AEG8">
        <v>1239</v>
      </c>
      <c r="AEH8">
        <v>1239</v>
      </c>
      <c r="AEI8">
        <v>1239</v>
      </c>
      <c r="AEJ8">
        <v>1239</v>
      </c>
      <c r="AEK8">
        <v>1239</v>
      </c>
      <c r="AEL8">
        <v>1239</v>
      </c>
      <c r="AEM8">
        <v>1239</v>
      </c>
      <c r="AEN8">
        <v>1239</v>
      </c>
      <c r="AEO8">
        <v>1239</v>
      </c>
      <c r="AEP8">
        <v>1239</v>
      </c>
      <c r="AEQ8">
        <v>1239</v>
      </c>
      <c r="AER8">
        <v>1239</v>
      </c>
      <c r="AES8">
        <v>1239</v>
      </c>
      <c r="AET8">
        <v>1239</v>
      </c>
      <c r="AEU8">
        <v>1239</v>
      </c>
      <c r="AEV8">
        <v>1239</v>
      </c>
      <c r="AEW8">
        <v>1239</v>
      </c>
      <c r="AEX8">
        <v>1239</v>
      </c>
      <c r="AEY8">
        <v>1239</v>
      </c>
      <c r="AEZ8">
        <v>1239</v>
      </c>
      <c r="AFA8">
        <v>1239</v>
      </c>
      <c r="AFB8">
        <v>1239</v>
      </c>
      <c r="AFC8">
        <v>1239</v>
      </c>
      <c r="AFD8">
        <v>1239</v>
      </c>
      <c r="AFE8">
        <v>1239</v>
      </c>
      <c r="AFF8">
        <v>1239</v>
      </c>
      <c r="AFG8">
        <v>1239</v>
      </c>
      <c r="AFH8">
        <v>1239</v>
      </c>
      <c r="AFI8">
        <v>1239</v>
      </c>
      <c r="AFJ8">
        <v>1239</v>
      </c>
      <c r="AFK8">
        <v>1239</v>
      </c>
      <c r="AFL8">
        <v>1239</v>
      </c>
      <c r="AFM8">
        <v>1239</v>
      </c>
      <c r="AFN8">
        <v>1239</v>
      </c>
      <c r="AFO8">
        <v>1239</v>
      </c>
      <c r="AFP8">
        <v>1239</v>
      </c>
      <c r="AFQ8">
        <v>1239</v>
      </c>
      <c r="AFR8">
        <v>1239</v>
      </c>
      <c r="AFS8">
        <v>1239</v>
      </c>
      <c r="AFT8">
        <v>1239</v>
      </c>
      <c r="AFU8">
        <v>1239</v>
      </c>
      <c r="AFV8">
        <v>1239</v>
      </c>
      <c r="AFW8">
        <v>1239</v>
      </c>
      <c r="AFX8">
        <v>1239</v>
      </c>
      <c r="AFY8">
        <v>1239</v>
      </c>
      <c r="AFZ8">
        <v>1239</v>
      </c>
      <c r="AGA8">
        <v>1239</v>
      </c>
      <c r="AGB8">
        <v>1239</v>
      </c>
      <c r="AGC8">
        <v>1239</v>
      </c>
      <c r="AGD8">
        <v>1239</v>
      </c>
      <c r="AGE8">
        <v>1239</v>
      </c>
      <c r="AGF8">
        <v>1239</v>
      </c>
      <c r="AGG8">
        <v>1239</v>
      </c>
      <c r="AGH8">
        <v>1239</v>
      </c>
      <c r="AGI8">
        <v>1239</v>
      </c>
      <c r="AGJ8">
        <v>1239</v>
      </c>
      <c r="AGK8">
        <v>1239</v>
      </c>
      <c r="AGL8">
        <v>1239</v>
      </c>
      <c r="AGM8">
        <v>1239</v>
      </c>
      <c r="AGN8">
        <v>1239</v>
      </c>
      <c r="AGO8">
        <v>1239</v>
      </c>
      <c r="AGP8">
        <v>1239</v>
      </c>
      <c r="AGQ8">
        <v>1239</v>
      </c>
      <c r="AGR8">
        <v>1239</v>
      </c>
      <c r="AGS8">
        <v>1239</v>
      </c>
      <c r="AGT8">
        <v>1239</v>
      </c>
      <c r="AGU8">
        <v>1239</v>
      </c>
      <c r="AGV8">
        <v>1239</v>
      </c>
      <c r="AGW8">
        <v>1239</v>
      </c>
      <c r="AGX8">
        <v>1239</v>
      </c>
      <c r="AGY8">
        <v>1239</v>
      </c>
      <c r="AGZ8">
        <v>1239</v>
      </c>
      <c r="AHA8">
        <v>1239</v>
      </c>
      <c r="AHB8">
        <v>1239</v>
      </c>
      <c r="AHC8">
        <v>1239</v>
      </c>
      <c r="AHD8">
        <v>1239</v>
      </c>
      <c r="AHE8">
        <v>1239</v>
      </c>
      <c r="AHF8">
        <v>1239</v>
      </c>
      <c r="AHG8">
        <v>1239</v>
      </c>
      <c r="AHH8">
        <v>1239</v>
      </c>
      <c r="AHI8">
        <v>1239</v>
      </c>
      <c r="AHJ8">
        <v>1239</v>
      </c>
      <c r="AHK8">
        <v>1239</v>
      </c>
      <c r="AHL8">
        <v>1239</v>
      </c>
      <c r="AHM8">
        <v>1239</v>
      </c>
      <c r="AHN8">
        <v>1239</v>
      </c>
      <c r="AHO8">
        <v>1239</v>
      </c>
      <c r="AHP8">
        <v>1239</v>
      </c>
      <c r="AHQ8">
        <v>1239</v>
      </c>
      <c r="AHR8">
        <v>1239</v>
      </c>
      <c r="AHS8">
        <v>1239</v>
      </c>
      <c r="AHT8">
        <v>1239</v>
      </c>
      <c r="AHU8">
        <v>1239</v>
      </c>
      <c r="AHV8">
        <v>1239</v>
      </c>
      <c r="AHW8">
        <v>1239</v>
      </c>
      <c r="AHX8">
        <v>1239</v>
      </c>
      <c r="AHY8">
        <v>1239</v>
      </c>
      <c r="AHZ8">
        <v>1239</v>
      </c>
      <c r="AIA8">
        <v>1239</v>
      </c>
      <c r="AIB8">
        <v>1239</v>
      </c>
      <c r="AIC8">
        <v>1239</v>
      </c>
      <c r="AID8">
        <v>1239</v>
      </c>
      <c r="AIE8">
        <v>1239</v>
      </c>
      <c r="AIF8">
        <v>1239</v>
      </c>
      <c r="AIG8">
        <v>1239</v>
      </c>
      <c r="AIH8">
        <v>1239</v>
      </c>
      <c r="AII8">
        <v>1239</v>
      </c>
      <c r="AIJ8">
        <v>1239</v>
      </c>
      <c r="AIK8">
        <v>1239</v>
      </c>
      <c r="AIL8">
        <v>1239</v>
      </c>
      <c r="AIM8">
        <v>1239</v>
      </c>
      <c r="AIN8">
        <v>1239</v>
      </c>
      <c r="AIO8">
        <v>1239</v>
      </c>
      <c r="AIP8">
        <v>1239</v>
      </c>
      <c r="AIQ8">
        <v>1239</v>
      </c>
      <c r="AIR8">
        <v>1239</v>
      </c>
      <c r="AIS8">
        <v>1239</v>
      </c>
      <c r="AIT8">
        <v>1239</v>
      </c>
      <c r="AIU8">
        <v>1239</v>
      </c>
      <c r="AIV8">
        <v>1239</v>
      </c>
      <c r="AIW8">
        <v>1239</v>
      </c>
      <c r="AIX8">
        <v>1239</v>
      </c>
      <c r="AIY8">
        <v>1239</v>
      </c>
      <c r="AIZ8">
        <v>1239</v>
      </c>
      <c r="AJA8">
        <v>1239</v>
      </c>
      <c r="AJB8">
        <v>1239</v>
      </c>
      <c r="AJC8">
        <v>1239</v>
      </c>
      <c r="AJD8">
        <v>1239</v>
      </c>
      <c r="AJE8">
        <v>1239</v>
      </c>
      <c r="AJF8">
        <v>1239</v>
      </c>
      <c r="AJG8">
        <v>1239</v>
      </c>
      <c r="AJH8">
        <v>1239</v>
      </c>
      <c r="AJI8">
        <v>1239</v>
      </c>
      <c r="AJJ8">
        <v>1239</v>
      </c>
      <c r="AJK8">
        <v>1239</v>
      </c>
      <c r="AJL8">
        <v>1239</v>
      </c>
      <c r="AJM8">
        <v>1239</v>
      </c>
      <c r="AJN8">
        <v>1239</v>
      </c>
      <c r="AJO8">
        <v>1239</v>
      </c>
      <c r="AJP8">
        <v>1239</v>
      </c>
      <c r="AJQ8">
        <v>1239</v>
      </c>
      <c r="AKN8" t="s">
        <v>554</v>
      </c>
      <c r="AKO8" t="s">
        <v>554</v>
      </c>
      <c r="AKP8" t="s">
        <v>554</v>
      </c>
      <c r="AKQ8" t="s">
        <v>554</v>
      </c>
      <c r="AKR8" t="s">
        <v>554</v>
      </c>
    </row>
    <row r="9" spans="1:985" ht="14.4" customHeight="1" x14ac:dyDescent="0.55000000000000004">
      <c r="A9" t="s">
        <v>93</v>
      </c>
      <c r="B9" t="s">
        <v>521</v>
      </c>
      <c r="C9" s="1" t="s">
        <v>696</v>
      </c>
      <c r="CA9" t="s">
        <v>84</v>
      </c>
      <c r="CB9" t="s">
        <v>84</v>
      </c>
      <c r="CC9" t="s">
        <v>84</v>
      </c>
      <c r="CD9" t="s">
        <v>84</v>
      </c>
      <c r="CE9" t="s">
        <v>84</v>
      </c>
      <c r="CF9" t="s">
        <v>84</v>
      </c>
      <c r="CG9" t="s">
        <v>84</v>
      </c>
      <c r="CH9" t="s">
        <v>84</v>
      </c>
      <c r="CI9" t="s">
        <v>84</v>
      </c>
      <c r="CJ9" t="s">
        <v>84</v>
      </c>
      <c r="CK9" t="s">
        <v>84</v>
      </c>
      <c r="CL9" t="s">
        <v>84</v>
      </c>
      <c r="CM9" t="s">
        <v>84</v>
      </c>
      <c r="CN9" t="s">
        <v>84</v>
      </c>
      <c r="CO9" t="s">
        <v>84</v>
      </c>
      <c r="CP9" t="s">
        <v>84</v>
      </c>
      <c r="CQ9" t="s">
        <v>84</v>
      </c>
      <c r="CR9" t="s">
        <v>84</v>
      </c>
      <c r="CS9" t="s">
        <v>84</v>
      </c>
      <c r="CT9" t="s">
        <v>84</v>
      </c>
      <c r="CU9" t="s">
        <v>84</v>
      </c>
      <c r="CV9" t="s">
        <v>84</v>
      </c>
      <c r="CW9" t="s">
        <v>84</v>
      </c>
      <c r="CX9" t="s">
        <v>84</v>
      </c>
      <c r="CY9" t="s">
        <v>84</v>
      </c>
      <c r="CZ9" t="s">
        <v>84</v>
      </c>
      <c r="DA9" t="s">
        <v>84</v>
      </c>
      <c r="DB9" t="s">
        <v>84</v>
      </c>
      <c r="DC9" t="s">
        <v>84</v>
      </c>
      <c r="DD9" t="s">
        <v>84</v>
      </c>
      <c r="DE9" t="s">
        <v>84</v>
      </c>
      <c r="DF9" t="s">
        <v>84</v>
      </c>
      <c r="DG9" t="s">
        <v>84</v>
      </c>
      <c r="DH9" t="s">
        <v>84</v>
      </c>
      <c r="DI9" t="s">
        <v>84</v>
      </c>
      <c r="DJ9" t="s">
        <v>84</v>
      </c>
      <c r="DK9" t="s">
        <v>84</v>
      </c>
      <c r="DL9" t="s">
        <v>84</v>
      </c>
      <c r="DM9" t="s">
        <v>84</v>
      </c>
      <c r="DN9" t="s">
        <v>84</v>
      </c>
      <c r="DO9" t="s">
        <v>84</v>
      </c>
      <c r="DP9" t="s">
        <v>84</v>
      </c>
      <c r="DQ9" t="s">
        <v>84</v>
      </c>
      <c r="DR9" t="s">
        <v>84</v>
      </c>
      <c r="DS9" t="s">
        <v>84</v>
      </c>
      <c r="DT9" t="s">
        <v>84</v>
      </c>
      <c r="DU9" t="s">
        <v>84</v>
      </c>
      <c r="DV9" t="s">
        <v>84</v>
      </c>
      <c r="DW9" t="s">
        <v>84</v>
      </c>
      <c r="DX9" t="s">
        <v>84</v>
      </c>
      <c r="DY9" t="s">
        <v>84</v>
      </c>
      <c r="DZ9" t="s">
        <v>84</v>
      </c>
      <c r="EA9" t="s">
        <v>84</v>
      </c>
      <c r="EB9" t="s">
        <v>84</v>
      </c>
      <c r="EC9" t="s">
        <v>84</v>
      </c>
      <c r="ED9" t="s">
        <v>84</v>
      </c>
      <c r="EE9" t="s">
        <v>84</v>
      </c>
      <c r="EF9" t="s">
        <v>84</v>
      </c>
      <c r="EG9" t="s">
        <v>84</v>
      </c>
      <c r="EH9" t="s">
        <v>84</v>
      </c>
      <c r="EI9" t="s">
        <v>84</v>
      </c>
      <c r="EJ9" t="s">
        <v>84</v>
      </c>
      <c r="EK9" t="s">
        <v>84</v>
      </c>
      <c r="EL9" t="s">
        <v>84</v>
      </c>
      <c r="EM9" t="s">
        <v>84</v>
      </c>
      <c r="EN9" t="s">
        <v>84</v>
      </c>
      <c r="EO9" t="s">
        <v>84</v>
      </c>
      <c r="EP9" t="s">
        <v>84</v>
      </c>
      <c r="EQ9" t="s">
        <v>84</v>
      </c>
      <c r="ER9" t="s">
        <v>84</v>
      </c>
      <c r="ES9" t="s">
        <v>84</v>
      </c>
      <c r="ET9" t="s">
        <v>84</v>
      </c>
      <c r="EU9" t="s">
        <v>84</v>
      </c>
      <c r="EV9" t="s">
        <v>84</v>
      </c>
      <c r="EW9" t="s">
        <v>84</v>
      </c>
      <c r="EX9" t="s">
        <v>84</v>
      </c>
      <c r="EY9" t="s">
        <v>84</v>
      </c>
      <c r="EZ9" t="s">
        <v>84</v>
      </c>
      <c r="FA9" t="s">
        <v>84</v>
      </c>
      <c r="FB9" t="s">
        <v>84</v>
      </c>
      <c r="FC9" t="s">
        <v>84</v>
      </c>
      <c r="FD9" t="s">
        <v>84</v>
      </c>
      <c r="FE9" t="s">
        <v>84</v>
      </c>
      <c r="FF9" t="s">
        <v>84</v>
      </c>
      <c r="FG9" t="s">
        <v>84</v>
      </c>
      <c r="FH9" t="s">
        <v>84</v>
      </c>
      <c r="FI9" t="s">
        <v>84</v>
      </c>
      <c r="FJ9" t="s">
        <v>84</v>
      </c>
      <c r="FK9" t="s">
        <v>84</v>
      </c>
      <c r="FL9" t="s">
        <v>84</v>
      </c>
      <c r="FM9" t="s">
        <v>84</v>
      </c>
      <c r="FN9" t="s">
        <v>84</v>
      </c>
      <c r="FO9" t="s">
        <v>84</v>
      </c>
      <c r="FP9" t="s">
        <v>84</v>
      </c>
      <c r="FQ9" t="s">
        <v>84</v>
      </c>
      <c r="FR9" t="s">
        <v>84</v>
      </c>
      <c r="FS9" t="s">
        <v>84</v>
      </c>
      <c r="FT9" t="s">
        <v>84</v>
      </c>
      <c r="FU9" t="s">
        <v>84</v>
      </c>
      <c r="FV9" t="s">
        <v>84</v>
      </c>
      <c r="FW9" t="s">
        <v>84</v>
      </c>
      <c r="FX9" t="s">
        <v>84</v>
      </c>
      <c r="FY9" t="s">
        <v>84</v>
      </c>
      <c r="FZ9" t="s">
        <v>84</v>
      </c>
      <c r="GA9" t="s">
        <v>84</v>
      </c>
      <c r="GB9" t="s">
        <v>84</v>
      </c>
      <c r="GC9" t="s">
        <v>84</v>
      </c>
      <c r="GD9" t="s">
        <v>84</v>
      </c>
      <c r="GE9" t="s">
        <v>84</v>
      </c>
      <c r="GF9" t="s">
        <v>84</v>
      </c>
      <c r="GG9" t="s">
        <v>84</v>
      </c>
      <c r="GH9" t="s">
        <v>84</v>
      </c>
      <c r="GI9" t="s">
        <v>84</v>
      </c>
      <c r="GJ9" t="s">
        <v>84</v>
      </c>
      <c r="GK9" t="s">
        <v>84</v>
      </c>
      <c r="GL9" t="s">
        <v>84</v>
      </c>
      <c r="GM9" t="s">
        <v>84</v>
      </c>
      <c r="GN9" t="s">
        <v>84</v>
      </c>
      <c r="GO9" t="s">
        <v>84</v>
      </c>
      <c r="GP9" t="s">
        <v>84</v>
      </c>
      <c r="GQ9" t="s">
        <v>84</v>
      </c>
      <c r="GR9" t="s">
        <v>84</v>
      </c>
      <c r="GS9" t="s">
        <v>84</v>
      </c>
      <c r="GT9" t="s">
        <v>84</v>
      </c>
      <c r="GU9" t="s">
        <v>84</v>
      </c>
      <c r="GV9" t="s">
        <v>84</v>
      </c>
      <c r="GW9" t="s">
        <v>84</v>
      </c>
      <c r="GX9" t="s">
        <v>84</v>
      </c>
      <c r="GY9" t="s">
        <v>84</v>
      </c>
      <c r="GZ9" t="s">
        <v>84</v>
      </c>
      <c r="HA9" t="s">
        <v>84</v>
      </c>
      <c r="HB9" t="s">
        <v>84</v>
      </c>
      <c r="HC9" t="s">
        <v>84</v>
      </c>
      <c r="HD9" t="s">
        <v>84</v>
      </c>
      <c r="HE9" t="s">
        <v>84</v>
      </c>
      <c r="HF9" t="s">
        <v>84</v>
      </c>
      <c r="HG9" t="s">
        <v>84</v>
      </c>
      <c r="HH9" t="s">
        <v>84</v>
      </c>
      <c r="HI9" t="s">
        <v>84</v>
      </c>
      <c r="HJ9" t="s">
        <v>84</v>
      </c>
      <c r="HK9" t="s">
        <v>84</v>
      </c>
      <c r="HL9" t="s">
        <v>84</v>
      </c>
      <c r="HM9" t="s">
        <v>84</v>
      </c>
      <c r="HN9" t="s">
        <v>84</v>
      </c>
      <c r="HO9" t="s">
        <v>84</v>
      </c>
      <c r="HP9" t="s">
        <v>84</v>
      </c>
      <c r="HQ9" t="s">
        <v>84</v>
      </c>
      <c r="HR9" t="s">
        <v>84</v>
      </c>
      <c r="HS9" t="s">
        <v>84</v>
      </c>
      <c r="HT9" t="s">
        <v>84</v>
      </c>
      <c r="HU9" t="s">
        <v>84</v>
      </c>
      <c r="HV9" t="s">
        <v>84</v>
      </c>
      <c r="HW9" t="s">
        <v>84</v>
      </c>
      <c r="HX9" t="s">
        <v>84</v>
      </c>
      <c r="HY9" t="s">
        <v>84</v>
      </c>
      <c r="HZ9" t="s">
        <v>84</v>
      </c>
      <c r="IA9" t="s">
        <v>84</v>
      </c>
      <c r="IB9" t="s">
        <v>84</v>
      </c>
      <c r="IC9" t="s">
        <v>84</v>
      </c>
      <c r="ID9" t="s">
        <v>84</v>
      </c>
      <c r="IE9" t="s">
        <v>84</v>
      </c>
      <c r="IF9" t="s">
        <v>84</v>
      </c>
      <c r="IG9" t="s">
        <v>84</v>
      </c>
      <c r="IH9" t="s">
        <v>84</v>
      </c>
      <c r="II9" t="s">
        <v>84</v>
      </c>
      <c r="IJ9" t="s">
        <v>84</v>
      </c>
      <c r="IK9" t="s">
        <v>84</v>
      </c>
      <c r="IL9" t="s">
        <v>84</v>
      </c>
      <c r="IM9" t="s">
        <v>84</v>
      </c>
      <c r="IN9" t="s">
        <v>84</v>
      </c>
      <c r="IO9" t="s">
        <v>84</v>
      </c>
      <c r="IP9" t="s">
        <v>84</v>
      </c>
      <c r="IQ9" t="s">
        <v>84</v>
      </c>
      <c r="IR9" t="s">
        <v>84</v>
      </c>
      <c r="IS9" t="s">
        <v>84</v>
      </c>
      <c r="IT9" t="s">
        <v>84</v>
      </c>
      <c r="IU9" t="s">
        <v>84</v>
      </c>
      <c r="IV9" t="s">
        <v>84</v>
      </c>
      <c r="IW9" t="s">
        <v>84</v>
      </c>
      <c r="IX9" t="s">
        <v>84</v>
      </c>
      <c r="IY9" t="s">
        <v>84</v>
      </c>
      <c r="IZ9" t="s">
        <v>84</v>
      </c>
      <c r="JA9" t="s">
        <v>84</v>
      </c>
      <c r="JB9" t="s">
        <v>84</v>
      </c>
      <c r="JC9" t="s">
        <v>84</v>
      </c>
      <c r="JD9" t="s">
        <v>84</v>
      </c>
      <c r="JE9" t="s">
        <v>84</v>
      </c>
      <c r="JF9" t="s">
        <v>84</v>
      </c>
      <c r="JG9" t="s">
        <v>84</v>
      </c>
      <c r="JH9" t="s">
        <v>84</v>
      </c>
      <c r="JI9" t="s">
        <v>84</v>
      </c>
      <c r="JJ9" t="s">
        <v>84</v>
      </c>
      <c r="JK9" t="s">
        <v>84</v>
      </c>
      <c r="JL9" t="s">
        <v>84</v>
      </c>
      <c r="JM9" t="s">
        <v>84</v>
      </c>
      <c r="JN9" t="s">
        <v>84</v>
      </c>
      <c r="JO9" t="s">
        <v>84</v>
      </c>
      <c r="JP9" t="s">
        <v>84</v>
      </c>
      <c r="JQ9" t="s">
        <v>84</v>
      </c>
      <c r="JR9" t="s">
        <v>84</v>
      </c>
      <c r="JS9" t="s">
        <v>84</v>
      </c>
      <c r="JT9" t="s">
        <v>84</v>
      </c>
      <c r="JU9" t="s">
        <v>84</v>
      </c>
      <c r="JV9" t="s">
        <v>84</v>
      </c>
      <c r="JW9" t="s">
        <v>84</v>
      </c>
      <c r="JX9" t="s">
        <v>84</v>
      </c>
      <c r="JY9" t="s">
        <v>84</v>
      </c>
      <c r="JZ9" t="s">
        <v>84</v>
      </c>
      <c r="KA9" t="s">
        <v>84</v>
      </c>
      <c r="KB9" t="s">
        <v>84</v>
      </c>
      <c r="KC9" t="s">
        <v>84</v>
      </c>
      <c r="KD9" t="s">
        <v>84</v>
      </c>
      <c r="KE9" t="s">
        <v>84</v>
      </c>
      <c r="KF9" t="s">
        <v>84</v>
      </c>
      <c r="KG9" t="s">
        <v>84</v>
      </c>
      <c r="KH9" t="s">
        <v>84</v>
      </c>
      <c r="KI9" t="s">
        <v>84</v>
      </c>
      <c r="KJ9" t="s">
        <v>84</v>
      </c>
      <c r="KK9" t="s">
        <v>84</v>
      </c>
      <c r="KL9" t="s">
        <v>84</v>
      </c>
      <c r="KM9" t="s">
        <v>84</v>
      </c>
      <c r="KN9" t="s">
        <v>84</v>
      </c>
      <c r="KO9" t="s">
        <v>84</v>
      </c>
      <c r="KP9" t="s">
        <v>84</v>
      </c>
      <c r="KQ9" t="s">
        <v>84</v>
      </c>
      <c r="KR9" t="s">
        <v>84</v>
      </c>
      <c r="KS9" t="s">
        <v>84</v>
      </c>
      <c r="KT9" t="s">
        <v>84</v>
      </c>
      <c r="KU9" t="s">
        <v>84</v>
      </c>
      <c r="KV9" t="s">
        <v>84</v>
      </c>
      <c r="KW9" t="s">
        <v>84</v>
      </c>
      <c r="KX9" t="s">
        <v>84</v>
      </c>
      <c r="KY9" t="s">
        <v>84</v>
      </c>
      <c r="KZ9" t="s">
        <v>84</v>
      </c>
      <c r="LA9" t="s">
        <v>84</v>
      </c>
      <c r="LB9" t="s">
        <v>84</v>
      </c>
      <c r="LC9" t="s">
        <v>84</v>
      </c>
      <c r="LD9" t="s">
        <v>84</v>
      </c>
      <c r="LE9" t="s">
        <v>84</v>
      </c>
      <c r="LF9" t="s">
        <v>84</v>
      </c>
      <c r="LG9" t="s">
        <v>84</v>
      </c>
      <c r="LH9" t="s">
        <v>84</v>
      </c>
      <c r="LI9" t="s">
        <v>84</v>
      </c>
      <c r="LJ9" t="s">
        <v>84</v>
      </c>
      <c r="LK9" t="s">
        <v>84</v>
      </c>
      <c r="LL9" t="s">
        <v>84</v>
      </c>
      <c r="LM9" t="s">
        <v>84</v>
      </c>
      <c r="LN9" t="s">
        <v>84</v>
      </c>
      <c r="LO9" t="s">
        <v>84</v>
      </c>
      <c r="LP9" t="s">
        <v>84</v>
      </c>
      <c r="LQ9" t="s">
        <v>84</v>
      </c>
      <c r="LR9" t="s">
        <v>84</v>
      </c>
      <c r="LS9" t="s">
        <v>84</v>
      </c>
      <c r="LT9" t="s">
        <v>84</v>
      </c>
      <c r="LU9" t="s">
        <v>84</v>
      </c>
      <c r="LV9" t="s">
        <v>84</v>
      </c>
      <c r="LW9" t="s">
        <v>84</v>
      </c>
      <c r="LX9" t="s">
        <v>84</v>
      </c>
      <c r="LY9" t="s">
        <v>84</v>
      </c>
      <c r="LZ9" t="s">
        <v>84</v>
      </c>
      <c r="MA9" t="s">
        <v>84</v>
      </c>
      <c r="MB9" t="s">
        <v>84</v>
      </c>
      <c r="MC9" t="s">
        <v>84</v>
      </c>
      <c r="MD9" t="s">
        <v>84</v>
      </c>
      <c r="ME9" t="s">
        <v>84</v>
      </c>
      <c r="MF9" t="s">
        <v>84</v>
      </c>
      <c r="MG9" t="s">
        <v>84</v>
      </c>
      <c r="MH9" t="s">
        <v>84</v>
      </c>
      <c r="MI9" t="s">
        <v>84</v>
      </c>
      <c r="MJ9" t="s">
        <v>84</v>
      </c>
      <c r="MK9" t="s">
        <v>84</v>
      </c>
      <c r="ML9" t="s">
        <v>84</v>
      </c>
      <c r="MM9" t="s">
        <v>84</v>
      </c>
      <c r="MN9" t="s">
        <v>84</v>
      </c>
      <c r="MO9" t="s">
        <v>84</v>
      </c>
      <c r="MP9" t="s">
        <v>84</v>
      </c>
      <c r="MQ9" t="s">
        <v>84</v>
      </c>
      <c r="MR9" t="s">
        <v>84</v>
      </c>
      <c r="MS9" t="s">
        <v>84</v>
      </c>
      <c r="MT9" t="s">
        <v>84</v>
      </c>
      <c r="MU9" t="s">
        <v>84</v>
      </c>
      <c r="MV9" t="s">
        <v>84</v>
      </c>
      <c r="MW9" t="s">
        <v>84</v>
      </c>
      <c r="MX9" t="s">
        <v>84</v>
      </c>
      <c r="MY9" t="s">
        <v>84</v>
      </c>
      <c r="MZ9" t="s">
        <v>84</v>
      </c>
      <c r="NA9" t="s">
        <v>84</v>
      </c>
      <c r="NB9" t="s">
        <v>84</v>
      </c>
      <c r="NC9" t="s">
        <v>84</v>
      </c>
      <c r="ND9" t="s">
        <v>84</v>
      </c>
      <c r="NE9" t="s">
        <v>84</v>
      </c>
      <c r="NF9" t="s">
        <v>84</v>
      </c>
      <c r="NG9" t="s">
        <v>84</v>
      </c>
      <c r="NH9" t="s">
        <v>84</v>
      </c>
      <c r="NI9" t="s">
        <v>84</v>
      </c>
      <c r="NJ9" t="s">
        <v>84</v>
      </c>
      <c r="NK9" t="s">
        <v>84</v>
      </c>
      <c r="NL9" t="s">
        <v>84</v>
      </c>
      <c r="NM9" t="s">
        <v>84</v>
      </c>
      <c r="NN9" t="s">
        <v>84</v>
      </c>
      <c r="NO9" t="s">
        <v>84</v>
      </c>
      <c r="NP9" t="s">
        <v>84</v>
      </c>
      <c r="NQ9" t="s">
        <v>84</v>
      </c>
      <c r="NR9" t="s">
        <v>84</v>
      </c>
      <c r="NS9" t="s">
        <v>84</v>
      </c>
      <c r="NT9" t="s">
        <v>84</v>
      </c>
      <c r="NU9" t="s">
        <v>84</v>
      </c>
      <c r="NV9" t="s">
        <v>84</v>
      </c>
      <c r="NW9" t="s">
        <v>84</v>
      </c>
      <c r="NX9" t="s">
        <v>84</v>
      </c>
      <c r="NY9" t="s">
        <v>84</v>
      </c>
      <c r="NZ9" t="s">
        <v>84</v>
      </c>
      <c r="OA9" t="s">
        <v>84</v>
      </c>
      <c r="OB9" t="s">
        <v>84</v>
      </c>
      <c r="OC9" t="s">
        <v>84</v>
      </c>
      <c r="OD9" t="s">
        <v>84</v>
      </c>
      <c r="OE9" t="s">
        <v>84</v>
      </c>
      <c r="OF9" t="s">
        <v>84</v>
      </c>
      <c r="OG9" t="s">
        <v>84</v>
      </c>
      <c r="OH9" t="s">
        <v>84</v>
      </c>
      <c r="OI9" t="s">
        <v>84</v>
      </c>
      <c r="OJ9" t="s">
        <v>84</v>
      </c>
      <c r="OK9" t="s">
        <v>84</v>
      </c>
      <c r="OL9" t="s">
        <v>84</v>
      </c>
      <c r="OM9" t="s">
        <v>84</v>
      </c>
      <c r="ON9" t="s">
        <v>84</v>
      </c>
      <c r="OO9" t="s">
        <v>84</v>
      </c>
      <c r="OP9" t="s">
        <v>84</v>
      </c>
      <c r="OQ9" t="s">
        <v>84</v>
      </c>
      <c r="OR9" t="s">
        <v>84</v>
      </c>
      <c r="OS9" t="s">
        <v>84</v>
      </c>
      <c r="OT9" t="s">
        <v>84</v>
      </c>
      <c r="OU9" t="s">
        <v>84</v>
      </c>
      <c r="OV9" t="s">
        <v>84</v>
      </c>
      <c r="OW9" t="s">
        <v>84</v>
      </c>
      <c r="OX9" t="s">
        <v>84</v>
      </c>
      <c r="OY9" t="s">
        <v>84</v>
      </c>
      <c r="OZ9" t="s">
        <v>84</v>
      </c>
      <c r="PA9" t="s">
        <v>84</v>
      </c>
      <c r="PB9" t="s">
        <v>84</v>
      </c>
      <c r="PC9" t="s">
        <v>84</v>
      </c>
      <c r="PD9" t="s">
        <v>84</v>
      </c>
      <c r="PE9" t="s">
        <v>84</v>
      </c>
      <c r="PF9" t="s">
        <v>84</v>
      </c>
      <c r="PG9" t="s">
        <v>84</v>
      </c>
      <c r="PH9" t="s">
        <v>84</v>
      </c>
      <c r="PI9" t="s">
        <v>84</v>
      </c>
      <c r="PJ9" t="s">
        <v>84</v>
      </c>
      <c r="PK9" t="s">
        <v>84</v>
      </c>
      <c r="PL9" t="s">
        <v>84</v>
      </c>
      <c r="PM9" t="s">
        <v>84</v>
      </c>
      <c r="PN9" t="s">
        <v>84</v>
      </c>
      <c r="PO9" t="s">
        <v>84</v>
      </c>
      <c r="PP9" t="s">
        <v>84</v>
      </c>
      <c r="PQ9" t="s">
        <v>84</v>
      </c>
      <c r="PR9" t="s">
        <v>84</v>
      </c>
      <c r="PS9" t="s">
        <v>84</v>
      </c>
      <c r="PT9" t="s">
        <v>84</v>
      </c>
      <c r="PU9" t="s">
        <v>84</v>
      </c>
      <c r="PV9" t="s">
        <v>84</v>
      </c>
      <c r="PW9" t="s">
        <v>84</v>
      </c>
      <c r="PX9" t="s">
        <v>84</v>
      </c>
      <c r="PY9" t="s">
        <v>84</v>
      </c>
      <c r="PZ9" t="s">
        <v>84</v>
      </c>
      <c r="QA9" t="s">
        <v>84</v>
      </c>
      <c r="QB9" t="s">
        <v>84</v>
      </c>
      <c r="QC9" t="s">
        <v>84</v>
      </c>
      <c r="QD9" t="s">
        <v>84</v>
      </c>
      <c r="QE9" t="s">
        <v>84</v>
      </c>
      <c r="QF9" t="s">
        <v>84</v>
      </c>
      <c r="QG9" t="s">
        <v>84</v>
      </c>
      <c r="QH9" t="s">
        <v>84</v>
      </c>
      <c r="QI9" t="s">
        <v>84</v>
      </c>
      <c r="QJ9" t="s">
        <v>84</v>
      </c>
      <c r="QK9" t="s">
        <v>84</v>
      </c>
      <c r="QL9" t="s">
        <v>84</v>
      </c>
      <c r="QM9" t="s">
        <v>84</v>
      </c>
      <c r="QN9" t="s">
        <v>84</v>
      </c>
      <c r="QO9" t="s">
        <v>84</v>
      </c>
      <c r="QP9" t="s">
        <v>84</v>
      </c>
      <c r="QQ9" t="s">
        <v>84</v>
      </c>
      <c r="QR9" t="s">
        <v>84</v>
      </c>
      <c r="QS9" t="s">
        <v>84</v>
      </c>
      <c r="QT9" t="s">
        <v>84</v>
      </c>
      <c r="QU9" t="s">
        <v>84</v>
      </c>
      <c r="QV9" t="s">
        <v>84</v>
      </c>
      <c r="QW9" t="s">
        <v>84</v>
      </c>
      <c r="QX9" t="s">
        <v>84</v>
      </c>
      <c r="QY9" t="s">
        <v>84</v>
      </c>
      <c r="QZ9" t="s">
        <v>84</v>
      </c>
      <c r="RA9" t="s">
        <v>84</v>
      </c>
      <c r="RB9" t="s">
        <v>84</v>
      </c>
      <c r="RC9" t="s">
        <v>84</v>
      </c>
      <c r="RD9" t="s">
        <v>84</v>
      </c>
      <c r="RE9" t="s">
        <v>84</v>
      </c>
      <c r="RF9" t="s">
        <v>84</v>
      </c>
      <c r="RG9" t="s">
        <v>84</v>
      </c>
      <c r="RH9" t="s">
        <v>84</v>
      </c>
      <c r="RI9" t="s">
        <v>84</v>
      </c>
      <c r="RJ9" t="s">
        <v>84</v>
      </c>
      <c r="RK9" t="s">
        <v>84</v>
      </c>
      <c r="RL9" t="s">
        <v>84</v>
      </c>
      <c r="RM9" t="s">
        <v>84</v>
      </c>
      <c r="RN9" t="s">
        <v>84</v>
      </c>
      <c r="RO9" t="s">
        <v>84</v>
      </c>
      <c r="RP9" t="s">
        <v>84</v>
      </c>
      <c r="RQ9" t="s">
        <v>84</v>
      </c>
      <c r="RR9" t="s">
        <v>84</v>
      </c>
      <c r="RS9" t="s">
        <v>84</v>
      </c>
      <c r="RT9" t="s">
        <v>84</v>
      </c>
      <c r="RU9" t="s">
        <v>84</v>
      </c>
      <c r="RV9" t="s">
        <v>84</v>
      </c>
      <c r="RW9" t="s">
        <v>84</v>
      </c>
      <c r="RX9" t="s">
        <v>84</v>
      </c>
      <c r="RY9" t="s">
        <v>84</v>
      </c>
      <c r="RZ9" t="s">
        <v>84</v>
      </c>
      <c r="SA9" t="s">
        <v>84</v>
      </c>
      <c r="SB9" t="s">
        <v>84</v>
      </c>
      <c r="SC9" t="s">
        <v>84</v>
      </c>
      <c r="SD9" t="s">
        <v>84</v>
      </c>
      <c r="SE9" t="s">
        <v>84</v>
      </c>
      <c r="SF9" t="s">
        <v>84</v>
      </c>
      <c r="SG9" t="s">
        <v>84</v>
      </c>
      <c r="SH9" t="s">
        <v>84</v>
      </c>
      <c r="SI9" t="s">
        <v>84</v>
      </c>
      <c r="SJ9" t="s">
        <v>84</v>
      </c>
      <c r="SK9" t="s">
        <v>84</v>
      </c>
      <c r="SL9" t="s">
        <v>84</v>
      </c>
      <c r="SM9" t="s">
        <v>84</v>
      </c>
      <c r="SN9" t="s">
        <v>84</v>
      </c>
      <c r="SO9" t="s">
        <v>84</v>
      </c>
      <c r="SP9" t="s">
        <v>84</v>
      </c>
      <c r="SQ9" t="s">
        <v>84</v>
      </c>
      <c r="SR9" t="s">
        <v>84</v>
      </c>
      <c r="SS9" t="s">
        <v>84</v>
      </c>
      <c r="ST9" t="s">
        <v>84</v>
      </c>
      <c r="SU9" t="s">
        <v>84</v>
      </c>
      <c r="SV9" t="s">
        <v>84</v>
      </c>
      <c r="SW9" t="s">
        <v>84</v>
      </c>
      <c r="SX9" t="s">
        <v>84</v>
      </c>
      <c r="SY9" t="s">
        <v>84</v>
      </c>
      <c r="SZ9" t="s">
        <v>84</v>
      </c>
      <c r="TA9" t="s">
        <v>84</v>
      </c>
      <c r="TB9" t="s">
        <v>84</v>
      </c>
      <c r="TC9" t="s">
        <v>84</v>
      </c>
      <c r="TD9" t="s">
        <v>84</v>
      </c>
      <c r="TE9" t="s">
        <v>84</v>
      </c>
      <c r="TF9" t="s">
        <v>84</v>
      </c>
      <c r="TG9" t="s">
        <v>84</v>
      </c>
      <c r="TH9" t="s">
        <v>84</v>
      </c>
      <c r="TI9" t="s">
        <v>84</v>
      </c>
      <c r="TJ9" t="s">
        <v>84</v>
      </c>
      <c r="TK9" t="s">
        <v>84</v>
      </c>
      <c r="TL9" t="s">
        <v>84</v>
      </c>
      <c r="TM9" t="s">
        <v>84</v>
      </c>
      <c r="TN9" t="s">
        <v>84</v>
      </c>
      <c r="TO9" t="s">
        <v>84</v>
      </c>
      <c r="TP9" t="s">
        <v>84</v>
      </c>
      <c r="TQ9" t="s">
        <v>84</v>
      </c>
      <c r="TR9" t="s">
        <v>84</v>
      </c>
      <c r="TS9" t="s">
        <v>84</v>
      </c>
      <c r="TT9" t="s">
        <v>84</v>
      </c>
      <c r="TU9" t="s">
        <v>84</v>
      </c>
      <c r="TV9" t="s">
        <v>84</v>
      </c>
      <c r="TW9" t="s">
        <v>84</v>
      </c>
      <c r="TX9" t="s">
        <v>84</v>
      </c>
      <c r="TY9" t="s">
        <v>84</v>
      </c>
      <c r="TZ9" t="s">
        <v>84</v>
      </c>
      <c r="UA9" t="s">
        <v>84</v>
      </c>
      <c r="UB9" t="s">
        <v>84</v>
      </c>
      <c r="UC9" t="s">
        <v>84</v>
      </c>
      <c r="UD9" t="s">
        <v>84</v>
      </c>
      <c r="UE9" t="s">
        <v>84</v>
      </c>
      <c r="UF9" t="s">
        <v>84</v>
      </c>
      <c r="UG9" t="s">
        <v>84</v>
      </c>
      <c r="UH9" t="s">
        <v>84</v>
      </c>
      <c r="UI9" t="s">
        <v>84</v>
      </c>
      <c r="UJ9" t="s">
        <v>84</v>
      </c>
      <c r="UK9" t="s">
        <v>84</v>
      </c>
      <c r="UL9" t="s">
        <v>84</v>
      </c>
      <c r="UM9" t="s">
        <v>84</v>
      </c>
      <c r="UN9" t="s">
        <v>84</v>
      </c>
      <c r="UO9" t="s">
        <v>84</v>
      </c>
      <c r="UP9" t="s">
        <v>84</v>
      </c>
      <c r="UQ9" t="s">
        <v>84</v>
      </c>
      <c r="UR9" t="s">
        <v>84</v>
      </c>
      <c r="US9" t="s">
        <v>84</v>
      </c>
      <c r="UT9" t="s">
        <v>84</v>
      </c>
      <c r="UU9" t="s">
        <v>84</v>
      </c>
      <c r="UV9" t="s">
        <v>84</v>
      </c>
      <c r="UW9" t="s">
        <v>84</v>
      </c>
      <c r="UX9" t="s">
        <v>84</v>
      </c>
      <c r="UY9" t="s">
        <v>84</v>
      </c>
      <c r="UZ9" t="s">
        <v>84</v>
      </c>
      <c r="VA9" t="s">
        <v>84</v>
      </c>
      <c r="VB9" t="s">
        <v>84</v>
      </c>
      <c r="VC9" t="s">
        <v>84</v>
      </c>
      <c r="VD9" t="s">
        <v>84</v>
      </c>
      <c r="VE9" t="s">
        <v>84</v>
      </c>
      <c r="VF9" t="s">
        <v>84</v>
      </c>
      <c r="VG9" t="s">
        <v>84</v>
      </c>
      <c r="VH9" t="s">
        <v>84</v>
      </c>
      <c r="VI9" t="s">
        <v>84</v>
      </c>
      <c r="VJ9" t="s">
        <v>84</v>
      </c>
      <c r="VK9" t="s">
        <v>84</v>
      </c>
      <c r="VL9" t="s">
        <v>84</v>
      </c>
      <c r="VM9" t="s">
        <v>84</v>
      </c>
      <c r="VN9" t="s">
        <v>84</v>
      </c>
      <c r="VO9" t="s">
        <v>84</v>
      </c>
      <c r="VP9" t="s">
        <v>84</v>
      </c>
      <c r="VQ9" t="s">
        <v>84</v>
      </c>
      <c r="VR9" t="s">
        <v>84</v>
      </c>
      <c r="VS9" t="s">
        <v>84</v>
      </c>
      <c r="VT9" t="s">
        <v>84</v>
      </c>
      <c r="VU9" t="s">
        <v>84</v>
      </c>
      <c r="VV9" t="s">
        <v>84</v>
      </c>
      <c r="VW9" t="s">
        <v>84</v>
      </c>
      <c r="VX9" t="s">
        <v>84</v>
      </c>
      <c r="VY9" t="s">
        <v>84</v>
      </c>
      <c r="VZ9" t="s">
        <v>84</v>
      </c>
      <c r="WA9" t="s">
        <v>84</v>
      </c>
      <c r="WB9" t="s">
        <v>84</v>
      </c>
      <c r="WC9" t="s">
        <v>84</v>
      </c>
      <c r="WD9" t="s">
        <v>84</v>
      </c>
      <c r="WE9" t="s">
        <v>84</v>
      </c>
      <c r="WF9" t="s">
        <v>84</v>
      </c>
      <c r="WG9" t="s">
        <v>84</v>
      </c>
      <c r="WH9" t="s">
        <v>84</v>
      </c>
      <c r="WI9" t="s">
        <v>84</v>
      </c>
      <c r="WJ9" t="s">
        <v>84</v>
      </c>
      <c r="WK9" t="s">
        <v>84</v>
      </c>
      <c r="WL9" t="s">
        <v>84</v>
      </c>
      <c r="WM9" t="s">
        <v>84</v>
      </c>
      <c r="WN9" t="s">
        <v>84</v>
      </c>
      <c r="WO9" t="s">
        <v>84</v>
      </c>
      <c r="WP9" t="s">
        <v>84</v>
      </c>
      <c r="WQ9" t="s">
        <v>84</v>
      </c>
      <c r="WR9" t="s">
        <v>84</v>
      </c>
      <c r="WS9" t="s">
        <v>84</v>
      </c>
      <c r="WT9" t="s">
        <v>84</v>
      </c>
      <c r="WU9" t="s">
        <v>84</v>
      </c>
      <c r="WV9" t="s">
        <v>84</v>
      </c>
      <c r="WW9" t="s">
        <v>84</v>
      </c>
      <c r="WX9" t="s">
        <v>84</v>
      </c>
      <c r="WY9" t="s">
        <v>84</v>
      </c>
      <c r="WZ9" t="s">
        <v>84</v>
      </c>
      <c r="XA9" t="s">
        <v>84</v>
      </c>
      <c r="XB9" t="s">
        <v>84</v>
      </c>
      <c r="XC9" t="s">
        <v>84</v>
      </c>
      <c r="XD9" t="s">
        <v>84</v>
      </c>
      <c r="XE9" t="s">
        <v>84</v>
      </c>
      <c r="XF9" t="s">
        <v>84</v>
      </c>
      <c r="XG9" t="s">
        <v>84</v>
      </c>
      <c r="XH9" t="s">
        <v>84</v>
      </c>
      <c r="XI9" t="s">
        <v>84</v>
      </c>
      <c r="XJ9" t="s">
        <v>84</v>
      </c>
      <c r="XK9" t="s">
        <v>84</v>
      </c>
      <c r="XL9" t="s">
        <v>84</v>
      </c>
      <c r="XM9" t="s">
        <v>84</v>
      </c>
      <c r="XN9" t="s">
        <v>84</v>
      </c>
      <c r="XO9" t="s">
        <v>84</v>
      </c>
      <c r="XP9" t="s">
        <v>84</v>
      </c>
      <c r="XQ9" t="s">
        <v>84</v>
      </c>
      <c r="XR9" t="s">
        <v>84</v>
      </c>
      <c r="XS9" t="s">
        <v>84</v>
      </c>
      <c r="XT9" t="s">
        <v>84</v>
      </c>
      <c r="XU9" t="s">
        <v>84</v>
      </c>
      <c r="XV9" t="s">
        <v>84</v>
      </c>
      <c r="XW9" t="s">
        <v>84</v>
      </c>
      <c r="XX9" t="s">
        <v>84</v>
      </c>
      <c r="XY9" t="s">
        <v>84</v>
      </c>
      <c r="XZ9" t="s">
        <v>84</v>
      </c>
      <c r="YA9" t="s">
        <v>84</v>
      </c>
      <c r="YB9" t="s">
        <v>84</v>
      </c>
      <c r="YC9" t="s">
        <v>84</v>
      </c>
      <c r="YD9" t="s">
        <v>84</v>
      </c>
      <c r="YE9" t="s">
        <v>84</v>
      </c>
      <c r="YF9" t="s">
        <v>84</v>
      </c>
      <c r="YG9" t="s">
        <v>84</v>
      </c>
      <c r="YH9" t="s">
        <v>84</v>
      </c>
      <c r="YI9" t="s">
        <v>84</v>
      </c>
      <c r="YJ9" t="s">
        <v>84</v>
      </c>
      <c r="YK9" t="s">
        <v>84</v>
      </c>
      <c r="YL9" t="s">
        <v>84</v>
      </c>
      <c r="YM9" t="s">
        <v>84</v>
      </c>
      <c r="YN9" t="s">
        <v>84</v>
      </c>
      <c r="YO9" t="s">
        <v>84</v>
      </c>
      <c r="YP9" t="s">
        <v>84</v>
      </c>
      <c r="YQ9" t="s">
        <v>84</v>
      </c>
      <c r="YR9" t="s">
        <v>84</v>
      </c>
      <c r="YS9" t="s">
        <v>84</v>
      </c>
      <c r="YT9" t="s">
        <v>84</v>
      </c>
      <c r="YU9" t="s">
        <v>84</v>
      </c>
      <c r="YV9" t="s">
        <v>84</v>
      </c>
      <c r="YW9" t="s">
        <v>84</v>
      </c>
      <c r="YX9" t="s">
        <v>84</v>
      </c>
      <c r="YY9" t="s">
        <v>84</v>
      </c>
      <c r="YZ9" t="s">
        <v>84</v>
      </c>
      <c r="ZA9" t="s">
        <v>84</v>
      </c>
      <c r="ZB9" t="s">
        <v>84</v>
      </c>
      <c r="ZC9" t="s">
        <v>84</v>
      </c>
      <c r="ZD9" t="s">
        <v>84</v>
      </c>
      <c r="ZE9" t="s">
        <v>84</v>
      </c>
      <c r="ZF9" t="s">
        <v>84</v>
      </c>
      <c r="ZG9" t="s">
        <v>84</v>
      </c>
      <c r="ZH9" t="s">
        <v>84</v>
      </c>
      <c r="ZI9" t="s">
        <v>84</v>
      </c>
      <c r="ZJ9" t="s">
        <v>84</v>
      </c>
      <c r="ZK9" t="s">
        <v>84</v>
      </c>
      <c r="ZL9" t="s">
        <v>84</v>
      </c>
      <c r="ZM9" t="s">
        <v>84</v>
      </c>
      <c r="ZN9" t="s">
        <v>84</v>
      </c>
      <c r="ZO9" t="s">
        <v>84</v>
      </c>
      <c r="ZP9" t="s">
        <v>84</v>
      </c>
      <c r="ZQ9" t="s">
        <v>84</v>
      </c>
      <c r="ZR9" t="s">
        <v>84</v>
      </c>
      <c r="ZS9" t="s">
        <v>84</v>
      </c>
      <c r="ZT9" t="s">
        <v>84</v>
      </c>
      <c r="ZU9" t="s">
        <v>84</v>
      </c>
      <c r="ZV9" t="s">
        <v>84</v>
      </c>
      <c r="ZW9" t="s">
        <v>84</v>
      </c>
      <c r="ZX9" t="s">
        <v>84</v>
      </c>
      <c r="ZY9" t="s">
        <v>84</v>
      </c>
      <c r="ZZ9" t="s">
        <v>84</v>
      </c>
      <c r="AAA9" t="s">
        <v>84</v>
      </c>
      <c r="AAB9" t="s">
        <v>84</v>
      </c>
      <c r="AAC9" t="s">
        <v>84</v>
      </c>
      <c r="AAD9" t="s">
        <v>84</v>
      </c>
      <c r="AAE9" t="s">
        <v>84</v>
      </c>
      <c r="AAF9" t="s">
        <v>84</v>
      </c>
      <c r="AAG9" t="s">
        <v>84</v>
      </c>
      <c r="AAH9" t="s">
        <v>84</v>
      </c>
      <c r="AAI9" t="s">
        <v>84</v>
      </c>
      <c r="AAJ9" t="s">
        <v>84</v>
      </c>
      <c r="AAK9" t="s">
        <v>84</v>
      </c>
      <c r="AAL9" t="s">
        <v>84</v>
      </c>
      <c r="AAM9" t="s">
        <v>84</v>
      </c>
      <c r="AAN9" t="s">
        <v>84</v>
      </c>
      <c r="AAO9" t="s">
        <v>84</v>
      </c>
      <c r="AAP9" t="s">
        <v>84</v>
      </c>
      <c r="AAQ9" t="s">
        <v>84</v>
      </c>
      <c r="AAR9" t="s">
        <v>84</v>
      </c>
      <c r="AAS9" t="s">
        <v>84</v>
      </c>
      <c r="AAT9" t="s">
        <v>84</v>
      </c>
      <c r="AAU9" t="s">
        <v>84</v>
      </c>
      <c r="AAV9" t="s">
        <v>84</v>
      </c>
      <c r="AAW9" t="s">
        <v>84</v>
      </c>
      <c r="AAX9" t="s">
        <v>84</v>
      </c>
      <c r="AAY9" t="s">
        <v>84</v>
      </c>
      <c r="AAZ9" t="s">
        <v>84</v>
      </c>
      <c r="ABA9" t="s">
        <v>84</v>
      </c>
      <c r="ABB9" t="s">
        <v>84</v>
      </c>
      <c r="ABC9" t="s">
        <v>84</v>
      </c>
      <c r="ABD9" t="s">
        <v>84</v>
      </c>
      <c r="ABE9" t="s">
        <v>84</v>
      </c>
      <c r="ABF9" t="s">
        <v>84</v>
      </c>
      <c r="ABG9" t="s">
        <v>84</v>
      </c>
      <c r="ABH9" t="s">
        <v>84</v>
      </c>
      <c r="ABI9" t="s">
        <v>84</v>
      </c>
      <c r="ABJ9" t="s">
        <v>84</v>
      </c>
      <c r="ABK9" t="s">
        <v>84</v>
      </c>
      <c r="ABL9" t="s">
        <v>84</v>
      </c>
      <c r="ABM9" t="s">
        <v>84</v>
      </c>
      <c r="ABN9" t="s">
        <v>84</v>
      </c>
      <c r="ABO9" t="s">
        <v>84</v>
      </c>
      <c r="ABP9" t="s">
        <v>84</v>
      </c>
      <c r="ABQ9" t="s">
        <v>84</v>
      </c>
      <c r="ABR9" t="s">
        <v>84</v>
      </c>
      <c r="ABS9" t="s">
        <v>84</v>
      </c>
      <c r="ABT9" t="s">
        <v>84</v>
      </c>
      <c r="ABU9" t="s">
        <v>84</v>
      </c>
      <c r="ABV9" t="s">
        <v>84</v>
      </c>
      <c r="ABW9" t="s">
        <v>84</v>
      </c>
      <c r="ABX9" t="s">
        <v>84</v>
      </c>
      <c r="ABY9" t="s">
        <v>84</v>
      </c>
      <c r="ABZ9" t="s">
        <v>84</v>
      </c>
      <c r="ACA9" t="s">
        <v>84</v>
      </c>
      <c r="ACB9" t="s">
        <v>84</v>
      </c>
      <c r="ACC9" t="s">
        <v>84</v>
      </c>
      <c r="ACD9" t="s">
        <v>84</v>
      </c>
      <c r="ACE9" t="s">
        <v>84</v>
      </c>
      <c r="ACF9" t="s">
        <v>84</v>
      </c>
      <c r="ACG9" t="s">
        <v>84</v>
      </c>
      <c r="ACH9" t="s">
        <v>84</v>
      </c>
      <c r="ACI9" t="s">
        <v>84</v>
      </c>
      <c r="ACJ9" t="s">
        <v>84</v>
      </c>
      <c r="ACK9" t="s">
        <v>84</v>
      </c>
      <c r="ACL9" t="s">
        <v>84</v>
      </c>
      <c r="ACM9" t="s">
        <v>84</v>
      </c>
      <c r="ACN9" t="s">
        <v>84</v>
      </c>
      <c r="ACO9" t="s">
        <v>84</v>
      </c>
      <c r="ACP9" t="s">
        <v>84</v>
      </c>
      <c r="ACQ9" t="s">
        <v>84</v>
      </c>
      <c r="ACR9" t="s">
        <v>84</v>
      </c>
      <c r="ACS9" t="s">
        <v>84</v>
      </c>
      <c r="ACT9" t="s">
        <v>84</v>
      </c>
      <c r="ACU9" t="s">
        <v>84</v>
      </c>
      <c r="ACV9" t="s">
        <v>84</v>
      </c>
      <c r="ACW9" t="s">
        <v>84</v>
      </c>
      <c r="ACX9" t="s">
        <v>84</v>
      </c>
      <c r="ACY9" t="s">
        <v>84</v>
      </c>
      <c r="ACZ9" t="s">
        <v>84</v>
      </c>
      <c r="ADA9" t="s">
        <v>84</v>
      </c>
      <c r="ADB9" t="s">
        <v>84</v>
      </c>
      <c r="ADC9" t="s">
        <v>84</v>
      </c>
      <c r="ADD9" t="s">
        <v>84</v>
      </c>
      <c r="ADE9" t="s">
        <v>84</v>
      </c>
      <c r="ADF9" t="s">
        <v>84</v>
      </c>
      <c r="ADG9" t="s">
        <v>84</v>
      </c>
      <c r="ADH9" t="s">
        <v>84</v>
      </c>
      <c r="ADI9" t="s">
        <v>84</v>
      </c>
      <c r="ADJ9" t="s">
        <v>84</v>
      </c>
      <c r="ADK9" t="s">
        <v>84</v>
      </c>
      <c r="ADL9" t="s">
        <v>84</v>
      </c>
      <c r="ADM9" t="s">
        <v>84</v>
      </c>
      <c r="ADN9" t="s">
        <v>84</v>
      </c>
      <c r="ADO9" t="s">
        <v>84</v>
      </c>
      <c r="ADP9" t="s">
        <v>84</v>
      </c>
      <c r="ADQ9" t="s">
        <v>84</v>
      </c>
      <c r="ADR9" t="s">
        <v>84</v>
      </c>
      <c r="ADS9" t="s">
        <v>84</v>
      </c>
      <c r="ADT9" t="s">
        <v>84</v>
      </c>
      <c r="ADU9" t="s">
        <v>84</v>
      </c>
      <c r="ADV9" t="s">
        <v>84</v>
      </c>
      <c r="ADW9" t="s">
        <v>84</v>
      </c>
      <c r="ADX9" t="s">
        <v>84</v>
      </c>
      <c r="ADY9" t="s">
        <v>84</v>
      </c>
      <c r="ADZ9" t="s">
        <v>84</v>
      </c>
      <c r="AEA9" t="s">
        <v>84</v>
      </c>
      <c r="AEB9" t="s">
        <v>84</v>
      </c>
      <c r="AEC9" t="s">
        <v>84</v>
      </c>
      <c r="AED9" t="s">
        <v>84</v>
      </c>
      <c r="AEE9" t="s">
        <v>84</v>
      </c>
      <c r="AEF9" t="s">
        <v>84</v>
      </c>
      <c r="AEG9" t="s">
        <v>84</v>
      </c>
      <c r="AEH9" t="s">
        <v>84</v>
      </c>
      <c r="AEI9" t="s">
        <v>84</v>
      </c>
      <c r="AEJ9" t="s">
        <v>84</v>
      </c>
      <c r="AEK9" t="s">
        <v>84</v>
      </c>
      <c r="AEL9" t="s">
        <v>84</v>
      </c>
      <c r="AEM9" t="s">
        <v>84</v>
      </c>
      <c r="AEN9" t="s">
        <v>84</v>
      </c>
      <c r="AEO9" t="s">
        <v>84</v>
      </c>
      <c r="AEP9" t="s">
        <v>84</v>
      </c>
      <c r="AEQ9" t="s">
        <v>84</v>
      </c>
      <c r="AER9" t="s">
        <v>84</v>
      </c>
      <c r="AES9" t="s">
        <v>84</v>
      </c>
      <c r="AET9" t="s">
        <v>84</v>
      </c>
      <c r="AEU9" t="s">
        <v>84</v>
      </c>
      <c r="AEV9" t="s">
        <v>84</v>
      </c>
      <c r="AEW9" t="s">
        <v>84</v>
      </c>
      <c r="AEX9" t="s">
        <v>84</v>
      </c>
      <c r="AEY9" t="s">
        <v>84</v>
      </c>
      <c r="AEZ9" t="s">
        <v>84</v>
      </c>
      <c r="AFA9" t="s">
        <v>84</v>
      </c>
      <c r="AFB9" t="s">
        <v>84</v>
      </c>
      <c r="AFC9" t="s">
        <v>84</v>
      </c>
      <c r="AFD9" t="s">
        <v>84</v>
      </c>
      <c r="AFE9" t="s">
        <v>84</v>
      </c>
      <c r="AFF9" t="s">
        <v>84</v>
      </c>
      <c r="AFG9" t="s">
        <v>84</v>
      </c>
      <c r="AFH9" t="s">
        <v>84</v>
      </c>
      <c r="AFI9" t="s">
        <v>84</v>
      </c>
      <c r="AFJ9" t="s">
        <v>84</v>
      </c>
      <c r="AFK9" t="s">
        <v>84</v>
      </c>
      <c r="AFL9" t="s">
        <v>84</v>
      </c>
      <c r="AFM9" t="s">
        <v>84</v>
      </c>
      <c r="AFN9" t="s">
        <v>84</v>
      </c>
      <c r="AFO9" t="s">
        <v>84</v>
      </c>
      <c r="AFP9" t="s">
        <v>84</v>
      </c>
      <c r="AFQ9" t="s">
        <v>84</v>
      </c>
      <c r="AFR9" t="s">
        <v>84</v>
      </c>
      <c r="AFS9" t="s">
        <v>84</v>
      </c>
      <c r="AFT9" t="s">
        <v>84</v>
      </c>
      <c r="AFU9" t="s">
        <v>84</v>
      </c>
      <c r="AFV9" t="s">
        <v>84</v>
      </c>
      <c r="AFW9" t="s">
        <v>84</v>
      </c>
      <c r="AFX9" t="s">
        <v>84</v>
      </c>
      <c r="AFY9" t="s">
        <v>84</v>
      </c>
      <c r="AFZ9" t="s">
        <v>84</v>
      </c>
      <c r="AGA9" t="s">
        <v>84</v>
      </c>
      <c r="AGB9" t="s">
        <v>84</v>
      </c>
      <c r="AGC9" t="s">
        <v>84</v>
      </c>
      <c r="AGD9" t="s">
        <v>84</v>
      </c>
      <c r="AGE9" t="s">
        <v>84</v>
      </c>
      <c r="AGF9" t="s">
        <v>84</v>
      </c>
      <c r="AGG9" t="s">
        <v>84</v>
      </c>
      <c r="AGH9" t="s">
        <v>84</v>
      </c>
      <c r="AGI9" t="s">
        <v>84</v>
      </c>
      <c r="AGJ9" t="s">
        <v>84</v>
      </c>
      <c r="AGK9" t="s">
        <v>84</v>
      </c>
      <c r="AGL9" t="s">
        <v>84</v>
      </c>
      <c r="AGM9" t="s">
        <v>84</v>
      </c>
      <c r="AGN9" t="s">
        <v>84</v>
      </c>
      <c r="AGO9" t="s">
        <v>84</v>
      </c>
      <c r="AGP9" t="s">
        <v>84</v>
      </c>
      <c r="AGQ9" t="s">
        <v>84</v>
      </c>
      <c r="AGR9" t="s">
        <v>84</v>
      </c>
      <c r="AGS9" t="s">
        <v>84</v>
      </c>
      <c r="AGT9" t="s">
        <v>84</v>
      </c>
      <c r="AGU9" t="s">
        <v>84</v>
      </c>
      <c r="AGV9" t="s">
        <v>84</v>
      </c>
      <c r="AGW9" t="s">
        <v>84</v>
      </c>
      <c r="AGX9" t="s">
        <v>84</v>
      </c>
      <c r="AGY9" t="s">
        <v>84</v>
      </c>
      <c r="AGZ9" t="s">
        <v>84</v>
      </c>
      <c r="AHA9" t="s">
        <v>84</v>
      </c>
      <c r="AHB9" t="s">
        <v>84</v>
      </c>
      <c r="AHC9" t="s">
        <v>84</v>
      </c>
      <c r="AHD9" t="s">
        <v>84</v>
      </c>
      <c r="AHE9" t="s">
        <v>84</v>
      </c>
      <c r="AHF9" t="s">
        <v>84</v>
      </c>
      <c r="AHG9" t="s">
        <v>84</v>
      </c>
      <c r="AHH9" t="s">
        <v>84</v>
      </c>
      <c r="AHI9" t="s">
        <v>84</v>
      </c>
      <c r="AHJ9" t="s">
        <v>84</v>
      </c>
      <c r="AHK9" t="s">
        <v>84</v>
      </c>
      <c r="AHL9" t="s">
        <v>84</v>
      </c>
      <c r="AHM9" t="s">
        <v>84</v>
      </c>
      <c r="AHN9" t="s">
        <v>84</v>
      </c>
      <c r="AHO9" t="s">
        <v>84</v>
      </c>
      <c r="AHP9" t="s">
        <v>84</v>
      </c>
      <c r="AHQ9" t="s">
        <v>84</v>
      </c>
      <c r="AHR9" t="s">
        <v>84</v>
      </c>
      <c r="AHS9" t="s">
        <v>84</v>
      </c>
      <c r="AHT9" t="s">
        <v>84</v>
      </c>
      <c r="AHU9" t="s">
        <v>84</v>
      </c>
      <c r="AHV9" t="s">
        <v>84</v>
      </c>
      <c r="AHW9" t="s">
        <v>84</v>
      </c>
      <c r="AHX9" t="s">
        <v>84</v>
      </c>
      <c r="AHY9" t="s">
        <v>84</v>
      </c>
      <c r="AHZ9" t="s">
        <v>84</v>
      </c>
      <c r="AIA9" t="s">
        <v>84</v>
      </c>
      <c r="AIB9" t="s">
        <v>84</v>
      </c>
      <c r="AIC9" t="s">
        <v>84</v>
      </c>
      <c r="AID9" t="s">
        <v>84</v>
      </c>
      <c r="AIE9" t="s">
        <v>84</v>
      </c>
      <c r="AIF9" t="s">
        <v>84</v>
      </c>
      <c r="AIG9" t="s">
        <v>84</v>
      </c>
      <c r="AIH9" t="s">
        <v>84</v>
      </c>
      <c r="AII9" t="s">
        <v>84</v>
      </c>
      <c r="AIJ9" t="s">
        <v>84</v>
      </c>
      <c r="AIK9" t="s">
        <v>84</v>
      </c>
      <c r="AIL9" t="s">
        <v>84</v>
      </c>
      <c r="AIM9" t="s">
        <v>84</v>
      </c>
      <c r="AIN9" t="s">
        <v>84</v>
      </c>
      <c r="AIO9" t="s">
        <v>84</v>
      </c>
      <c r="AIP9" t="s">
        <v>84</v>
      </c>
      <c r="AIQ9" t="s">
        <v>84</v>
      </c>
      <c r="AIR9" t="s">
        <v>84</v>
      </c>
      <c r="AIS9" t="s">
        <v>84</v>
      </c>
      <c r="AIT9" t="s">
        <v>84</v>
      </c>
      <c r="AIU9" t="s">
        <v>84</v>
      </c>
      <c r="AIV9" t="s">
        <v>84</v>
      </c>
      <c r="AIW9" t="s">
        <v>84</v>
      </c>
      <c r="AIX9" t="s">
        <v>84</v>
      </c>
      <c r="AIY9" t="s">
        <v>84</v>
      </c>
      <c r="AIZ9" t="s">
        <v>84</v>
      </c>
      <c r="AJA9" t="s">
        <v>84</v>
      </c>
      <c r="AJB9" t="s">
        <v>84</v>
      </c>
      <c r="AJC9" t="s">
        <v>84</v>
      </c>
      <c r="AJD9" t="s">
        <v>84</v>
      </c>
      <c r="AJE9" t="s">
        <v>84</v>
      </c>
      <c r="AJF9" t="s">
        <v>84</v>
      </c>
      <c r="AJG9" t="s">
        <v>84</v>
      </c>
      <c r="AJH9" t="s">
        <v>84</v>
      </c>
      <c r="AJI9" t="s">
        <v>84</v>
      </c>
      <c r="AJJ9" t="s">
        <v>84</v>
      </c>
      <c r="AJK9" t="s">
        <v>84</v>
      </c>
      <c r="AJL9" t="s">
        <v>84</v>
      </c>
      <c r="AJM9" t="s">
        <v>84</v>
      </c>
      <c r="AJN9" t="s">
        <v>84</v>
      </c>
      <c r="AJO9" t="s">
        <v>84</v>
      </c>
      <c r="AJP9" t="s">
        <v>84</v>
      </c>
      <c r="AJQ9" t="s">
        <v>84</v>
      </c>
      <c r="AKN9" t="s">
        <v>555</v>
      </c>
      <c r="AKO9" t="s">
        <v>555</v>
      </c>
      <c r="AKP9" t="s">
        <v>555</v>
      </c>
      <c r="AKQ9" t="s">
        <v>555</v>
      </c>
      <c r="AKR9" t="s">
        <v>555</v>
      </c>
    </row>
    <row r="10" spans="1:985" ht="14.4" customHeight="1" x14ac:dyDescent="0.55000000000000004">
      <c r="A10" t="s">
        <v>89</v>
      </c>
      <c r="B10" t="s">
        <v>521</v>
      </c>
      <c r="C10" s="1" t="s">
        <v>694</v>
      </c>
      <c r="CA10">
        <v>2898</v>
      </c>
      <c r="CB10">
        <v>2898</v>
      </c>
      <c r="CC10">
        <v>2898</v>
      </c>
      <c r="CD10">
        <v>2898</v>
      </c>
      <c r="CE10">
        <v>2898</v>
      </c>
      <c r="CF10">
        <v>2898</v>
      </c>
      <c r="CG10">
        <v>2898</v>
      </c>
      <c r="CH10">
        <v>2898</v>
      </c>
      <c r="CI10">
        <v>2898</v>
      </c>
      <c r="CJ10">
        <v>2898</v>
      </c>
      <c r="CK10">
        <v>2898</v>
      </c>
      <c r="CL10">
        <v>2898</v>
      </c>
      <c r="CM10">
        <v>2898</v>
      </c>
      <c r="CN10">
        <v>2898</v>
      </c>
      <c r="CO10">
        <v>2898</v>
      </c>
      <c r="CP10">
        <v>2898</v>
      </c>
      <c r="CQ10">
        <v>2898</v>
      </c>
      <c r="CR10">
        <v>2898</v>
      </c>
      <c r="CS10">
        <v>2898</v>
      </c>
      <c r="CT10">
        <v>2898</v>
      </c>
      <c r="CU10">
        <v>2898</v>
      </c>
      <c r="CV10">
        <v>2898</v>
      </c>
      <c r="CW10">
        <v>2898</v>
      </c>
      <c r="CX10">
        <v>2898</v>
      </c>
      <c r="CY10">
        <v>2898</v>
      </c>
      <c r="CZ10">
        <v>2898</v>
      </c>
      <c r="DA10">
        <v>2898</v>
      </c>
      <c r="DB10">
        <v>2898</v>
      </c>
      <c r="DC10">
        <v>2898</v>
      </c>
      <c r="DD10">
        <v>2898</v>
      </c>
      <c r="DE10">
        <v>2898</v>
      </c>
      <c r="DF10">
        <v>2898</v>
      </c>
      <c r="DG10">
        <v>2898</v>
      </c>
      <c r="DH10">
        <v>2898</v>
      </c>
      <c r="DI10">
        <v>2898</v>
      </c>
      <c r="DJ10">
        <v>2898</v>
      </c>
      <c r="DK10">
        <v>2898</v>
      </c>
      <c r="DL10">
        <v>2898</v>
      </c>
      <c r="DM10">
        <v>2898</v>
      </c>
      <c r="DN10">
        <v>2898</v>
      </c>
      <c r="DO10">
        <v>2898</v>
      </c>
      <c r="DP10">
        <v>2898</v>
      </c>
      <c r="DQ10">
        <v>2898</v>
      </c>
      <c r="DR10">
        <v>2898</v>
      </c>
      <c r="DS10">
        <v>2898</v>
      </c>
      <c r="DT10">
        <v>2898</v>
      </c>
      <c r="DU10">
        <v>2898</v>
      </c>
      <c r="DV10">
        <v>2898</v>
      </c>
      <c r="DW10">
        <v>2898</v>
      </c>
      <c r="DX10">
        <v>2898</v>
      </c>
      <c r="DY10">
        <v>2898</v>
      </c>
      <c r="DZ10">
        <v>2898</v>
      </c>
      <c r="EA10">
        <v>2898</v>
      </c>
      <c r="EB10">
        <v>2898</v>
      </c>
      <c r="EC10">
        <v>2898</v>
      </c>
      <c r="ED10">
        <v>2898</v>
      </c>
      <c r="EE10">
        <v>2898</v>
      </c>
      <c r="EF10">
        <v>2898</v>
      </c>
      <c r="EG10">
        <v>2898</v>
      </c>
      <c r="EH10">
        <v>2898</v>
      </c>
      <c r="EI10">
        <v>2898</v>
      </c>
      <c r="EJ10">
        <v>2898</v>
      </c>
      <c r="EK10">
        <v>2898</v>
      </c>
      <c r="EL10">
        <v>2898</v>
      </c>
      <c r="EM10">
        <v>2898</v>
      </c>
      <c r="EN10">
        <v>2898</v>
      </c>
      <c r="EO10">
        <v>2898</v>
      </c>
      <c r="EP10">
        <v>2898</v>
      </c>
      <c r="EQ10">
        <v>2898</v>
      </c>
      <c r="ER10">
        <v>2898</v>
      </c>
      <c r="ES10">
        <v>2898</v>
      </c>
      <c r="ET10">
        <v>2898</v>
      </c>
      <c r="EU10">
        <v>2898</v>
      </c>
      <c r="EV10">
        <v>2898</v>
      </c>
      <c r="EW10">
        <v>2898</v>
      </c>
      <c r="EX10">
        <v>2898</v>
      </c>
      <c r="EY10">
        <v>2898</v>
      </c>
      <c r="EZ10">
        <v>2898</v>
      </c>
      <c r="FA10">
        <v>2898</v>
      </c>
      <c r="FB10">
        <v>2898</v>
      </c>
      <c r="FC10">
        <v>2898</v>
      </c>
      <c r="FD10">
        <v>2898</v>
      </c>
      <c r="FE10">
        <v>2898</v>
      </c>
      <c r="FF10">
        <v>2898</v>
      </c>
      <c r="FG10">
        <v>2898</v>
      </c>
      <c r="FH10">
        <v>2898</v>
      </c>
      <c r="FI10">
        <v>2898</v>
      </c>
      <c r="FJ10">
        <v>2898</v>
      </c>
      <c r="FK10">
        <v>2898</v>
      </c>
      <c r="FL10">
        <v>2898</v>
      </c>
      <c r="FM10">
        <v>2898</v>
      </c>
      <c r="FN10">
        <v>2898</v>
      </c>
      <c r="FO10">
        <v>2898</v>
      </c>
      <c r="FP10">
        <v>2898</v>
      </c>
      <c r="FQ10">
        <v>2898</v>
      </c>
      <c r="FR10">
        <v>2898</v>
      </c>
      <c r="FS10">
        <v>2898</v>
      </c>
      <c r="FT10">
        <v>2898</v>
      </c>
      <c r="FU10">
        <v>2898</v>
      </c>
      <c r="FV10">
        <v>2898</v>
      </c>
      <c r="FW10">
        <v>2898</v>
      </c>
      <c r="FX10">
        <v>2898</v>
      </c>
      <c r="FY10">
        <v>2898</v>
      </c>
      <c r="FZ10">
        <v>2898</v>
      </c>
      <c r="GA10">
        <v>2898</v>
      </c>
      <c r="GB10">
        <v>2898</v>
      </c>
      <c r="GC10">
        <v>2898</v>
      </c>
      <c r="GD10">
        <v>2898</v>
      </c>
      <c r="GE10">
        <v>2898</v>
      </c>
      <c r="GF10">
        <v>2898</v>
      </c>
      <c r="GG10">
        <v>2898</v>
      </c>
      <c r="GH10">
        <v>2898</v>
      </c>
      <c r="GI10">
        <v>2898</v>
      </c>
      <c r="GJ10">
        <v>2898</v>
      </c>
      <c r="GK10">
        <v>2898</v>
      </c>
      <c r="GL10">
        <v>2898</v>
      </c>
      <c r="GM10">
        <v>2898</v>
      </c>
      <c r="GN10">
        <v>2898</v>
      </c>
      <c r="GO10">
        <v>2898</v>
      </c>
      <c r="GP10">
        <v>2898</v>
      </c>
      <c r="GQ10">
        <v>2898</v>
      </c>
      <c r="GR10">
        <v>2898</v>
      </c>
      <c r="GS10">
        <v>2898</v>
      </c>
      <c r="GT10">
        <v>2898</v>
      </c>
      <c r="GU10">
        <v>2898</v>
      </c>
      <c r="GV10">
        <v>2898</v>
      </c>
      <c r="GW10">
        <v>2898</v>
      </c>
      <c r="GX10">
        <v>2898</v>
      </c>
      <c r="GY10">
        <v>2898</v>
      </c>
      <c r="GZ10">
        <v>2898</v>
      </c>
      <c r="HA10">
        <v>2898</v>
      </c>
      <c r="HB10">
        <v>2898</v>
      </c>
      <c r="HC10">
        <v>2898</v>
      </c>
      <c r="HD10">
        <v>2898</v>
      </c>
      <c r="HE10">
        <v>2898</v>
      </c>
      <c r="HF10">
        <v>2898</v>
      </c>
      <c r="HG10">
        <v>2898</v>
      </c>
      <c r="HH10">
        <v>2898</v>
      </c>
      <c r="HI10">
        <v>2898</v>
      </c>
      <c r="HJ10">
        <v>2898</v>
      </c>
      <c r="HK10">
        <v>2898</v>
      </c>
      <c r="HL10">
        <v>2898</v>
      </c>
      <c r="HM10">
        <v>2898</v>
      </c>
      <c r="HN10">
        <v>2898</v>
      </c>
      <c r="HO10">
        <v>2898</v>
      </c>
      <c r="HP10">
        <v>2898</v>
      </c>
      <c r="HQ10">
        <v>2898</v>
      </c>
      <c r="HR10">
        <v>2898</v>
      </c>
      <c r="HS10">
        <v>2898</v>
      </c>
      <c r="HT10">
        <v>2898</v>
      </c>
      <c r="HU10">
        <v>2898</v>
      </c>
      <c r="HV10">
        <v>2898</v>
      </c>
      <c r="HW10">
        <v>2898</v>
      </c>
      <c r="HX10">
        <v>2898</v>
      </c>
      <c r="HY10">
        <v>2898</v>
      </c>
      <c r="HZ10">
        <v>2898</v>
      </c>
      <c r="IA10">
        <v>2898</v>
      </c>
      <c r="IB10">
        <v>2898</v>
      </c>
      <c r="IC10">
        <v>2898</v>
      </c>
      <c r="ID10">
        <v>2898</v>
      </c>
      <c r="IE10">
        <v>2898</v>
      </c>
      <c r="IF10">
        <v>2898</v>
      </c>
      <c r="IG10">
        <v>2898</v>
      </c>
      <c r="IH10">
        <v>2898</v>
      </c>
      <c r="II10">
        <v>2898</v>
      </c>
      <c r="IJ10">
        <v>2898</v>
      </c>
      <c r="IK10">
        <v>2898</v>
      </c>
      <c r="IL10">
        <v>2898</v>
      </c>
      <c r="IM10">
        <v>2898</v>
      </c>
      <c r="IN10">
        <v>2898</v>
      </c>
      <c r="IO10">
        <v>2898</v>
      </c>
      <c r="IP10">
        <v>2898</v>
      </c>
      <c r="IQ10">
        <v>2898</v>
      </c>
      <c r="IR10">
        <v>2898</v>
      </c>
      <c r="IS10">
        <v>2898</v>
      </c>
      <c r="IT10">
        <v>2898</v>
      </c>
      <c r="IU10">
        <v>2898</v>
      </c>
      <c r="IV10">
        <v>2898</v>
      </c>
      <c r="IW10">
        <v>2898</v>
      </c>
      <c r="IX10">
        <v>2898</v>
      </c>
      <c r="IY10">
        <v>2898</v>
      </c>
      <c r="IZ10">
        <v>2898</v>
      </c>
      <c r="JA10">
        <v>2898</v>
      </c>
      <c r="JB10">
        <v>2898</v>
      </c>
      <c r="JC10">
        <v>2898</v>
      </c>
      <c r="JD10">
        <v>2898</v>
      </c>
      <c r="JE10">
        <v>2898</v>
      </c>
      <c r="JF10">
        <v>2898</v>
      </c>
      <c r="JG10">
        <v>2898</v>
      </c>
      <c r="JH10">
        <v>2898</v>
      </c>
      <c r="JI10">
        <v>2898</v>
      </c>
      <c r="JJ10">
        <v>2898</v>
      </c>
      <c r="JK10">
        <v>2898</v>
      </c>
      <c r="JL10">
        <v>2898</v>
      </c>
      <c r="JM10">
        <v>2898</v>
      </c>
      <c r="JN10">
        <v>2898</v>
      </c>
      <c r="JO10">
        <v>2898</v>
      </c>
      <c r="JP10">
        <v>2898</v>
      </c>
      <c r="JQ10">
        <v>2898</v>
      </c>
      <c r="JR10">
        <v>2898</v>
      </c>
      <c r="JS10">
        <v>2898</v>
      </c>
      <c r="JT10">
        <v>2898</v>
      </c>
      <c r="JU10">
        <v>2898</v>
      </c>
      <c r="JV10">
        <v>2898</v>
      </c>
      <c r="JW10">
        <v>2898</v>
      </c>
      <c r="JX10">
        <v>2898</v>
      </c>
      <c r="JY10">
        <v>2898</v>
      </c>
      <c r="JZ10">
        <v>2898</v>
      </c>
      <c r="KA10">
        <v>2898</v>
      </c>
      <c r="KB10">
        <v>2898</v>
      </c>
      <c r="KC10">
        <v>2898</v>
      </c>
      <c r="KD10">
        <v>2898</v>
      </c>
      <c r="KE10">
        <v>2898</v>
      </c>
      <c r="KF10">
        <v>2898</v>
      </c>
      <c r="KG10">
        <v>2898</v>
      </c>
      <c r="KH10">
        <v>2898</v>
      </c>
      <c r="KI10">
        <v>2898</v>
      </c>
      <c r="KJ10">
        <v>2898</v>
      </c>
      <c r="KK10">
        <v>2898</v>
      </c>
      <c r="KL10">
        <v>2898</v>
      </c>
      <c r="KM10">
        <v>2898</v>
      </c>
      <c r="KN10">
        <v>2898</v>
      </c>
      <c r="KO10">
        <v>2898</v>
      </c>
      <c r="KP10">
        <v>2898</v>
      </c>
      <c r="KQ10">
        <v>2898</v>
      </c>
      <c r="KR10">
        <v>2898</v>
      </c>
      <c r="KS10">
        <v>2898</v>
      </c>
      <c r="KT10">
        <v>2898</v>
      </c>
      <c r="KU10">
        <v>2898</v>
      </c>
      <c r="KV10">
        <v>2898</v>
      </c>
      <c r="KW10">
        <v>2898</v>
      </c>
      <c r="KX10">
        <v>2898</v>
      </c>
      <c r="KY10">
        <v>2898</v>
      </c>
      <c r="KZ10">
        <v>2898</v>
      </c>
      <c r="LA10">
        <v>2898</v>
      </c>
      <c r="LB10">
        <v>2898</v>
      </c>
      <c r="LC10">
        <v>2898</v>
      </c>
      <c r="LD10">
        <v>2898</v>
      </c>
      <c r="LE10">
        <v>2898</v>
      </c>
      <c r="LF10">
        <v>2898</v>
      </c>
      <c r="LG10">
        <v>2898</v>
      </c>
      <c r="LH10">
        <v>2898</v>
      </c>
      <c r="LI10">
        <v>2898</v>
      </c>
      <c r="LJ10">
        <v>2898</v>
      </c>
      <c r="LK10">
        <v>2898</v>
      </c>
      <c r="LL10">
        <v>2898</v>
      </c>
      <c r="LM10">
        <v>2898</v>
      </c>
      <c r="LN10">
        <v>2898</v>
      </c>
      <c r="LO10">
        <v>2898</v>
      </c>
      <c r="LP10">
        <v>2898</v>
      </c>
      <c r="LQ10">
        <v>2898</v>
      </c>
      <c r="LR10">
        <v>2898</v>
      </c>
      <c r="LS10">
        <v>2898</v>
      </c>
      <c r="LT10">
        <v>2898</v>
      </c>
      <c r="LU10">
        <v>2898</v>
      </c>
      <c r="LV10">
        <v>2898</v>
      </c>
      <c r="LW10">
        <v>2898</v>
      </c>
      <c r="LX10">
        <v>2898</v>
      </c>
      <c r="LY10">
        <v>2898</v>
      </c>
      <c r="LZ10">
        <v>2898</v>
      </c>
      <c r="MA10">
        <v>2898</v>
      </c>
      <c r="MB10">
        <v>2898</v>
      </c>
      <c r="MC10">
        <v>2898</v>
      </c>
      <c r="MD10">
        <v>2898</v>
      </c>
      <c r="ME10">
        <v>2898</v>
      </c>
      <c r="MF10">
        <v>2898</v>
      </c>
      <c r="MG10">
        <v>2898</v>
      </c>
      <c r="MH10">
        <v>2898</v>
      </c>
      <c r="MI10">
        <v>2898</v>
      </c>
      <c r="MJ10">
        <v>2898</v>
      </c>
      <c r="MK10">
        <v>2898</v>
      </c>
      <c r="ML10">
        <v>2898</v>
      </c>
      <c r="MM10">
        <v>2898</v>
      </c>
      <c r="MN10">
        <v>2898</v>
      </c>
      <c r="MO10">
        <v>2898</v>
      </c>
      <c r="MP10">
        <v>2898</v>
      </c>
      <c r="MQ10">
        <v>2898</v>
      </c>
      <c r="MR10">
        <v>2898</v>
      </c>
      <c r="MS10">
        <v>2898</v>
      </c>
      <c r="MT10">
        <v>2898</v>
      </c>
      <c r="MU10">
        <v>2898</v>
      </c>
      <c r="MV10">
        <v>2898</v>
      </c>
      <c r="MW10">
        <v>2898</v>
      </c>
      <c r="MX10">
        <v>2898</v>
      </c>
      <c r="MY10">
        <v>2898</v>
      </c>
      <c r="MZ10">
        <v>2898</v>
      </c>
      <c r="NA10">
        <v>2898</v>
      </c>
      <c r="NB10">
        <v>2898</v>
      </c>
      <c r="NC10">
        <v>2898</v>
      </c>
      <c r="ND10">
        <v>2898</v>
      </c>
      <c r="NE10">
        <v>2898</v>
      </c>
      <c r="NF10">
        <v>2898</v>
      </c>
      <c r="NG10">
        <v>2898</v>
      </c>
      <c r="NH10">
        <v>2898</v>
      </c>
      <c r="NI10">
        <v>2898</v>
      </c>
      <c r="NJ10">
        <v>2898</v>
      </c>
      <c r="NK10">
        <v>2898</v>
      </c>
      <c r="NL10">
        <v>2898</v>
      </c>
      <c r="NM10">
        <v>2898</v>
      </c>
      <c r="NN10">
        <v>2898</v>
      </c>
      <c r="NO10">
        <v>2898</v>
      </c>
      <c r="NP10">
        <v>2898</v>
      </c>
      <c r="NQ10">
        <v>2898</v>
      </c>
      <c r="NR10">
        <v>2898</v>
      </c>
      <c r="NS10">
        <v>2898</v>
      </c>
      <c r="NT10">
        <v>2898</v>
      </c>
      <c r="NU10">
        <v>2898</v>
      </c>
      <c r="NV10">
        <v>2898</v>
      </c>
      <c r="NW10">
        <v>2898</v>
      </c>
      <c r="NX10">
        <v>2898</v>
      </c>
      <c r="NY10">
        <v>2898</v>
      </c>
      <c r="NZ10">
        <v>2898</v>
      </c>
      <c r="OA10">
        <v>2898</v>
      </c>
      <c r="OB10">
        <v>2898</v>
      </c>
      <c r="OC10">
        <v>2898</v>
      </c>
      <c r="OD10">
        <v>2898</v>
      </c>
      <c r="OE10">
        <v>2898</v>
      </c>
      <c r="OF10">
        <v>2898</v>
      </c>
      <c r="OG10">
        <v>2898</v>
      </c>
      <c r="OH10">
        <v>2898</v>
      </c>
      <c r="OI10">
        <v>2898</v>
      </c>
      <c r="OJ10">
        <v>2898</v>
      </c>
      <c r="OK10">
        <v>2898</v>
      </c>
      <c r="OL10">
        <v>2898</v>
      </c>
      <c r="OM10">
        <v>2898</v>
      </c>
      <c r="ON10">
        <v>2898</v>
      </c>
      <c r="OO10">
        <v>2898</v>
      </c>
      <c r="OP10">
        <v>2898</v>
      </c>
      <c r="OQ10">
        <v>2898</v>
      </c>
      <c r="OR10">
        <v>2898</v>
      </c>
      <c r="OS10">
        <v>2898</v>
      </c>
      <c r="OT10">
        <v>2898</v>
      </c>
      <c r="OU10">
        <v>2898</v>
      </c>
      <c r="OV10">
        <v>2898</v>
      </c>
      <c r="OW10">
        <v>2898</v>
      </c>
      <c r="OX10">
        <v>2898</v>
      </c>
      <c r="OY10">
        <v>2898</v>
      </c>
      <c r="OZ10">
        <v>2898</v>
      </c>
      <c r="PA10">
        <v>2898</v>
      </c>
      <c r="PB10">
        <v>2898</v>
      </c>
      <c r="PC10">
        <v>2898</v>
      </c>
      <c r="PD10">
        <v>2898</v>
      </c>
      <c r="PE10">
        <v>2898</v>
      </c>
      <c r="PF10">
        <v>2898</v>
      </c>
      <c r="PG10">
        <v>2898</v>
      </c>
      <c r="PH10">
        <v>2898</v>
      </c>
      <c r="PI10">
        <v>2898</v>
      </c>
      <c r="PJ10">
        <v>2898</v>
      </c>
      <c r="PK10">
        <v>2898</v>
      </c>
      <c r="PL10">
        <v>2898</v>
      </c>
      <c r="PM10">
        <v>2898</v>
      </c>
      <c r="PN10">
        <v>2898</v>
      </c>
      <c r="PO10">
        <v>2898</v>
      </c>
      <c r="PP10">
        <v>2898</v>
      </c>
      <c r="PQ10">
        <v>2898</v>
      </c>
      <c r="PR10">
        <v>2898</v>
      </c>
      <c r="PS10">
        <v>2898</v>
      </c>
      <c r="PT10">
        <v>2898</v>
      </c>
      <c r="PU10">
        <v>2898</v>
      </c>
      <c r="PV10">
        <v>2898</v>
      </c>
      <c r="PW10">
        <v>2898</v>
      </c>
      <c r="PX10">
        <v>2898</v>
      </c>
      <c r="PY10">
        <v>2898</v>
      </c>
      <c r="PZ10">
        <v>2898</v>
      </c>
      <c r="QA10">
        <v>2898</v>
      </c>
      <c r="QB10">
        <v>2898</v>
      </c>
      <c r="QC10">
        <v>2898</v>
      </c>
      <c r="QD10">
        <v>2898</v>
      </c>
      <c r="QE10">
        <v>2898</v>
      </c>
      <c r="QF10">
        <v>2898</v>
      </c>
      <c r="QG10">
        <v>2898</v>
      </c>
      <c r="QH10">
        <v>2898</v>
      </c>
      <c r="QI10">
        <v>2898</v>
      </c>
      <c r="QJ10">
        <v>2898</v>
      </c>
      <c r="QK10">
        <v>2898</v>
      </c>
      <c r="QL10">
        <v>2898</v>
      </c>
      <c r="QM10">
        <v>2898</v>
      </c>
      <c r="QN10">
        <v>2898</v>
      </c>
      <c r="QO10">
        <v>2898</v>
      </c>
      <c r="QP10">
        <v>2898</v>
      </c>
      <c r="QQ10">
        <v>2898</v>
      </c>
      <c r="QR10">
        <v>2898</v>
      </c>
      <c r="QS10">
        <v>2898</v>
      </c>
      <c r="QT10">
        <v>2898</v>
      </c>
      <c r="QU10">
        <v>2898</v>
      </c>
      <c r="QV10">
        <v>2898</v>
      </c>
      <c r="QW10">
        <v>2898</v>
      </c>
      <c r="QX10">
        <v>2898</v>
      </c>
      <c r="QY10">
        <v>2898</v>
      </c>
      <c r="QZ10">
        <v>2898</v>
      </c>
      <c r="RA10">
        <v>2898</v>
      </c>
      <c r="RB10">
        <v>2898</v>
      </c>
      <c r="RC10">
        <v>2898</v>
      </c>
      <c r="RD10">
        <v>2898</v>
      </c>
      <c r="RE10">
        <v>2898</v>
      </c>
      <c r="RF10">
        <v>2898</v>
      </c>
      <c r="RG10">
        <v>2898</v>
      </c>
      <c r="RH10">
        <v>2898</v>
      </c>
      <c r="RI10">
        <v>2898</v>
      </c>
      <c r="RJ10">
        <v>2898</v>
      </c>
      <c r="RK10">
        <v>2898</v>
      </c>
      <c r="RL10">
        <v>2898</v>
      </c>
      <c r="RM10">
        <v>2898</v>
      </c>
      <c r="RN10">
        <v>2898</v>
      </c>
      <c r="RO10">
        <v>2898</v>
      </c>
      <c r="RP10">
        <v>2898</v>
      </c>
      <c r="RQ10">
        <v>2898</v>
      </c>
      <c r="RR10">
        <v>2898</v>
      </c>
      <c r="RS10">
        <v>2898</v>
      </c>
      <c r="RT10">
        <v>2898</v>
      </c>
      <c r="RU10">
        <v>2898</v>
      </c>
      <c r="RV10">
        <v>2898</v>
      </c>
      <c r="RW10">
        <v>2898</v>
      </c>
      <c r="RX10">
        <v>2898</v>
      </c>
      <c r="RY10">
        <v>2898</v>
      </c>
      <c r="RZ10">
        <v>2898</v>
      </c>
      <c r="SA10">
        <v>2898</v>
      </c>
      <c r="SB10">
        <v>2898</v>
      </c>
      <c r="SC10">
        <v>2898</v>
      </c>
      <c r="SD10">
        <v>2898</v>
      </c>
      <c r="SE10">
        <v>2898</v>
      </c>
      <c r="SF10">
        <v>2898</v>
      </c>
      <c r="SG10">
        <v>2898</v>
      </c>
      <c r="SH10">
        <v>2898</v>
      </c>
      <c r="SI10">
        <v>2898</v>
      </c>
      <c r="SJ10">
        <v>2898</v>
      </c>
      <c r="SK10">
        <v>2898</v>
      </c>
      <c r="SL10">
        <v>2898</v>
      </c>
      <c r="SM10">
        <v>2898</v>
      </c>
      <c r="SN10">
        <v>2898</v>
      </c>
      <c r="SO10">
        <v>2898</v>
      </c>
      <c r="SP10">
        <v>2898</v>
      </c>
      <c r="SQ10">
        <v>2898</v>
      </c>
      <c r="SR10">
        <v>2898</v>
      </c>
      <c r="SS10">
        <v>2898</v>
      </c>
      <c r="ST10">
        <v>2898</v>
      </c>
      <c r="SU10">
        <v>2898</v>
      </c>
      <c r="SV10">
        <v>2898</v>
      </c>
      <c r="SW10">
        <v>2898</v>
      </c>
      <c r="SX10">
        <v>2898</v>
      </c>
      <c r="SY10">
        <v>2898</v>
      </c>
      <c r="SZ10">
        <v>2898</v>
      </c>
      <c r="TA10">
        <v>2898</v>
      </c>
      <c r="TB10">
        <v>2898</v>
      </c>
      <c r="TC10">
        <v>2898</v>
      </c>
      <c r="TD10">
        <v>2898</v>
      </c>
      <c r="TE10">
        <v>2898</v>
      </c>
      <c r="TF10">
        <v>2898</v>
      </c>
      <c r="TG10">
        <v>2898</v>
      </c>
      <c r="TH10">
        <v>2898</v>
      </c>
      <c r="TI10">
        <v>2898</v>
      </c>
      <c r="TJ10">
        <v>2898</v>
      </c>
      <c r="TK10">
        <v>2898</v>
      </c>
      <c r="TL10">
        <v>2898</v>
      </c>
      <c r="TM10">
        <v>2898</v>
      </c>
      <c r="TN10">
        <v>2898</v>
      </c>
      <c r="TO10">
        <v>2898</v>
      </c>
      <c r="TP10">
        <v>2898</v>
      </c>
      <c r="TQ10">
        <v>2898</v>
      </c>
      <c r="TR10">
        <v>2898</v>
      </c>
      <c r="TS10">
        <v>2898</v>
      </c>
      <c r="TT10">
        <v>2898</v>
      </c>
      <c r="TU10">
        <v>2898</v>
      </c>
      <c r="TV10">
        <v>2898</v>
      </c>
      <c r="TW10">
        <v>2898</v>
      </c>
      <c r="TX10">
        <v>2898</v>
      </c>
      <c r="TY10">
        <v>2898</v>
      </c>
      <c r="TZ10">
        <v>2898</v>
      </c>
      <c r="UA10">
        <v>2898</v>
      </c>
      <c r="UB10">
        <v>2898</v>
      </c>
      <c r="UC10">
        <v>2898</v>
      </c>
      <c r="UD10">
        <v>2898</v>
      </c>
      <c r="UE10">
        <v>2898</v>
      </c>
      <c r="UF10">
        <v>2898</v>
      </c>
      <c r="UG10">
        <v>2898</v>
      </c>
      <c r="UH10">
        <v>2898</v>
      </c>
      <c r="UI10">
        <v>2898</v>
      </c>
      <c r="UJ10">
        <v>2898</v>
      </c>
      <c r="UK10">
        <v>2898</v>
      </c>
      <c r="UL10">
        <v>2898</v>
      </c>
      <c r="UM10">
        <v>2898</v>
      </c>
      <c r="UN10">
        <v>2898</v>
      </c>
      <c r="UO10">
        <v>2898</v>
      </c>
      <c r="UP10">
        <v>2898</v>
      </c>
      <c r="UQ10">
        <v>2898</v>
      </c>
      <c r="UR10">
        <v>2898</v>
      </c>
      <c r="US10">
        <v>2898</v>
      </c>
      <c r="UT10">
        <v>2898</v>
      </c>
      <c r="UU10">
        <v>2898</v>
      </c>
      <c r="UV10">
        <v>2898</v>
      </c>
      <c r="UW10">
        <v>2898</v>
      </c>
      <c r="UX10">
        <v>2898</v>
      </c>
      <c r="UY10">
        <v>2898</v>
      </c>
      <c r="UZ10">
        <v>2898</v>
      </c>
      <c r="VA10">
        <v>2898</v>
      </c>
      <c r="VB10">
        <v>2898</v>
      </c>
      <c r="VC10">
        <v>2898</v>
      </c>
      <c r="VD10">
        <v>2898</v>
      </c>
      <c r="VE10">
        <v>2898</v>
      </c>
      <c r="VF10">
        <v>2898</v>
      </c>
      <c r="VG10">
        <v>2898</v>
      </c>
      <c r="VH10">
        <v>2898</v>
      </c>
      <c r="VI10">
        <v>2898</v>
      </c>
      <c r="VJ10">
        <v>2898</v>
      </c>
      <c r="VK10">
        <v>2898</v>
      </c>
      <c r="VL10">
        <v>2898</v>
      </c>
      <c r="VM10">
        <v>2898</v>
      </c>
      <c r="VN10">
        <v>2898</v>
      </c>
      <c r="VO10">
        <v>2898</v>
      </c>
      <c r="VP10">
        <v>2898</v>
      </c>
      <c r="VQ10">
        <v>2898</v>
      </c>
      <c r="VR10">
        <v>2898</v>
      </c>
      <c r="VS10">
        <v>2898</v>
      </c>
      <c r="VT10">
        <v>2898</v>
      </c>
      <c r="VU10">
        <v>2898</v>
      </c>
      <c r="VV10">
        <v>2898</v>
      </c>
      <c r="VW10">
        <v>2898</v>
      </c>
      <c r="VX10">
        <v>2898</v>
      </c>
      <c r="VY10">
        <v>2898</v>
      </c>
      <c r="VZ10">
        <v>2898</v>
      </c>
      <c r="WA10">
        <v>2898</v>
      </c>
      <c r="WB10">
        <v>2898</v>
      </c>
      <c r="WC10">
        <v>2898</v>
      </c>
      <c r="WD10">
        <v>2898</v>
      </c>
      <c r="WE10">
        <v>2898</v>
      </c>
      <c r="WF10">
        <v>2898</v>
      </c>
      <c r="WG10">
        <v>2898</v>
      </c>
      <c r="WH10">
        <v>2898</v>
      </c>
      <c r="WI10">
        <v>2898</v>
      </c>
      <c r="WJ10">
        <v>2898</v>
      </c>
      <c r="WK10">
        <v>2898</v>
      </c>
      <c r="WL10">
        <v>2898</v>
      </c>
      <c r="WM10">
        <v>2898</v>
      </c>
      <c r="WN10">
        <v>2898</v>
      </c>
      <c r="WO10">
        <v>2898</v>
      </c>
      <c r="WP10">
        <v>2898</v>
      </c>
      <c r="WQ10">
        <v>2898</v>
      </c>
      <c r="WR10">
        <v>2898</v>
      </c>
      <c r="WS10">
        <v>2898</v>
      </c>
      <c r="WT10">
        <v>2898</v>
      </c>
      <c r="WU10">
        <v>2898</v>
      </c>
      <c r="WV10">
        <v>2898</v>
      </c>
      <c r="WW10">
        <v>2898</v>
      </c>
      <c r="WX10">
        <v>2898</v>
      </c>
      <c r="WY10">
        <v>2898</v>
      </c>
      <c r="WZ10">
        <v>2898</v>
      </c>
      <c r="XA10">
        <v>2898</v>
      </c>
      <c r="XB10">
        <v>2898</v>
      </c>
      <c r="XC10">
        <v>2898</v>
      </c>
      <c r="XD10">
        <v>2898</v>
      </c>
      <c r="XE10">
        <v>2898</v>
      </c>
      <c r="XF10">
        <v>2898</v>
      </c>
      <c r="XG10">
        <v>2898</v>
      </c>
      <c r="XH10">
        <v>2898</v>
      </c>
      <c r="XI10">
        <v>2898</v>
      </c>
      <c r="XJ10">
        <v>2898</v>
      </c>
      <c r="XK10">
        <v>2898</v>
      </c>
      <c r="XL10">
        <v>2898</v>
      </c>
      <c r="XM10">
        <v>2898</v>
      </c>
      <c r="XN10">
        <v>2898</v>
      </c>
      <c r="XO10">
        <v>2898</v>
      </c>
      <c r="XP10">
        <v>2898</v>
      </c>
      <c r="XQ10">
        <v>2898</v>
      </c>
      <c r="XR10">
        <v>2898</v>
      </c>
      <c r="XS10">
        <v>2898</v>
      </c>
      <c r="XT10">
        <v>2898</v>
      </c>
      <c r="XU10">
        <v>2898</v>
      </c>
      <c r="XV10">
        <v>2898</v>
      </c>
      <c r="XW10">
        <v>2898</v>
      </c>
      <c r="XX10">
        <v>2898</v>
      </c>
      <c r="XY10">
        <v>2898</v>
      </c>
      <c r="XZ10">
        <v>2898</v>
      </c>
      <c r="YA10">
        <v>2898</v>
      </c>
      <c r="YB10">
        <v>2898</v>
      </c>
      <c r="YC10">
        <v>2898</v>
      </c>
      <c r="YD10">
        <v>2898</v>
      </c>
      <c r="YE10">
        <v>2898</v>
      </c>
      <c r="YF10">
        <v>2898</v>
      </c>
      <c r="YG10">
        <v>2898</v>
      </c>
      <c r="YH10">
        <v>2898</v>
      </c>
      <c r="YI10">
        <v>2898</v>
      </c>
      <c r="YJ10">
        <v>2898</v>
      </c>
      <c r="YK10">
        <v>2898</v>
      </c>
      <c r="YL10">
        <v>2898</v>
      </c>
      <c r="YM10">
        <v>2898</v>
      </c>
      <c r="YN10">
        <v>2898</v>
      </c>
      <c r="YO10">
        <v>2898</v>
      </c>
      <c r="YP10">
        <v>2898</v>
      </c>
      <c r="YQ10">
        <v>2898</v>
      </c>
      <c r="YR10">
        <v>2898</v>
      </c>
      <c r="YS10">
        <v>2898</v>
      </c>
      <c r="YT10">
        <v>2898</v>
      </c>
      <c r="YU10">
        <v>2898</v>
      </c>
      <c r="YV10">
        <v>2898</v>
      </c>
      <c r="YW10">
        <v>2898</v>
      </c>
      <c r="YX10">
        <v>2898</v>
      </c>
      <c r="YY10">
        <v>2898</v>
      </c>
      <c r="YZ10">
        <v>2898</v>
      </c>
      <c r="ZA10">
        <v>2898</v>
      </c>
      <c r="ZB10">
        <v>2898</v>
      </c>
      <c r="ZC10">
        <v>2898</v>
      </c>
      <c r="ZD10">
        <v>2898</v>
      </c>
      <c r="ZE10">
        <v>2898</v>
      </c>
      <c r="ZF10">
        <v>2898</v>
      </c>
      <c r="ZG10">
        <v>2898</v>
      </c>
      <c r="ZH10">
        <v>2898</v>
      </c>
      <c r="ZI10">
        <v>2898</v>
      </c>
      <c r="ZJ10">
        <v>2898</v>
      </c>
      <c r="ZK10">
        <v>2898</v>
      </c>
      <c r="ZL10">
        <v>2898</v>
      </c>
      <c r="ZM10">
        <v>2898</v>
      </c>
      <c r="ZN10">
        <v>2898</v>
      </c>
      <c r="ZO10">
        <v>2898</v>
      </c>
      <c r="ZP10">
        <v>2898</v>
      </c>
      <c r="ZQ10">
        <v>2898</v>
      </c>
      <c r="ZR10">
        <v>2898</v>
      </c>
      <c r="ZS10">
        <v>2898</v>
      </c>
      <c r="ZT10">
        <v>2898</v>
      </c>
      <c r="ZU10">
        <v>2898</v>
      </c>
      <c r="ZV10">
        <v>2898</v>
      </c>
      <c r="ZW10">
        <v>2898</v>
      </c>
      <c r="ZX10">
        <v>2898</v>
      </c>
      <c r="ZY10">
        <v>2898</v>
      </c>
      <c r="ZZ10">
        <v>2898</v>
      </c>
      <c r="AAA10">
        <v>2898</v>
      </c>
      <c r="AAB10">
        <v>2898</v>
      </c>
      <c r="AAC10">
        <v>2898</v>
      </c>
      <c r="AAD10">
        <v>2898</v>
      </c>
      <c r="AAE10">
        <v>2898</v>
      </c>
      <c r="AAF10">
        <v>2898</v>
      </c>
      <c r="AAG10">
        <v>2898</v>
      </c>
      <c r="AAH10">
        <v>2898</v>
      </c>
      <c r="AAI10">
        <v>2898</v>
      </c>
      <c r="AAJ10">
        <v>2898</v>
      </c>
      <c r="AAK10">
        <v>2898</v>
      </c>
      <c r="AAL10">
        <v>2898</v>
      </c>
      <c r="AAM10">
        <v>2898</v>
      </c>
      <c r="AAN10">
        <v>2898</v>
      </c>
      <c r="AAO10">
        <v>2898</v>
      </c>
      <c r="AAP10">
        <v>2898</v>
      </c>
      <c r="AAQ10">
        <v>2898</v>
      </c>
      <c r="AAR10">
        <v>2898</v>
      </c>
      <c r="AAS10">
        <v>2898</v>
      </c>
      <c r="AAT10">
        <v>2898</v>
      </c>
      <c r="AAU10">
        <v>2898</v>
      </c>
      <c r="AAV10">
        <v>2898</v>
      </c>
      <c r="AAW10">
        <v>2898</v>
      </c>
      <c r="AAX10">
        <v>2898</v>
      </c>
      <c r="AAY10">
        <v>2898</v>
      </c>
      <c r="AAZ10">
        <v>2898</v>
      </c>
      <c r="ABA10">
        <v>2898</v>
      </c>
      <c r="ABB10">
        <v>2898</v>
      </c>
      <c r="ABC10">
        <v>2898</v>
      </c>
      <c r="ABD10">
        <v>2898</v>
      </c>
      <c r="ABE10">
        <v>2898</v>
      </c>
      <c r="ABF10">
        <v>2898</v>
      </c>
      <c r="ABG10">
        <v>2898</v>
      </c>
      <c r="ABH10">
        <v>2898</v>
      </c>
      <c r="ABI10">
        <v>2898</v>
      </c>
      <c r="ABJ10">
        <v>2898</v>
      </c>
      <c r="ABK10">
        <v>2898</v>
      </c>
      <c r="ABL10">
        <v>2898</v>
      </c>
      <c r="ABM10">
        <v>2898</v>
      </c>
      <c r="ABN10">
        <v>2898</v>
      </c>
      <c r="ABO10">
        <v>2898</v>
      </c>
      <c r="ABP10">
        <v>2898</v>
      </c>
      <c r="ABQ10">
        <v>2898</v>
      </c>
      <c r="ABR10">
        <v>2898</v>
      </c>
      <c r="ABS10">
        <v>2898</v>
      </c>
      <c r="ABT10">
        <v>2898</v>
      </c>
      <c r="ABU10">
        <v>2898</v>
      </c>
      <c r="ABV10">
        <v>2898</v>
      </c>
      <c r="ABW10">
        <v>2898</v>
      </c>
      <c r="ABX10">
        <v>2898</v>
      </c>
      <c r="ABY10">
        <v>2898</v>
      </c>
      <c r="ABZ10">
        <v>2898</v>
      </c>
      <c r="ACA10">
        <v>2898</v>
      </c>
      <c r="ACB10">
        <v>2898</v>
      </c>
      <c r="ACC10">
        <v>2898</v>
      </c>
      <c r="ACD10">
        <v>2898</v>
      </c>
      <c r="ACE10">
        <v>2898</v>
      </c>
      <c r="ACF10">
        <v>2898</v>
      </c>
      <c r="ACG10">
        <v>2898</v>
      </c>
      <c r="ACH10">
        <v>2898</v>
      </c>
      <c r="ACI10">
        <v>2898</v>
      </c>
      <c r="ACJ10">
        <v>2898</v>
      </c>
      <c r="ACK10">
        <v>2898</v>
      </c>
      <c r="ACL10">
        <v>2898</v>
      </c>
      <c r="ACM10">
        <v>2898</v>
      </c>
      <c r="ACN10">
        <v>2898</v>
      </c>
      <c r="ACO10">
        <v>2898</v>
      </c>
      <c r="ACP10">
        <v>2898</v>
      </c>
      <c r="ACQ10">
        <v>2898</v>
      </c>
      <c r="ACR10">
        <v>2898</v>
      </c>
      <c r="ACS10">
        <v>2898</v>
      </c>
      <c r="ACT10">
        <v>2898</v>
      </c>
      <c r="ACU10">
        <v>2898</v>
      </c>
      <c r="ACV10">
        <v>2898</v>
      </c>
      <c r="ACW10">
        <v>2898</v>
      </c>
      <c r="ACX10">
        <v>2898</v>
      </c>
      <c r="ACY10">
        <v>2898</v>
      </c>
      <c r="ACZ10">
        <v>2898</v>
      </c>
      <c r="ADA10">
        <v>2898</v>
      </c>
      <c r="ADB10">
        <v>2898</v>
      </c>
      <c r="ADC10">
        <v>2898</v>
      </c>
      <c r="ADD10">
        <v>2898</v>
      </c>
      <c r="ADE10">
        <v>2898</v>
      </c>
      <c r="ADF10">
        <v>2898</v>
      </c>
      <c r="ADG10">
        <v>2898</v>
      </c>
      <c r="ADH10">
        <v>2898</v>
      </c>
      <c r="ADI10">
        <v>2898</v>
      </c>
      <c r="ADJ10">
        <v>2898</v>
      </c>
      <c r="ADK10">
        <v>2898</v>
      </c>
      <c r="ADL10">
        <v>2898</v>
      </c>
      <c r="ADM10">
        <v>2898</v>
      </c>
      <c r="ADN10">
        <v>2898</v>
      </c>
      <c r="ADO10">
        <v>2898</v>
      </c>
      <c r="ADP10">
        <v>2898</v>
      </c>
      <c r="ADQ10">
        <v>2898</v>
      </c>
      <c r="ADR10">
        <v>2898</v>
      </c>
      <c r="ADS10">
        <v>2898</v>
      </c>
      <c r="ADT10">
        <v>2898</v>
      </c>
      <c r="ADU10">
        <v>2898</v>
      </c>
      <c r="ADV10">
        <v>2898</v>
      </c>
      <c r="ADW10">
        <v>2898</v>
      </c>
      <c r="ADX10">
        <v>2898</v>
      </c>
      <c r="ADY10">
        <v>2898</v>
      </c>
      <c r="ADZ10">
        <v>2898</v>
      </c>
      <c r="AEA10">
        <v>2898</v>
      </c>
      <c r="AEB10">
        <v>2898</v>
      </c>
      <c r="AEC10">
        <v>2898</v>
      </c>
      <c r="AED10">
        <v>2898</v>
      </c>
      <c r="AEE10">
        <v>2898</v>
      </c>
      <c r="AEF10">
        <v>2898</v>
      </c>
      <c r="AEG10">
        <v>2898</v>
      </c>
      <c r="AEH10">
        <v>2898</v>
      </c>
      <c r="AEI10">
        <v>2898</v>
      </c>
      <c r="AEJ10">
        <v>2898</v>
      </c>
      <c r="AEK10">
        <v>2898</v>
      </c>
      <c r="AEL10">
        <v>2898</v>
      </c>
      <c r="AEM10">
        <v>2898</v>
      </c>
      <c r="AEN10">
        <v>2898</v>
      </c>
      <c r="AEO10">
        <v>2898</v>
      </c>
      <c r="AEP10">
        <v>2898</v>
      </c>
      <c r="AEQ10">
        <v>2898</v>
      </c>
      <c r="AER10">
        <v>2898</v>
      </c>
      <c r="AES10">
        <v>2898</v>
      </c>
      <c r="AET10">
        <v>2898</v>
      </c>
      <c r="AEU10">
        <v>2898</v>
      </c>
      <c r="AEV10">
        <v>2898</v>
      </c>
      <c r="AEW10">
        <v>2898</v>
      </c>
      <c r="AEX10">
        <v>2898</v>
      </c>
      <c r="AEY10">
        <v>2898</v>
      </c>
      <c r="AEZ10">
        <v>2898</v>
      </c>
      <c r="AFA10">
        <v>2898</v>
      </c>
      <c r="AFB10">
        <v>2898</v>
      </c>
      <c r="AFC10">
        <v>2898</v>
      </c>
      <c r="AFD10">
        <v>2898</v>
      </c>
      <c r="AFE10">
        <v>2898</v>
      </c>
      <c r="AFF10">
        <v>2898</v>
      </c>
      <c r="AFG10">
        <v>2898</v>
      </c>
      <c r="AFH10">
        <v>2898</v>
      </c>
      <c r="AFI10">
        <v>2898</v>
      </c>
      <c r="AFJ10">
        <v>2898</v>
      </c>
      <c r="AFK10">
        <v>2898</v>
      </c>
      <c r="AFL10">
        <v>2898</v>
      </c>
      <c r="AFM10">
        <v>2898</v>
      </c>
      <c r="AFN10">
        <v>2898</v>
      </c>
      <c r="AFO10">
        <v>2898</v>
      </c>
      <c r="AFP10">
        <v>2898</v>
      </c>
      <c r="AFQ10">
        <v>2898</v>
      </c>
      <c r="AFR10">
        <v>2898</v>
      </c>
      <c r="AFS10">
        <v>2898</v>
      </c>
      <c r="AFT10">
        <v>2898</v>
      </c>
      <c r="AFU10">
        <v>2898</v>
      </c>
      <c r="AFV10">
        <v>2898</v>
      </c>
      <c r="AFW10">
        <v>2898</v>
      </c>
      <c r="AFX10">
        <v>2898</v>
      </c>
      <c r="AFY10">
        <v>2898</v>
      </c>
      <c r="AFZ10">
        <v>2898</v>
      </c>
      <c r="AGA10">
        <v>2898</v>
      </c>
      <c r="AGB10">
        <v>2898</v>
      </c>
      <c r="AGC10">
        <v>2898</v>
      </c>
      <c r="AGD10">
        <v>2898</v>
      </c>
      <c r="AGE10">
        <v>2898</v>
      </c>
      <c r="AGF10">
        <v>2898</v>
      </c>
      <c r="AGG10">
        <v>2898</v>
      </c>
      <c r="AGH10">
        <v>2898</v>
      </c>
      <c r="AGI10">
        <v>2898</v>
      </c>
      <c r="AGJ10">
        <v>2898</v>
      </c>
      <c r="AGK10">
        <v>2898</v>
      </c>
      <c r="AGL10">
        <v>2898</v>
      </c>
      <c r="AGM10">
        <v>2898</v>
      </c>
      <c r="AGN10">
        <v>2898</v>
      </c>
      <c r="AGO10">
        <v>2898</v>
      </c>
      <c r="AGP10">
        <v>2898</v>
      </c>
      <c r="AGQ10">
        <v>2898</v>
      </c>
      <c r="AGR10">
        <v>2898</v>
      </c>
      <c r="AGS10">
        <v>2898</v>
      </c>
      <c r="AGT10">
        <v>2898</v>
      </c>
      <c r="AGU10">
        <v>2898</v>
      </c>
      <c r="AGV10">
        <v>2898</v>
      </c>
      <c r="AGW10">
        <v>2898</v>
      </c>
      <c r="AGX10">
        <v>2898</v>
      </c>
      <c r="AGY10">
        <v>2898</v>
      </c>
      <c r="AGZ10">
        <v>2898</v>
      </c>
      <c r="AHA10">
        <v>2898</v>
      </c>
      <c r="AHB10">
        <v>2898</v>
      </c>
      <c r="AHC10">
        <v>2898</v>
      </c>
      <c r="AHD10">
        <v>2898</v>
      </c>
      <c r="AHE10">
        <v>2898</v>
      </c>
      <c r="AHF10">
        <v>2898</v>
      </c>
      <c r="AHG10">
        <v>2898</v>
      </c>
      <c r="AHH10">
        <v>2898</v>
      </c>
      <c r="AHI10">
        <v>2898</v>
      </c>
      <c r="AHJ10">
        <v>2898</v>
      </c>
      <c r="AHK10">
        <v>2898</v>
      </c>
      <c r="AHL10">
        <v>2898</v>
      </c>
      <c r="AHM10">
        <v>2898</v>
      </c>
      <c r="AHN10">
        <v>2898</v>
      </c>
      <c r="AHO10">
        <v>2898</v>
      </c>
      <c r="AHP10">
        <v>2898</v>
      </c>
      <c r="AHQ10">
        <v>2898</v>
      </c>
      <c r="AHR10">
        <v>2898</v>
      </c>
      <c r="AHS10">
        <v>2898</v>
      </c>
      <c r="AHT10">
        <v>2898</v>
      </c>
      <c r="AHU10">
        <v>2898</v>
      </c>
      <c r="AHV10">
        <v>2898</v>
      </c>
      <c r="AHW10">
        <v>2898</v>
      </c>
      <c r="AHX10">
        <v>2898</v>
      </c>
      <c r="AHY10">
        <v>2898</v>
      </c>
      <c r="AHZ10">
        <v>2898</v>
      </c>
      <c r="AIA10">
        <v>2898</v>
      </c>
      <c r="AIB10">
        <v>2898</v>
      </c>
      <c r="AIC10">
        <v>2898</v>
      </c>
      <c r="AID10">
        <v>2898</v>
      </c>
      <c r="AIE10">
        <v>2898</v>
      </c>
      <c r="AIF10">
        <v>2898</v>
      </c>
      <c r="AIG10">
        <v>2898</v>
      </c>
      <c r="AIH10">
        <v>2898</v>
      </c>
      <c r="AII10">
        <v>2898</v>
      </c>
      <c r="AIJ10">
        <v>2898</v>
      </c>
      <c r="AIK10">
        <v>2898</v>
      </c>
      <c r="AIL10">
        <v>2898</v>
      </c>
      <c r="AIM10">
        <v>2898</v>
      </c>
      <c r="AIN10">
        <v>2898</v>
      </c>
      <c r="AIO10">
        <v>2898</v>
      </c>
      <c r="AIP10">
        <v>2898</v>
      </c>
      <c r="AIQ10">
        <v>2898</v>
      </c>
      <c r="AIR10">
        <v>2898</v>
      </c>
      <c r="AIS10">
        <v>2898</v>
      </c>
      <c r="AIT10">
        <v>2898</v>
      </c>
      <c r="AIU10">
        <v>2898</v>
      </c>
      <c r="AIV10">
        <v>2898</v>
      </c>
      <c r="AIW10">
        <v>2898</v>
      </c>
      <c r="AIX10">
        <v>2898</v>
      </c>
      <c r="AIY10">
        <v>2898</v>
      </c>
      <c r="AIZ10">
        <v>2898</v>
      </c>
      <c r="AJA10">
        <v>2898</v>
      </c>
      <c r="AJB10">
        <v>2898</v>
      </c>
      <c r="AJC10">
        <v>2898</v>
      </c>
      <c r="AJD10">
        <v>2898</v>
      </c>
      <c r="AJE10">
        <v>2898</v>
      </c>
      <c r="AJF10">
        <v>2898</v>
      </c>
      <c r="AJG10">
        <v>2898</v>
      </c>
      <c r="AJH10">
        <v>2898</v>
      </c>
      <c r="AJI10">
        <v>2898</v>
      </c>
      <c r="AJJ10">
        <v>2898</v>
      </c>
      <c r="AJK10">
        <v>2898</v>
      </c>
      <c r="AJL10">
        <v>2898</v>
      </c>
      <c r="AJM10">
        <v>2898</v>
      </c>
      <c r="AJN10">
        <v>2898</v>
      </c>
      <c r="AJO10">
        <v>2898</v>
      </c>
      <c r="AJP10">
        <v>2898</v>
      </c>
      <c r="AJQ10">
        <v>2898</v>
      </c>
    </row>
    <row r="11" spans="1:985" ht="14.4" customHeight="1" x14ac:dyDescent="0.55000000000000004">
      <c r="A11" t="s">
        <v>90</v>
      </c>
      <c r="B11" t="s">
        <v>521</v>
      </c>
      <c r="C11" s="1" t="s">
        <v>695</v>
      </c>
      <c r="CA11" t="s">
        <v>91</v>
      </c>
      <c r="CB11" t="s">
        <v>91</v>
      </c>
      <c r="CC11" t="s">
        <v>91</v>
      </c>
      <c r="CD11" t="s">
        <v>91</v>
      </c>
      <c r="CE11" t="s">
        <v>91</v>
      </c>
      <c r="CF11" t="s">
        <v>91</v>
      </c>
      <c r="CG11" t="s">
        <v>91</v>
      </c>
      <c r="CH11" t="s">
        <v>91</v>
      </c>
      <c r="CI11" t="s">
        <v>91</v>
      </c>
      <c r="CJ11" t="s">
        <v>91</v>
      </c>
      <c r="CK11" t="s">
        <v>91</v>
      </c>
      <c r="CL11" t="s">
        <v>91</v>
      </c>
      <c r="CM11" t="s">
        <v>91</v>
      </c>
      <c r="CN11" t="s">
        <v>91</v>
      </c>
      <c r="CO11" t="s">
        <v>91</v>
      </c>
      <c r="CP11" t="s">
        <v>91</v>
      </c>
      <c r="CQ11" t="s">
        <v>91</v>
      </c>
      <c r="CR11" t="s">
        <v>91</v>
      </c>
      <c r="CS11" t="s">
        <v>91</v>
      </c>
      <c r="CT11" t="s">
        <v>91</v>
      </c>
      <c r="CU11" t="s">
        <v>91</v>
      </c>
      <c r="CV11" t="s">
        <v>91</v>
      </c>
      <c r="CW11" t="s">
        <v>91</v>
      </c>
      <c r="CX11" t="s">
        <v>91</v>
      </c>
      <c r="CY11" t="s">
        <v>91</v>
      </c>
      <c r="CZ11" t="s">
        <v>91</v>
      </c>
      <c r="DA11" t="s">
        <v>91</v>
      </c>
      <c r="DB11" t="s">
        <v>91</v>
      </c>
      <c r="DC11" t="s">
        <v>91</v>
      </c>
      <c r="DD11" t="s">
        <v>91</v>
      </c>
      <c r="DE11" t="s">
        <v>91</v>
      </c>
      <c r="DF11" t="s">
        <v>91</v>
      </c>
      <c r="DG11" t="s">
        <v>91</v>
      </c>
      <c r="DH11" t="s">
        <v>91</v>
      </c>
      <c r="DI11" t="s">
        <v>91</v>
      </c>
      <c r="DJ11" t="s">
        <v>91</v>
      </c>
      <c r="DK11" t="s">
        <v>91</v>
      </c>
      <c r="DL11" t="s">
        <v>91</v>
      </c>
      <c r="DM11" t="s">
        <v>91</v>
      </c>
      <c r="DN11" t="s">
        <v>91</v>
      </c>
      <c r="DO11" t="s">
        <v>91</v>
      </c>
      <c r="DP11" t="s">
        <v>91</v>
      </c>
      <c r="DQ11" t="s">
        <v>91</v>
      </c>
      <c r="DR11" t="s">
        <v>91</v>
      </c>
      <c r="DS11" t="s">
        <v>91</v>
      </c>
      <c r="DT11" t="s">
        <v>91</v>
      </c>
      <c r="DU11" t="s">
        <v>91</v>
      </c>
      <c r="DV11" t="s">
        <v>91</v>
      </c>
      <c r="DW11" t="s">
        <v>91</v>
      </c>
      <c r="DX11" t="s">
        <v>91</v>
      </c>
      <c r="DY11" t="s">
        <v>91</v>
      </c>
      <c r="DZ11" t="s">
        <v>91</v>
      </c>
      <c r="EA11" t="s">
        <v>91</v>
      </c>
      <c r="EB11" t="s">
        <v>91</v>
      </c>
      <c r="EC11" t="s">
        <v>91</v>
      </c>
      <c r="ED11" t="s">
        <v>91</v>
      </c>
      <c r="EE11" t="s">
        <v>91</v>
      </c>
      <c r="EF11" t="s">
        <v>91</v>
      </c>
      <c r="EG11" t="s">
        <v>91</v>
      </c>
      <c r="EH11" t="s">
        <v>91</v>
      </c>
      <c r="EI11" t="s">
        <v>91</v>
      </c>
      <c r="EJ11" t="s">
        <v>91</v>
      </c>
      <c r="EK11" t="s">
        <v>91</v>
      </c>
      <c r="EL11" t="s">
        <v>91</v>
      </c>
      <c r="EM11" t="s">
        <v>91</v>
      </c>
      <c r="EN11" t="s">
        <v>91</v>
      </c>
      <c r="EO11" t="s">
        <v>91</v>
      </c>
      <c r="EP11" t="s">
        <v>91</v>
      </c>
      <c r="EQ11" t="s">
        <v>91</v>
      </c>
      <c r="ER11" t="s">
        <v>91</v>
      </c>
      <c r="ES11" t="s">
        <v>91</v>
      </c>
      <c r="ET11" t="s">
        <v>91</v>
      </c>
      <c r="EU11" t="s">
        <v>91</v>
      </c>
      <c r="EV11" t="s">
        <v>91</v>
      </c>
      <c r="EW11" t="s">
        <v>91</v>
      </c>
      <c r="EX11" t="s">
        <v>91</v>
      </c>
      <c r="EY11" t="s">
        <v>91</v>
      </c>
      <c r="EZ11" t="s">
        <v>91</v>
      </c>
      <c r="FA11" t="s">
        <v>91</v>
      </c>
      <c r="FB11" t="s">
        <v>91</v>
      </c>
      <c r="FC11" t="s">
        <v>91</v>
      </c>
      <c r="FD11" t="s">
        <v>91</v>
      </c>
      <c r="FE11" t="s">
        <v>91</v>
      </c>
      <c r="FF11" t="s">
        <v>91</v>
      </c>
      <c r="FG11" t="s">
        <v>91</v>
      </c>
      <c r="FH11" t="s">
        <v>91</v>
      </c>
      <c r="FI11" t="s">
        <v>91</v>
      </c>
      <c r="FJ11" t="s">
        <v>91</v>
      </c>
      <c r="FK11" t="s">
        <v>91</v>
      </c>
      <c r="FL11" t="s">
        <v>91</v>
      </c>
      <c r="FM11" t="s">
        <v>91</v>
      </c>
      <c r="FN11" t="s">
        <v>91</v>
      </c>
      <c r="FO11" t="s">
        <v>91</v>
      </c>
      <c r="FP11" t="s">
        <v>91</v>
      </c>
      <c r="FQ11" t="s">
        <v>91</v>
      </c>
      <c r="FR11" t="s">
        <v>91</v>
      </c>
      <c r="FS11" t="s">
        <v>91</v>
      </c>
      <c r="FT11" t="s">
        <v>91</v>
      </c>
      <c r="FU11" t="s">
        <v>91</v>
      </c>
      <c r="FV11" t="s">
        <v>91</v>
      </c>
      <c r="FW11" t="s">
        <v>91</v>
      </c>
      <c r="FX11" t="s">
        <v>91</v>
      </c>
      <c r="FY11" t="s">
        <v>91</v>
      </c>
      <c r="FZ11" t="s">
        <v>91</v>
      </c>
      <c r="GA11" t="s">
        <v>91</v>
      </c>
      <c r="GB11" t="s">
        <v>91</v>
      </c>
      <c r="GC11" t="s">
        <v>91</v>
      </c>
      <c r="GD11" t="s">
        <v>91</v>
      </c>
      <c r="GE11" t="s">
        <v>91</v>
      </c>
      <c r="GF11" t="s">
        <v>91</v>
      </c>
      <c r="GG11" t="s">
        <v>91</v>
      </c>
      <c r="GH11" t="s">
        <v>91</v>
      </c>
      <c r="GI11" t="s">
        <v>91</v>
      </c>
      <c r="GJ11" t="s">
        <v>91</v>
      </c>
      <c r="GK11" t="s">
        <v>91</v>
      </c>
      <c r="GL11" t="s">
        <v>91</v>
      </c>
      <c r="GM11" t="s">
        <v>91</v>
      </c>
      <c r="GN11" t="s">
        <v>91</v>
      </c>
      <c r="GO11" t="s">
        <v>91</v>
      </c>
      <c r="GP11" t="s">
        <v>91</v>
      </c>
      <c r="GQ11" t="s">
        <v>91</v>
      </c>
      <c r="GR11" t="s">
        <v>91</v>
      </c>
      <c r="GS11" t="s">
        <v>91</v>
      </c>
      <c r="GT11" t="s">
        <v>91</v>
      </c>
      <c r="GU11" t="s">
        <v>91</v>
      </c>
      <c r="GV11" t="s">
        <v>91</v>
      </c>
      <c r="GW11" t="s">
        <v>91</v>
      </c>
      <c r="GX11" t="s">
        <v>91</v>
      </c>
      <c r="GY11" t="s">
        <v>91</v>
      </c>
      <c r="GZ11" t="s">
        <v>91</v>
      </c>
      <c r="HA11" t="s">
        <v>91</v>
      </c>
      <c r="HB11" t="s">
        <v>91</v>
      </c>
      <c r="HC11" t="s">
        <v>91</v>
      </c>
      <c r="HD11" t="s">
        <v>91</v>
      </c>
      <c r="HE11" t="s">
        <v>91</v>
      </c>
      <c r="HF11" t="s">
        <v>91</v>
      </c>
      <c r="HG11" t="s">
        <v>91</v>
      </c>
      <c r="HH11" t="s">
        <v>91</v>
      </c>
      <c r="HI11" t="s">
        <v>91</v>
      </c>
      <c r="HJ11" t="s">
        <v>91</v>
      </c>
      <c r="HK11" t="s">
        <v>91</v>
      </c>
      <c r="HL11" t="s">
        <v>91</v>
      </c>
      <c r="HM11" t="s">
        <v>91</v>
      </c>
      <c r="HN11" t="s">
        <v>91</v>
      </c>
      <c r="HO11" t="s">
        <v>91</v>
      </c>
      <c r="HP11" t="s">
        <v>91</v>
      </c>
      <c r="HQ11" t="s">
        <v>91</v>
      </c>
      <c r="HR11" t="s">
        <v>91</v>
      </c>
      <c r="HS11" t="s">
        <v>91</v>
      </c>
      <c r="HT11" t="s">
        <v>91</v>
      </c>
      <c r="HU11" t="s">
        <v>91</v>
      </c>
      <c r="HV11" t="s">
        <v>91</v>
      </c>
      <c r="HW11" t="s">
        <v>91</v>
      </c>
      <c r="HX11" t="s">
        <v>91</v>
      </c>
      <c r="HY11" t="s">
        <v>91</v>
      </c>
      <c r="HZ11" t="s">
        <v>91</v>
      </c>
      <c r="IA11" t="s">
        <v>91</v>
      </c>
      <c r="IB11" t="s">
        <v>91</v>
      </c>
      <c r="IC11" t="s">
        <v>91</v>
      </c>
      <c r="ID11" t="s">
        <v>91</v>
      </c>
      <c r="IE11" t="s">
        <v>91</v>
      </c>
      <c r="IF11" t="s">
        <v>91</v>
      </c>
      <c r="IG11" t="s">
        <v>91</v>
      </c>
      <c r="IH11" t="s">
        <v>91</v>
      </c>
      <c r="II11" t="s">
        <v>91</v>
      </c>
      <c r="IJ11" t="s">
        <v>91</v>
      </c>
      <c r="IK11" t="s">
        <v>91</v>
      </c>
      <c r="IL11" t="s">
        <v>91</v>
      </c>
      <c r="IM11" t="s">
        <v>91</v>
      </c>
      <c r="IN11" t="s">
        <v>91</v>
      </c>
      <c r="IO11" t="s">
        <v>91</v>
      </c>
      <c r="IP11" t="s">
        <v>91</v>
      </c>
      <c r="IQ11" t="s">
        <v>91</v>
      </c>
      <c r="IR11" t="s">
        <v>91</v>
      </c>
      <c r="IS11" t="s">
        <v>91</v>
      </c>
      <c r="IT11" t="s">
        <v>91</v>
      </c>
      <c r="IU11" t="s">
        <v>91</v>
      </c>
      <c r="IV11" t="s">
        <v>91</v>
      </c>
      <c r="IW11" t="s">
        <v>91</v>
      </c>
      <c r="IX11" t="s">
        <v>91</v>
      </c>
      <c r="IY11" t="s">
        <v>91</v>
      </c>
      <c r="IZ11" t="s">
        <v>91</v>
      </c>
      <c r="JA11" t="s">
        <v>91</v>
      </c>
      <c r="JB11" t="s">
        <v>91</v>
      </c>
      <c r="JC11" t="s">
        <v>91</v>
      </c>
      <c r="JD11" t="s">
        <v>91</v>
      </c>
      <c r="JE11" t="s">
        <v>91</v>
      </c>
      <c r="JF11" t="s">
        <v>91</v>
      </c>
      <c r="JG11" t="s">
        <v>91</v>
      </c>
      <c r="JH11" t="s">
        <v>91</v>
      </c>
      <c r="JI11" t="s">
        <v>91</v>
      </c>
      <c r="JJ11" t="s">
        <v>91</v>
      </c>
      <c r="JK11" t="s">
        <v>91</v>
      </c>
      <c r="JL11" t="s">
        <v>91</v>
      </c>
      <c r="JM11" t="s">
        <v>91</v>
      </c>
      <c r="JN11" t="s">
        <v>91</v>
      </c>
      <c r="JO11" t="s">
        <v>91</v>
      </c>
      <c r="JP11" t="s">
        <v>91</v>
      </c>
      <c r="JQ11" t="s">
        <v>91</v>
      </c>
      <c r="JR11" t="s">
        <v>91</v>
      </c>
      <c r="JS11" t="s">
        <v>91</v>
      </c>
      <c r="JT11" t="s">
        <v>91</v>
      </c>
      <c r="JU11" t="s">
        <v>91</v>
      </c>
      <c r="JV11" t="s">
        <v>91</v>
      </c>
      <c r="JW11" t="s">
        <v>91</v>
      </c>
      <c r="JX11" t="s">
        <v>91</v>
      </c>
      <c r="JY11" t="s">
        <v>91</v>
      </c>
      <c r="JZ11" t="s">
        <v>91</v>
      </c>
      <c r="KA11" t="s">
        <v>91</v>
      </c>
      <c r="KB11" t="s">
        <v>91</v>
      </c>
      <c r="KC11" t="s">
        <v>91</v>
      </c>
      <c r="KD11" t="s">
        <v>91</v>
      </c>
      <c r="KE11" t="s">
        <v>91</v>
      </c>
      <c r="KF11" t="s">
        <v>91</v>
      </c>
      <c r="KG11" t="s">
        <v>91</v>
      </c>
      <c r="KH11" t="s">
        <v>91</v>
      </c>
      <c r="KI11" t="s">
        <v>91</v>
      </c>
      <c r="KJ11" t="s">
        <v>91</v>
      </c>
      <c r="KK11" t="s">
        <v>91</v>
      </c>
      <c r="KL11" t="s">
        <v>91</v>
      </c>
      <c r="KM11" t="s">
        <v>91</v>
      </c>
      <c r="KN11" t="s">
        <v>91</v>
      </c>
      <c r="KO11" t="s">
        <v>91</v>
      </c>
      <c r="KP11" t="s">
        <v>91</v>
      </c>
      <c r="KQ11" t="s">
        <v>91</v>
      </c>
      <c r="KR11" t="s">
        <v>91</v>
      </c>
      <c r="KS11" t="s">
        <v>91</v>
      </c>
      <c r="KT11" t="s">
        <v>91</v>
      </c>
      <c r="KU11" t="s">
        <v>91</v>
      </c>
      <c r="KV11" t="s">
        <v>91</v>
      </c>
      <c r="KW11" t="s">
        <v>91</v>
      </c>
      <c r="KX11" t="s">
        <v>91</v>
      </c>
      <c r="KY11" t="s">
        <v>91</v>
      </c>
      <c r="KZ11" t="s">
        <v>91</v>
      </c>
      <c r="LA11" t="s">
        <v>91</v>
      </c>
      <c r="LB11" t="s">
        <v>91</v>
      </c>
      <c r="LC11" t="s">
        <v>91</v>
      </c>
      <c r="LD11" t="s">
        <v>91</v>
      </c>
      <c r="LE11" t="s">
        <v>91</v>
      </c>
      <c r="LF11" t="s">
        <v>91</v>
      </c>
      <c r="LG11" t="s">
        <v>91</v>
      </c>
      <c r="LH11" t="s">
        <v>91</v>
      </c>
      <c r="LI11" t="s">
        <v>91</v>
      </c>
      <c r="LJ11" t="s">
        <v>91</v>
      </c>
      <c r="LK11" t="s">
        <v>91</v>
      </c>
      <c r="LL11" t="s">
        <v>91</v>
      </c>
      <c r="LM11" t="s">
        <v>91</v>
      </c>
      <c r="LN11" t="s">
        <v>91</v>
      </c>
      <c r="LO11" t="s">
        <v>91</v>
      </c>
      <c r="LP11" t="s">
        <v>91</v>
      </c>
      <c r="LQ11" t="s">
        <v>91</v>
      </c>
      <c r="LR11" t="s">
        <v>91</v>
      </c>
      <c r="LS11" t="s">
        <v>91</v>
      </c>
      <c r="LT11" t="s">
        <v>91</v>
      </c>
      <c r="LU11" t="s">
        <v>91</v>
      </c>
      <c r="LV11" t="s">
        <v>91</v>
      </c>
      <c r="LW11" t="s">
        <v>91</v>
      </c>
      <c r="LX11" t="s">
        <v>91</v>
      </c>
      <c r="LY11" t="s">
        <v>91</v>
      </c>
      <c r="LZ11" t="s">
        <v>91</v>
      </c>
      <c r="MA11" t="s">
        <v>91</v>
      </c>
      <c r="MB11" t="s">
        <v>91</v>
      </c>
      <c r="MC11" t="s">
        <v>91</v>
      </c>
      <c r="MD11" t="s">
        <v>91</v>
      </c>
      <c r="ME11" t="s">
        <v>91</v>
      </c>
      <c r="MF11" t="s">
        <v>91</v>
      </c>
      <c r="MG11" t="s">
        <v>91</v>
      </c>
      <c r="MH11" t="s">
        <v>91</v>
      </c>
      <c r="MI11" t="s">
        <v>91</v>
      </c>
      <c r="MJ11" t="s">
        <v>91</v>
      </c>
      <c r="MK11" t="s">
        <v>91</v>
      </c>
      <c r="ML11" t="s">
        <v>91</v>
      </c>
      <c r="MM11" t="s">
        <v>91</v>
      </c>
      <c r="MN11" t="s">
        <v>91</v>
      </c>
      <c r="MO11" t="s">
        <v>91</v>
      </c>
      <c r="MP11" t="s">
        <v>91</v>
      </c>
      <c r="MQ11" t="s">
        <v>91</v>
      </c>
      <c r="MR11" t="s">
        <v>91</v>
      </c>
      <c r="MS11" t="s">
        <v>91</v>
      </c>
      <c r="MT11" t="s">
        <v>91</v>
      </c>
      <c r="MU11" t="s">
        <v>91</v>
      </c>
      <c r="MV11" t="s">
        <v>91</v>
      </c>
      <c r="MW11" t="s">
        <v>91</v>
      </c>
      <c r="MX11" t="s">
        <v>91</v>
      </c>
      <c r="MY11" t="s">
        <v>91</v>
      </c>
      <c r="MZ11" t="s">
        <v>91</v>
      </c>
      <c r="NA11" t="s">
        <v>91</v>
      </c>
      <c r="NB11" t="s">
        <v>91</v>
      </c>
      <c r="NC11" t="s">
        <v>91</v>
      </c>
      <c r="ND11" t="s">
        <v>91</v>
      </c>
      <c r="NE11" t="s">
        <v>91</v>
      </c>
      <c r="NF11" t="s">
        <v>91</v>
      </c>
      <c r="NG11" t="s">
        <v>91</v>
      </c>
      <c r="NH11" t="s">
        <v>91</v>
      </c>
      <c r="NI11" t="s">
        <v>91</v>
      </c>
      <c r="NJ11" t="s">
        <v>91</v>
      </c>
      <c r="NK11" t="s">
        <v>91</v>
      </c>
      <c r="NL11" t="s">
        <v>91</v>
      </c>
      <c r="NM11" t="s">
        <v>91</v>
      </c>
      <c r="NN11" t="s">
        <v>91</v>
      </c>
      <c r="NO11" t="s">
        <v>91</v>
      </c>
      <c r="NP11" t="s">
        <v>91</v>
      </c>
      <c r="NQ11" t="s">
        <v>91</v>
      </c>
      <c r="NR11" t="s">
        <v>91</v>
      </c>
      <c r="NS11" t="s">
        <v>91</v>
      </c>
      <c r="NT11" t="s">
        <v>91</v>
      </c>
      <c r="NU11" t="s">
        <v>91</v>
      </c>
      <c r="NV11" t="s">
        <v>91</v>
      </c>
      <c r="NW11" t="s">
        <v>91</v>
      </c>
      <c r="NX11" t="s">
        <v>91</v>
      </c>
      <c r="NY11" t="s">
        <v>91</v>
      </c>
      <c r="NZ11" t="s">
        <v>91</v>
      </c>
      <c r="OA11" t="s">
        <v>91</v>
      </c>
      <c r="OB11" t="s">
        <v>91</v>
      </c>
      <c r="OC11" t="s">
        <v>91</v>
      </c>
      <c r="OD11" t="s">
        <v>91</v>
      </c>
      <c r="OE11" t="s">
        <v>91</v>
      </c>
      <c r="OF11" t="s">
        <v>91</v>
      </c>
      <c r="OG11" t="s">
        <v>91</v>
      </c>
      <c r="OH11" t="s">
        <v>91</v>
      </c>
      <c r="OI11" t="s">
        <v>91</v>
      </c>
      <c r="OJ11" t="s">
        <v>91</v>
      </c>
      <c r="OK11" t="s">
        <v>91</v>
      </c>
      <c r="OL11" t="s">
        <v>91</v>
      </c>
      <c r="OM11" t="s">
        <v>91</v>
      </c>
      <c r="ON11" t="s">
        <v>91</v>
      </c>
      <c r="OO11" t="s">
        <v>91</v>
      </c>
      <c r="OP11" t="s">
        <v>91</v>
      </c>
      <c r="OQ11" t="s">
        <v>91</v>
      </c>
      <c r="OR11" t="s">
        <v>91</v>
      </c>
      <c r="OS11" t="s">
        <v>91</v>
      </c>
      <c r="OT11" t="s">
        <v>91</v>
      </c>
      <c r="OU11" t="s">
        <v>91</v>
      </c>
      <c r="OV11" t="s">
        <v>91</v>
      </c>
      <c r="OW11" t="s">
        <v>91</v>
      </c>
      <c r="OX11" t="s">
        <v>91</v>
      </c>
      <c r="OY11" t="s">
        <v>91</v>
      </c>
      <c r="OZ11" t="s">
        <v>91</v>
      </c>
      <c r="PA11" t="s">
        <v>91</v>
      </c>
      <c r="PB11" t="s">
        <v>91</v>
      </c>
      <c r="PC11" t="s">
        <v>91</v>
      </c>
      <c r="PD11" t="s">
        <v>91</v>
      </c>
      <c r="PE11" t="s">
        <v>91</v>
      </c>
      <c r="PF11" t="s">
        <v>91</v>
      </c>
      <c r="PG11" t="s">
        <v>91</v>
      </c>
      <c r="PH11" t="s">
        <v>91</v>
      </c>
      <c r="PI11" t="s">
        <v>91</v>
      </c>
      <c r="PJ11" t="s">
        <v>91</v>
      </c>
      <c r="PK11" t="s">
        <v>91</v>
      </c>
      <c r="PL11" t="s">
        <v>91</v>
      </c>
      <c r="PM11" t="s">
        <v>91</v>
      </c>
      <c r="PN11" t="s">
        <v>91</v>
      </c>
      <c r="PO11" t="s">
        <v>91</v>
      </c>
      <c r="PP11" t="s">
        <v>91</v>
      </c>
      <c r="PQ11" t="s">
        <v>91</v>
      </c>
      <c r="PR11" t="s">
        <v>91</v>
      </c>
      <c r="PS11" t="s">
        <v>91</v>
      </c>
      <c r="PT11" t="s">
        <v>91</v>
      </c>
      <c r="PU11" t="s">
        <v>91</v>
      </c>
      <c r="PV11" t="s">
        <v>91</v>
      </c>
      <c r="PW11" t="s">
        <v>91</v>
      </c>
      <c r="PX11" t="s">
        <v>91</v>
      </c>
      <c r="PY11" t="s">
        <v>91</v>
      </c>
      <c r="PZ11" t="s">
        <v>91</v>
      </c>
      <c r="QA11" t="s">
        <v>91</v>
      </c>
      <c r="QB11" t="s">
        <v>91</v>
      </c>
      <c r="QC11" t="s">
        <v>91</v>
      </c>
      <c r="QD11" t="s">
        <v>91</v>
      </c>
      <c r="QE11" t="s">
        <v>91</v>
      </c>
      <c r="QF11" t="s">
        <v>91</v>
      </c>
      <c r="QG11" t="s">
        <v>91</v>
      </c>
      <c r="QH11" t="s">
        <v>91</v>
      </c>
      <c r="QI11" t="s">
        <v>91</v>
      </c>
      <c r="QJ11" t="s">
        <v>91</v>
      </c>
      <c r="QK11" t="s">
        <v>91</v>
      </c>
      <c r="QL11" t="s">
        <v>91</v>
      </c>
      <c r="QM11" t="s">
        <v>91</v>
      </c>
      <c r="QN11" t="s">
        <v>91</v>
      </c>
      <c r="QO11" t="s">
        <v>91</v>
      </c>
      <c r="QP11" t="s">
        <v>91</v>
      </c>
      <c r="QQ11" t="s">
        <v>91</v>
      </c>
      <c r="QR11" t="s">
        <v>91</v>
      </c>
      <c r="QS11" t="s">
        <v>91</v>
      </c>
      <c r="QT11" t="s">
        <v>91</v>
      </c>
      <c r="QU11" t="s">
        <v>91</v>
      </c>
      <c r="QV11" t="s">
        <v>91</v>
      </c>
      <c r="QW11" t="s">
        <v>91</v>
      </c>
      <c r="QX11" t="s">
        <v>91</v>
      </c>
      <c r="QY11" t="s">
        <v>91</v>
      </c>
      <c r="QZ11" t="s">
        <v>91</v>
      </c>
      <c r="RA11" t="s">
        <v>91</v>
      </c>
      <c r="RB11" t="s">
        <v>91</v>
      </c>
      <c r="RC11" t="s">
        <v>91</v>
      </c>
      <c r="RD11" t="s">
        <v>91</v>
      </c>
      <c r="RE11" t="s">
        <v>91</v>
      </c>
      <c r="RF11" t="s">
        <v>91</v>
      </c>
      <c r="RG11" t="s">
        <v>91</v>
      </c>
      <c r="RH11" t="s">
        <v>91</v>
      </c>
      <c r="RI11" t="s">
        <v>91</v>
      </c>
      <c r="RJ11" t="s">
        <v>91</v>
      </c>
      <c r="RK11" t="s">
        <v>91</v>
      </c>
      <c r="RL11" t="s">
        <v>91</v>
      </c>
      <c r="RM11" t="s">
        <v>91</v>
      </c>
      <c r="RN11" t="s">
        <v>91</v>
      </c>
      <c r="RO11" t="s">
        <v>91</v>
      </c>
      <c r="RP11" t="s">
        <v>91</v>
      </c>
      <c r="RQ11" t="s">
        <v>91</v>
      </c>
      <c r="RR11" t="s">
        <v>91</v>
      </c>
      <c r="RS11" t="s">
        <v>91</v>
      </c>
      <c r="RT11" t="s">
        <v>91</v>
      </c>
      <c r="RU11" t="s">
        <v>91</v>
      </c>
      <c r="RV11" t="s">
        <v>91</v>
      </c>
      <c r="RW11" t="s">
        <v>91</v>
      </c>
      <c r="RX11" t="s">
        <v>91</v>
      </c>
      <c r="RY11" t="s">
        <v>91</v>
      </c>
      <c r="RZ11" t="s">
        <v>91</v>
      </c>
      <c r="SA11" t="s">
        <v>91</v>
      </c>
      <c r="SB11" t="s">
        <v>91</v>
      </c>
      <c r="SC11" t="s">
        <v>91</v>
      </c>
      <c r="SD11" t="s">
        <v>91</v>
      </c>
      <c r="SE11" t="s">
        <v>91</v>
      </c>
      <c r="SF11" t="s">
        <v>91</v>
      </c>
      <c r="SG11" t="s">
        <v>91</v>
      </c>
      <c r="SH11" t="s">
        <v>91</v>
      </c>
      <c r="SI11" t="s">
        <v>91</v>
      </c>
      <c r="SJ11" t="s">
        <v>91</v>
      </c>
      <c r="SK11" t="s">
        <v>91</v>
      </c>
      <c r="SL11" t="s">
        <v>91</v>
      </c>
      <c r="SM11" t="s">
        <v>91</v>
      </c>
      <c r="SN11" t="s">
        <v>91</v>
      </c>
      <c r="SO11" t="s">
        <v>91</v>
      </c>
      <c r="SP11" t="s">
        <v>91</v>
      </c>
      <c r="SQ11" t="s">
        <v>91</v>
      </c>
      <c r="SR11" t="s">
        <v>91</v>
      </c>
      <c r="SS11" t="s">
        <v>91</v>
      </c>
      <c r="ST11" t="s">
        <v>91</v>
      </c>
      <c r="SU11" t="s">
        <v>91</v>
      </c>
      <c r="SV11" t="s">
        <v>91</v>
      </c>
      <c r="SW11" t="s">
        <v>91</v>
      </c>
      <c r="SX11" t="s">
        <v>91</v>
      </c>
      <c r="SY11" t="s">
        <v>91</v>
      </c>
      <c r="SZ11" t="s">
        <v>91</v>
      </c>
      <c r="TA11" t="s">
        <v>91</v>
      </c>
      <c r="TB11" t="s">
        <v>91</v>
      </c>
      <c r="TC11" t="s">
        <v>91</v>
      </c>
      <c r="TD11" t="s">
        <v>91</v>
      </c>
      <c r="TE11" t="s">
        <v>91</v>
      </c>
      <c r="TF11" t="s">
        <v>91</v>
      </c>
      <c r="TG11" t="s">
        <v>91</v>
      </c>
      <c r="TH11" t="s">
        <v>91</v>
      </c>
      <c r="TI11" t="s">
        <v>91</v>
      </c>
      <c r="TJ11" t="s">
        <v>91</v>
      </c>
      <c r="TK11" t="s">
        <v>91</v>
      </c>
      <c r="TL11" t="s">
        <v>91</v>
      </c>
      <c r="TM11" t="s">
        <v>91</v>
      </c>
      <c r="TN11" t="s">
        <v>91</v>
      </c>
      <c r="TO11" t="s">
        <v>91</v>
      </c>
      <c r="TP11" t="s">
        <v>91</v>
      </c>
      <c r="TQ11" t="s">
        <v>91</v>
      </c>
      <c r="TR11" t="s">
        <v>91</v>
      </c>
      <c r="TS11" t="s">
        <v>91</v>
      </c>
      <c r="TT11" t="s">
        <v>91</v>
      </c>
      <c r="TU11" t="s">
        <v>91</v>
      </c>
      <c r="TV11" t="s">
        <v>91</v>
      </c>
      <c r="TW11" t="s">
        <v>91</v>
      </c>
      <c r="TX11" t="s">
        <v>91</v>
      </c>
      <c r="TY11" t="s">
        <v>91</v>
      </c>
      <c r="TZ11" t="s">
        <v>91</v>
      </c>
      <c r="UA11" t="s">
        <v>91</v>
      </c>
      <c r="UB11" t="s">
        <v>91</v>
      </c>
      <c r="UC11" t="s">
        <v>91</v>
      </c>
      <c r="UD11" t="s">
        <v>91</v>
      </c>
      <c r="UE11" t="s">
        <v>91</v>
      </c>
      <c r="UF11" t="s">
        <v>91</v>
      </c>
      <c r="UG11" t="s">
        <v>91</v>
      </c>
      <c r="UH11" t="s">
        <v>91</v>
      </c>
      <c r="UI11" t="s">
        <v>91</v>
      </c>
      <c r="UJ11" t="s">
        <v>91</v>
      </c>
      <c r="UK11" t="s">
        <v>91</v>
      </c>
      <c r="UL11" t="s">
        <v>91</v>
      </c>
      <c r="UM11" t="s">
        <v>91</v>
      </c>
      <c r="UN11" t="s">
        <v>91</v>
      </c>
      <c r="UO11" t="s">
        <v>91</v>
      </c>
      <c r="UP11" t="s">
        <v>91</v>
      </c>
      <c r="UQ11" t="s">
        <v>91</v>
      </c>
      <c r="UR11" t="s">
        <v>91</v>
      </c>
      <c r="US11" t="s">
        <v>91</v>
      </c>
      <c r="UT11" t="s">
        <v>91</v>
      </c>
      <c r="UU11" t="s">
        <v>91</v>
      </c>
      <c r="UV11" t="s">
        <v>91</v>
      </c>
      <c r="UW11" t="s">
        <v>91</v>
      </c>
      <c r="UX11" t="s">
        <v>91</v>
      </c>
      <c r="UY11" t="s">
        <v>91</v>
      </c>
      <c r="UZ11" t="s">
        <v>91</v>
      </c>
      <c r="VA11" t="s">
        <v>91</v>
      </c>
      <c r="VB11" t="s">
        <v>91</v>
      </c>
      <c r="VC11" t="s">
        <v>91</v>
      </c>
      <c r="VD11" t="s">
        <v>91</v>
      </c>
      <c r="VE11" t="s">
        <v>91</v>
      </c>
      <c r="VF11" t="s">
        <v>91</v>
      </c>
      <c r="VG11" t="s">
        <v>91</v>
      </c>
      <c r="VH11" t="s">
        <v>91</v>
      </c>
      <c r="VI11" t="s">
        <v>91</v>
      </c>
      <c r="VJ11" t="s">
        <v>91</v>
      </c>
      <c r="VK11" t="s">
        <v>91</v>
      </c>
      <c r="VL11" t="s">
        <v>91</v>
      </c>
      <c r="VM11" t="s">
        <v>91</v>
      </c>
      <c r="VN11" t="s">
        <v>91</v>
      </c>
      <c r="VO11" t="s">
        <v>91</v>
      </c>
      <c r="VP11" t="s">
        <v>91</v>
      </c>
      <c r="VQ11" t="s">
        <v>91</v>
      </c>
      <c r="VR11" t="s">
        <v>91</v>
      </c>
      <c r="VS11" t="s">
        <v>91</v>
      </c>
      <c r="VT11" t="s">
        <v>91</v>
      </c>
      <c r="VU11" t="s">
        <v>91</v>
      </c>
      <c r="VV11" t="s">
        <v>91</v>
      </c>
      <c r="VW11" t="s">
        <v>91</v>
      </c>
      <c r="VX11" t="s">
        <v>91</v>
      </c>
      <c r="VY11" t="s">
        <v>91</v>
      </c>
      <c r="VZ11" t="s">
        <v>91</v>
      </c>
      <c r="WA11" t="s">
        <v>91</v>
      </c>
      <c r="WB11" t="s">
        <v>91</v>
      </c>
      <c r="WC11" t="s">
        <v>91</v>
      </c>
      <c r="WD11" t="s">
        <v>91</v>
      </c>
      <c r="WE11" t="s">
        <v>91</v>
      </c>
      <c r="WF11" t="s">
        <v>91</v>
      </c>
      <c r="WG11" t="s">
        <v>91</v>
      </c>
      <c r="WH11" t="s">
        <v>91</v>
      </c>
      <c r="WI11" t="s">
        <v>91</v>
      </c>
      <c r="WJ11" t="s">
        <v>91</v>
      </c>
      <c r="WK11" t="s">
        <v>91</v>
      </c>
      <c r="WL11" t="s">
        <v>91</v>
      </c>
      <c r="WM11" t="s">
        <v>91</v>
      </c>
      <c r="WN11" t="s">
        <v>91</v>
      </c>
      <c r="WO11" t="s">
        <v>91</v>
      </c>
      <c r="WP11" t="s">
        <v>91</v>
      </c>
      <c r="WQ11" t="s">
        <v>91</v>
      </c>
      <c r="WR11" t="s">
        <v>91</v>
      </c>
      <c r="WS11" t="s">
        <v>91</v>
      </c>
      <c r="WT11" t="s">
        <v>91</v>
      </c>
      <c r="WU11" t="s">
        <v>91</v>
      </c>
      <c r="WV11" t="s">
        <v>91</v>
      </c>
      <c r="WW11" t="s">
        <v>91</v>
      </c>
      <c r="WX11" t="s">
        <v>91</v>
      </c>
      <c r="WY11" t="s">
        <v>91</v>
      </c>
      <c r="WZ11" t="s">
        <v>91</v>
      </c>
      <c r="XA11" t="s">
        <v>91</v>
      </c>
      <c r="XB11" t="s">
        <v>91</v>
      </c>
      <c r="XC11" t="s">
        <v>91</v>
      </c>
      <c r="XD11" t="s">
        <v>91</v>
      </c>
      <c r="XE11" t="s">
        <v>91</v>
      </c>
      <c r="XF11" t="s">
        <v>91</v>
      </c>
      <c r="XG11" t="s">
        <v>91</v>
      </c>
      <c r="XH11" t="s">
        <v>91</v>
      </c>
      <c r="XI11" t="s">
        <v>91</v>
      </c>
      <c r="XJ11" t="s">
        <v>91</v>
      </c>
      <c r="XK11" t="s">
        <v>91</v>
      </c>
      <c r="XL11" t="s">
        <v>91</v>
      </c>
      <c r="XM11" t="s">
        <v>91</v>
      </c>
      <c r="XN11" t="s">
        <v>91</v>
      </c>
      <c r="XO11" t="s">
        <v>91</v>
      </c>
      <c r="XP11" t="s">
        <v>91</v>
      </c>
      <c r="XQ11" t="s">
        <v>91</v>
      </c>
      <c r="XR11" t="s">
        <v>91</v>
      </c>
      <c r="XS11" t="s">
        <v>91</v>
      </c>
      <c r="XT11" t="s">
        <v>91</v>
      </c>
      <c r="XU11" t="s">
        <v>91</v>
      </c>
      <c r="XV11" t="s">
        <v>91</v>
      </c>
      <c r="XW11" t="s">
        <v>91</v>
      </c>
      <c r="XX11" t="s">
        <v>91</v>
      </c>
      <c r="XY11" t="s">
        <v>91</v>
      </c>
      <c r="XZ11" t="s">
        <v>91</v>
      </c>
      <c r="YA11" t="s">
        <v>91</v>
      </c>
      <c r="YB11" t="s">
        <v>91</v>
      </c>
      <c r="YC11" t="s">
        <v>91</v>
      </c>
      <c r="YD11" t="s">
        <v>91</v>
      </c>
      <c r="YE11" t="s">
        <v>91</v>
      </c>
      <c r="YF11" t="s">
        <v>91</v>
      </c>
      <c r="YG11" t="s">
        <v>91</v>
      </c>
      <c r="YH11" t="s">
        <v>91</v>
      </c>
      <c r="YI11" t="s">
        <v>91</v>
      </c>
      <c r="YJ11" t="s">
        <v>91</v>
      </c>
      <c r="YK11" t="s">
        <v>91</v>
      </c>
      <c r="YL11" t="s">
        <v>91</v>
      </c>
      <c r="YM11" t="s">
        <v>91</v>
      </c>
      <c r="YN11" t="s">
        <v>91</v>
      </c>
      <c r="YO11" t="s">
        <v>91</v>
      </c>
      <c r="YP11" t="s">
        <v>91</v>
      </c>
      <c r="YQ11" t="s">
        <v>91</v>
      </c>
      <c r="YR11" t="s">
        <v>91</v>
      </c>
      <c r="YS11" t="s">
        <v>91</v>
      </c>
      <c r="YT11" t="s">
        <v>91</v>
      </c>
      <c r="YU11" t="s">
        <v>91</v>
      </c>
      <c r="YV11" t="s">
        <v>91</v>
      </c>
      <c r="YW11" t="s">
        <v>91</v>
      </c>
      <c r="YX11" t="s">
        <v>91</v>
      </c>
      <c r="YY11" t="s">
        <v>91</v>
      </c>
      <c r="YZ11" t="s">
        <v>91</v>
      </c>
      <c r="ZA11" t="s">
        <v>91</v>
      </c>
      <c r="ZB11" t="s">
        <v>91</v>
      </c>
      <c r="ZC11" t="s">
        <v>91</v>
      </c>
      <c r="ZD11" t="s">
        <v>91</v>
      </c>
      <c r="ZE11" t="s">
        <v>91</v>
      </c>
      <c r="ZF11" t="s">
        <v>91</v>
      </c>
      <c r="ZG11" t="s">
        <v>91</v>
      </c>
      <c r="ZH11" t="s">
        <v>91</v>
      </c>
      <c r="ZI11" t="s">
        <v>91</v>
      </c>
      <c r="ZJ11" t="s">
        <v>91</v>
      </c>
      <c r="ZK11" t="s">
        <v>91</v>
      </c>
      <c r="ZL11" t="s">
        <v>91</v>
      </c>
      <c r="ZM11" t="s">
        <v>91</v>
      </c>
      <c r="ZN11" t="s">
        <v>91</v>
      </c>
      <c r="ZO11" t="s">
        <v>91</v>
      </c>
      <c r="ZP11" t="s">
        <v>91</v>
      </c>
      <c r="ZQ11" t="s">
        <v>91</v>
      </c>
      <c r="ZR11" t="s">
        <v>91</v>
      </c>
      <c r="ZS11" t="s">
        <v>91</v>
      </c>
      <c r="ZT11" t="s">
        <v>91</v>
      </c>
      <c r="ZU11" t="s">
        <v>91</v>
      </c>
      <c r="ZV11" t="s">
        <v>91</v>
      </c>
      <c r="ZW11" t="s">
        <v>91</v>
      </c>
      <c r="ZX11" t="s">
        <v>91</v>
      </c>
      <c r="ZY11" t="s">
        <v>91</v>
      </c>
      <c r="ZZ11" t="s">
        <v>91</v>
      </c>
      <c r="AAA11" t="s">
        <v>91</v>
      </c>
      <c r="AAB11" t="s">
        <v>91</v>
      </c>
      <c r="AAC11" t="s">
        <v>91</v>
      </c>
      <c r="AAD11" t="s">
        <v>91</v>
      </c>
      <c r="AAE11" t="s">
        <v>91</v>
      </c>
      <c r="AAF11" t="s">
        <v>91</v>
      </c>
      <c r="AAG11" t="s">
        <v>91</v>
      </c>
      <c r="AAH11" t="s">
        <v>91</v>
      </c>
      <c r="AAI11" t="s">
        <v>91</v>
      </c>
      <c r="AAJ11" t="s">
        <v>91</v>
      </c>
      <c r="AAK11" t="s">
        <v>91</v>
      </c>
      <c r="AAL11" t="s">
        <v>91</v>
      </c>
      <c r="AAM11" t="s">
        <v>91</v>
      </c>
      <c r="AAN11" t="s">
        <v>91</v>
      </c>
      <c r="AAO11" t="s">
        <v>91</v>
      </c>
      <c r="AAP11" t="s">
        <v>91</v>
      </c>
      <c r="AAQ11" t="s">
        <v>91</v>
      </c>
      <c r="AAR11" t="s">
        <v>91</v>
      </c>
      <c r="AAS11" t="s">
        <v>91</v>
      </c>
      <c r="AAT11" t="s">
        <v>91</v>
      </c>
      <c r="AAU11" t="s">
        <v>91</v>
      </c>
      <c r="AAV11" t="s">
        <v>91</v>
      </c>
      <c r="AAW11" t="s">
        <v>91</v>
      </c>
      <c r="AAX11" t="s">
        <v>91</v>
      </c>
      <c r="AAY11" t="s">
        <v>91</v>
      </c>
      <c r="AAZ11" t="s">
        <v>91</v>
      </c>
      <c r="ABA11" t="s">
        <v>91</v>
      </c>
      <c r="ABB11" t="s">
        <v>91</v>
      </c>
      <c r="ABC11" t="s">
        <v>91</v>
      </c>
      <c r="ABD11" t="s">
        <v>91</v>
      </c>
      <c r="ABE11" t="s">
        <v>91</v>
      </c>
      <c r="ABF11" t="s">
        <v>91</v>
      </c>
      <c r="ABG11" t="s">
        <v>91</v>
      </c>
      <c r="ABH11" t="s">
        <v>91</v>
      </c>
      <c r="ABI11" t="s">
        <v>91</v>
      </c>
      <c r="ABJ11" t="s">
        <v>91</v>
      </c>
      <c r="ABK11" t="s">
        <v>91</v>
      </c>
      <c r="ABL11" t="s">
        <v>91</v>
      </c>
      <c r="ABM11" t="s">
        <v>91</v>
      </c>
      <c r="ABN11" t="s">
        <v>91</v>
      </c>
      <c r="ABO11" t="s">
        <v>91</v>
      </c>
      <c r="ABP11" t="s">
        <v>91</v>
      </c>
      <c r="ABQ11" t="s">
        <v>91</v>
      </c>
      <c r="ABR11" t="s">
        <v>91</v>
      </c>
      <c r="ABS11" t="s">
        <v>91</v>
      </c>
      <c r="ABT11" t="s">
        <v>91</v>
      </c>
      <c r="ABU11" t="s">
        <v>91</v>
      </c>
      <c r="ABV11" t="s">
        <v>91</v>
      </c>
      <c r="ABW11" t="s">
        <v>91</v>
      </c>
      <c r="ABX11" t="s">
        <v>91</v>
      </c>
      <c r="ABY11" t="s">
        <v>91</v>
      </c>
      <c r="ABZ11" t="s">
        <v>91</v>
      </c>
      <c r="ACA11" t="s">
        <v>91</v>
      </c>
      <c r="ACB11" t="s">
        <v>91</v>
      </c>
      <c r="ACC11" t="s">
        <v>91</v>
      </c>
      <c r="ACD11" t="s">
        <v>91</v>
      </c>
      <c r="ACE11" t="s">
        <v>91</v>
      </c>
      <c r="ACF11" t="s">
        <v>91</v>
      </c>
      <c r="ACG11" t="s">
        <v>91</v>
      </c>
      <c r="ACH11" t="s">
        <v>91</v>
      </c>
      <c r="ACI11" t="s">
        <v>91</v>
      </c>
      <c r="ACJ11" t="s">
        <v>91</v>
      </c>
      <c r="ACK11" t="s">
        <v>91</v>
      </c>
      <c r="ACL11" t="s">
        <v>91</v>
      </c>
      <c r="ACM11" t="s">
        <v>91</v>
      </c>
      <c r="ACN11" t="s">
        <v>91</v>
      </c>
      <c r="ACO11" t="s">
        <v>91</v>
      </c>
      <c r="ACP11" t="s">
        <v>91</v>
      </c>
      <c r="ACQ11" t="s">
        <v>91</v>
      </c>
      <c r="ACR11" t="s">
        <v>91</v>
      </c>
      <c r="ACS11" t="s">
        <v>91</v>
      </c>
      <c r="ACT11" t="s">
        <v>91</v>
      </c>
      <c r="ACU11" t="s">
        <v>91</v>
      </c>
      <c r="ACV11" t="s">
        <v>91</v>
      </c>
      <c r="ACW11" t="s">
        <v>91</v>
      </c>
      <c r="ACX11" t="s">
        <v>91</v>
      </c>
      <c r="ACY11" t="s">
        <v>91</v>
      </c>
      <c r="ACZ11" t="s">
        <v>91</v>
      </c>
      <c r="ADA11" t="s">
        <v>91</v>
      </c>
      <c r="ADB11" t="s">
        <v>91</v>
      </c>
      <c r="ADC11" t="s">
        <v>91</v>
      </c>
      <c r="ADD11" t="s">
        <v>91</v>
      </c>
      <c r="ADE11" t="s">
        <v>91</v>
      </c>
      <c r="ADF11" t="s">
        <v>91</v>
      </c>
      <c r="ADG11" t="s">
        <v>91</v>
      </c>
      <c r="ADH11" t="s">
        <v>91</v>
      </c>
      <c r="ADI11" t="s">
        <v>91</v>
      </c>
      <c r="ADJ11" t="s">
        <v>91</v>
      </c>
      <c r="ADK11" t="s">
        <v>91</v>
      </c>
      <c r="ADL11" t="s">
        <v>91</v>
      </c>
      <c r="ADM11" t="s">
        <v>91</v>
      </c>
      <c r="ADN11" t="s">
        <v>91</v>
      </c>
      <c r="ADO11" t="s">
        <v>91</v>
      </c>
      <c r="ADP11" t="s">
        <v>91</v>
      </c>
      <c r="ADQ11" t="s">
        <v>91</v>
      </c>
      <c r="ADR11" t="s">
        <v>91</v>
      </c>
      <c r="ADS11" t="s">
        <v>91</v>
      </c>
      <c r="ADT11" t="s">
        <v>91</v>
      </c>
      <c r="ADU11" t="s">
        <v>91</v>
      </c>
      <c r="ADV11" t="s">
        <v>91</v>
      </c>
      <c r="ADW11" t="s">
        <v>91</v>
      </c>
      <c r="ADX11" t="s">
        <v>91</v>
      </c>
      <c r="ADY11" t="s">
        <v>91</v>
      </c>
      <c r="ADZ11" t="s">
        <v>91</v>
      </c>
      <c r="AEA11" t="s">
        <v>91</v>
      </c>
      <c r="AEB11" t="s">
        <v>91</v>
      </c>
      <c r="AEC11" t="s">
        <v>91</v>
      </c>
      <c r="AED11" t="s">
        <v>91</v>
      </c>
      <c r="AEE11" t="s">
        <v>91</v>
      </c>
      <c r="AEF11" t="s">
        <v>91</v>
      </c>
      <c r="AEG11" t="s">
        <v>91</v>
      </c>
      <c r="AEH11" t="s">
        <v>91</v>
      </c>
      <c r="AEI11" t="s">
        <v>91</v>
      </c>
      <c r="AEJ11" t="s">
        <v>91</v>
      </c>
      <c r="AEK11" t="s">
        <v>91</v>
      </c>
      <c r="AEL11" t="s">
        <v>91</v>
      </c>
      <c r="AEM11" t="s">
        <v>91</v>
      </c>
      <c r="AEN11" t="s">
        <v>91</v>
      </c>
      <c r="AEO11" t="s">
        <v>91</v>
      </c>
      <c r="AEP11" t="s">
        <v>91</v>
      </c>
      <c r="AEQ11" t="s">
        <v>91</v>
      </c>
      <c r="AER11" t="s">
        <v>91</v>
      </c>
      <c r="AES11" t="s">
        <v>91</v>
      </c>
      <c r="AET11" t="s">
        <v>91</v>
      </c>
      <c r="AEU11" t="s">
        <v>91</v>
      </c>
      <c r="AEV11" t="s">
        <v>91</v>
      </c>
      <c r="AEW11" t="s">
        <v>91</v>
      </c>
      <c r="AEX11" t="s">
        <v>91</v>
      </c>
      <c r="AEY11" t="s">
        <v>91</v>
      </c>
      <c r="AEZ11" t="s">
        <v>91</v>
      </c>
      <c r="AFA11" t="s">
        <v>91</v>
      </c>
      <c r="AFB11" t="s">
        <v>91</v>
      </c>
      <c r="AFC11" t="s">
        <v>91</v>
      </c>
      <c r="AFD11" t="s">
        <v>91</v>
      </c>
      <c r="AFE11" t="s">
        <v>91</v>
      </c>
      <c r="AFF11" t="s">
        <v>91</v>
      </c>
      <c r="AFG11" t="s">
        <v>91</v>
      </c>
      <c r="AFH11" t="s">
        <v>91</v>
      </c>
      <c r="AFI11" t="s">
        <v>91</v>
      </c>
      <c r="AFJ11" t="s">
        <v>91</v>
      </c>
      <c r="AFK11" t="s">
        <v>91</v>
      </c>
      <c r="AFL11" t="s">
        <v>91</v>
      </c>
      <c r="AFM11" t="s">
        <v>91</v>
      </c>
      <c r="AFN11" t="s">
        <v>91</v>
      </c>
      <c r="AFO11" t="s">
        <v>91</v>
      </c>
      <c r="AFP11" t="s">
        <v>91</v>
      </c>
      <c r="AFQ11" t="s">
        <v>91</v>
      </c>
      <c r="AFR11" t="s">
        <v>91</v>
      </c>
      <c r="AFS11" t="s">
        <v>91</v>
      </c>
      <c r="AFT11" t="s">
        <v>91</v>
      </c>
      <c r="AFU11" t="s">
        <v>91</v>
      </c>
      <c r="AFV11" t="s">
        <v>91</v>
      </c>
      <c r="AFW11" t="s">
        <v>91</v>
      </c>
      <c r="AFX11" t="s">
        <v>91</v>
      </c>
      <c r="AFY11" t="s">
        <v>91</v>
      </c>
      <c r="AFZ11" t="s">
        <v>91</v>
      </c>
      <c r="AGA11" t="s">
        <v>91</v>
      </c>
      <c r="AGB11" t="s">
        <v>91</v>
      </c>
      <c r="AGC11" t="s">
        <v>91</v>
      </c>
      <c r="AGD11" t="s">
        <v>91</v>
      </c>
      <c r="AGE11" t="s">
        <v>91</v>
      </c>
      <c r="AGF11" t="s">
        <v>91</v>
      </c>
      <c r="AGG11" t="s">
        <v>91</v>
      </c>
      <c r="AGH11" t="s">
        <v>91</v>
      </c>
      <c r="AGI11" t="s">
        <v>91</v>
      </c>
      <c r="AGJ11" t="s">
        <v>91</v>
      </c>
      <c r="AGK11" t="s">
        <v>91</v>
      </c>
      <c r="AGL11" t="s">
        <v>91</v>
      </c>
      <c r="AGM11" t="s">
        <v>91</v>
      </c>
      <c r="AGN11" t="s">
        <v>91</v>
      </c>
      <c r="AGO11" t="s">
        <v>91</v>
      </c>
      <c r="AGP11" t="s">
        <v>91</v>
      </c>
      <c r="AGQ11" t="s">
        <v>91</v>
      </c>
      <c r="AGR11" t="s">
        <v>91</v>
      </c>
      <c r="AGS11" t="s">
        <v>91</v>
      </c>
      <c r="AGT11" t="s">
        <v>91</v>
      </c>
      <c r="AGU11" t="s">
        <v>91</v>
      </c>
      <c r="AGV11" t="s">
        <v>91</v>
      </c>
      <c r="AGW11" t="s">
        <v>91</v>
      </c>
      <c r="AGX11" t="s">
        <v>91</v>
      </c>
      <c r="AGY11" t="s">
        <v>91</v>
      </c>
      <c r="AGZ11" t="s">
        <v>91</v>
      </c>
      <c r="AHA11" t="s">
        <v>91</v>
      </c>
      <c r="AHB11" t="s">
        <v>91</v>
      </c>
      <c r="AHC11" t="s">
        <v>91</v>
      </c>
      <c r="AHD11" t="s">
        <v>91</v>
      </c>
      <c r="AHE11" t="s">
        <v>91</v>
      </c>
      <c r="AHF11" t="s">
        <v>91</v>
      </c>
      <c r="AHG11" t="s">
        <v>91</v>
      </c>
      <c r="AHH11" t="s">
        <v>91</v>
      </c>
      <c r="AHI11" t="s">
        <v>91</v>
      </c>
      <c r="AHJ11" t="s">
        <v>91</v>
      </c>
      <c r="AHK11" t="s">
        <v>91</v>
      </c>
      <c r="AHL11" t="s">
        <v>91</v>
      </c>
      <c r="AHM11" t="s">
        <v>91</v>
      </c>
      <c r="AHN11" t="s">
        <v>91</v>
      </c>
      <c r="AHO11" t="s">
        <v>91</v>
      </c>
      <c r="AHP11" t="s">
        <v>91</v>
      </c>
      <c r="AHQ11" t="s">
        <v>91</v>
      </c>
      <c r="AHR11" t="s">
        <v>91</v>
      </c>
      <c r="AHS11" t="s">
        <v>91</v>
      </c>
      <c r="AHT11" t="s">
        <v>91</v>
      </c>
      <c r="AHU11" t="s">
        <v>91</v>
      </c>
      <c r="AHV11" t="s">
        <v>91</v>
      </c>
      <c r="AHW11" t="s">
        <v>91</v>
      </c>
      <c r="AHX11" t="s">
        <v>91</v>
      </c>
      <c r="AHY11" t="s">
        <v>91</v>
      </c>
      <c r="AHZ11" t="s">
        <v>91</v>
      </c>
      <c r="AIA11" t="s">
        <v>91</v>
      </c>
      <c r="AIB11" t="s">
        <v>91</v>
      </c>
      <c r="AIC11" t="s">
        <v>91</v>
      </c>
      <c r="AID11" t="s">
        <v>91</v>
      </c>
      <c r="AIE11" t="s">
        <v>91</v>
      </c>
      <c r="AIF11" t="s">
        <v>91</v>
      </c>
      <c r="AIG11" t="s">
        <v>91</v>
      </c>
      <c r="AIH11" t="s">
        <v>91</v>
      </c>
      <c r="AII11" t="s">
        <v>91</v>
      </c>
      <c r="AIJ11" t="s">
        <v>91</v>
      </c>
      <c r="AIK11" t="s">
        <v>91</v>
      </c>
      <c r="AIL11" t="s">
        <v>91</v>
      </c>
      <c r="AIM11" t="s">
        <v>91</v>
      </c>
      <c r="AIN11" t="s">
        <v>91</v>
      </c>
      <c r="AIO11" t="s">
        <v>91</v>
      </c>
      <c r="AIP11" t="s">
        <v>91</v>
      </c>
      <c r="AIQ11" t="s">
        <v>91</v>
      </c>
      <c r="AIR11" t="s">
        <v>91</v>
      </c>
      <c r="AIS11" t="s">
        <v>91</v>
      </c>
      <c r="AIT11" t="s">
        <v>91</v>
      </c>
      <c r="AIU11" t="s">
        <v>91</v>
      </c>
      <c r="AIV11" t="s">
        <v>91</v>
      </c>
      <c r="AIW11" t="s">
        <v>91</v>
      </c>
      <c r="AIX11" t="s">
        <v>91</v>
      </c>
      <c r="AIY11" t="s">
        <v>91</v>
      </c>
      <c r="AIZ11" t="s">
        <v>91</v>
      </c>
      <c r="AJA11" t="s">
        <v>91</v>
      </c>
      <c r="AJB11" t="s">
        <v>91</v>
      </c>
      <c r="AJC11" t="s">
        <v>91</v>
      </c>
      <c r="AJD11" t="s">
        <v>91</v>
      </c>
      <c r="AJE11" t="s">
        <v>91</v>
      </c>
      <c r="AJF11" t="s">
        <v>91</v>
      </c>
      <c r="AJG11" t="s">
        <v>91</v>
      </c>
      <c r="AJH11" t="s">
        <v>91</v>
      </c>
      <c r="AJI11" t="s">
        <v>91</v>
      </c>
      <c r="AJJ11" t="s">
        <v>91</v>
      </c>
      <c r="AJK11" t="s">
        <v>91</v>
      </c>
      <c r="AJL11" t="s">
        <v>91</v>
      </c>
      <c r="AJM11" t="s">
        <v>91</v>
      </c>
      <c r="AJN11" t="s">
        <v>91</v>
      </c>
      <c r="AJO11" t="s">
        <v>91</v>
      </c>
      <c r="AJP11" t="s">
        <v>91</v>
      </c>
      <c r="AJQ11" t="s">
        <v>91</v>
      </c>
    </row>
    <row r="12" spans="1:985" ht="14.4" customHeight="1" x14ac:dyDescent="0.55000000000000004">
      <c r="A12" t="s">
        <v>28</v>
      </c>
      <c r="B12" t="s">
        <v>521</v>
      </c>
      <c r="C12" s="1" t="s">
        <v>697</v>
      </c>
      <c r="D12" t="s">
        <v>37</v>
      </c>
      <c r="E12" t="s">
        <v>37</v>
      </c>
      <c r="F12" t="s">
        <v>37</v>
      </c>
      <c r="G12" t="s">
        <v>37</v>
      </c>
      <c r="H12" t="s">
        <v>37</v>
      </c>
      <c r="I12" t="s">
        <v>37</v>
      </c>
      <c r="J12" t="s">
        <v>37</v>
      </c>
      <c r="K12" t="s">
        <v>37</v>
      </c>
      <c r="L12" t="s">
        <v>37</v>
      </c>
      <c r="M12" t="s">
        <v>37</v>
      </c>
      <c r="N12" t="s">
        <v>37</v>
      </c>
      <c r="O12" t="s">
        <v>37</v>
      </c>
      <c r="P12" t="s">
        <v>37</v>
      </c>
      <c r="Q12" t="s">
        <v>37</v>
      </c>
      <c r="R12" t="s">
        <v>37</v>
      </c>
      <c r="S12" t="s">
        <v>37</v>
      </c>
      <c r="T12" t="s">
        <v>37</v>
      </c>
      <c r="U12" t="s">
        <v>37</v>
      </c>
      <c r="V12" t="s">
        <v>37</v>
      </c>
      <c r="W12" t="s">
        <v>37</v>
      </c>
      <c r="X12" t="s">
        <v>37</v>
      </c>
      <c r="Y12" t="s">
        <v>37</v>
      </c>
      <c r="Z12" t="s">
        <v>37</v>
      </c>
      <c r="AA12" t="s">
        <v>37</v>
      </c>
      <c r="AB12" t="s">
        <v>37</v>
      </c>
      <c r="AC12" t="s">
        <v>37</v>
      </c>
      <c r="AD12" t="s">
        <v>37</v>
      </c>
      <c r="AE12" t="s">
        <v>37</v>
      </c>
      <c r="AF12" t="s">
        <v>37</v>
      </c>
      <c r="AG12" t="s">
        <v>37</v>
      </c>
      <c r="AH12" t="s">
        <v>37</v>
      </c>
      <c r="AI12" t="s">
        <v>37</v>
      </c>
      <c r="AJ12" t="s">
        <v>37</v>
      </c>
      <c r="AK12" t="s">
        <v>37</v>
      </c>
      <c r="AL12" t="s">
        <v>37</v>
      </c>
      <c r="AM12" t="s">
        <v>37</v>
      </c>
      <c r="AN12" t="s">
        <v>37</v>
      </c>
      <c r="AO12" t="s">
        <v>37</v>
      </c>
      <c r="AP12" t="s">
        <v>37</v>
      </c>
      <c r="AQ12" t="s">
        <v>37</v>
      </c>
      <c r="AR12" t="s">
        <v>37</v>
      </c>
      <c r="AS12" t="s">
        <v>37</v>
      </c>
      <c r="AT12" t="s">
        <v>37</v>
      </c>
      <c r="AU12" t="s">
        <v>37</v>
      </c>
      <c r="AV12" t="s">
        <v>37</v>
      </c>
      <c r="AW12" t="s">
        <v>37</v>
      </c>
      <c r="AX12" t="s">
        <v>37</v>
      </c>
      <c r="AY12" t="s">
        <v>37</v>
      </c>
      <c r="AZ12" t="s">
        <v>37</v>
      </c>
      <c r="BA12" t="s">
        <v>37</v>
      </c>
      <c r="BB12" t="s">
        <v>37</v>
      </c>
      <c r="BC12" t="s">
        <v>37</v>
      </c>
      <c r="BD12" t="s">
        <v>37</v>
      </c>
      <c r="BE12" t="s">
        <v>37</v>
      </c>
      <c r="BF12" t="s">
        <v>37</v>
      </c>
      <c r="BG12" t="s">
        <v>55</v>
      </c>
      <c r="BH12" t="s">
        <v>55</v>
      </c>
      <c r="BI12" t="s">
        <v>55</v>
      </c>
      <c r="BJ12" t="s">
        <v>55</v>
      </c>
      <c r="BK12" t="s">
        <v>55</v>
      </c>
      <c r="BL12" t="s">
        <v>55</v>
      </c>
      <c r="BM12" t="s">
        <v>55</v>
      </c>
      <c r="BN12" t="s">
        <v>55</v>
      </c>
      <c r="BO12" t="s">
        <v>55</v>
      </c>
      <c r="BP12" t="s">
        <v>55</v>
      </c>
      <c r="BQ12" t="s">
        <v>69</v>
      </c>
      <c r="BR12" t="s">
        <v>69</v>
      </c>
      <c r="BS12" t="s">
        <v>69</v>
      </c>
      <c r="BT12" t="s">
        <v>69</v>
      </c>
      <c r="BU12" t="s">
        <v>69</v>
      </c>
      <c r="BV12" t="s">
        <v>69</v>
      </c>
      <c r="BW12" t="s">
        <v>69</v>
      </c>
      <c r="BX12" t="s">
        <v>69</v>
      </c>
      <c r="BY12" t="s">
        <v>69</v>
      </c>
      <c r="BZ12" t="s">
        <v>69</v>
      </c>
      <c r="CA12" t="s">
        <v>354</v>
      </c>
      <c r="CB12" t="s">
        <v>80</v>
      </c>
      <c r="CC12" t="s">
        <v>80</v>
      </c>
      <c r="CD12" t="s">
        <v>80</v>
      </c>
      <c r="CE12" t="s">
        <v>80</v>
      </c>
      <c r="CF12" t="s">
        <v>80</v>
      </c>
      <c r="CG12" t="s">
        <v>80</v>
      </c>
      <c r="CH12" t="s">
        <v>80</v>
      </c>
      <c r="CI12" t="s">
        <v>80</v>
      </c>
      <c r="CJ12" t="s">
        <v>80</v>
      </c>
      <c r="CK12" t="s">
        <v>80</v>
      </c>
      <c r="CL12" t="s">
        <v>80</v>
      </c>
      <c r="CM12" t="s">
        <v>80</v>
      </c>
      <c r="CN12" t="s">
        <v>80</v>
      </c>
      <c r="CO12" t="s">
        <v>80</v>
      </c>
      <c r="CP12" t="s">
        <v>80</v>
      </c>
      <c r="CQ12" t="s">
        <v>80</v>
      </c>
      <c r="CR12" t="s">
        <v>80</v>
      </c>
      <c r="CS12" t="s">
        <v>80</v>
      </c>
      <c r="CT12" t="s">
        <v>80</v>
      </c>
      <c r="CU12" t="s">
        <v>80</v>
      </c>
      <c r="CV12" t="s">
        <v>80</v>
      </c>
      <c r="CW12" t="s">
        <v>80</v>
      </c>
      <c r="CX12" t="s">
        <v>80</v>
      </c>
      <c r="CY12" t="s">
        <v>80</v>
      </c>
      <c r="CZ12" t="s">
        <v>80</v>
      </c>
      <c r="DA12" t="s">
        <v>80</v>
      </c>
      <c r="DB12" t="s">
        <v>80</v>
      </c>
      <c r="DC12" t="s">
        <v>80</v>
      </c>
      <c r="DD12" t="s">
        <v>80</v>
      </c>
      <c r="DE12" t="s">
        <v>80</v>
      </c>
      <c r="DF12" t="s">
        <v>80</v>
      </c>
      <c r="DG12" t="s">
        <v>80</v>
      </c>
      <c r="DH12" t="s">
        <v>80</v>
      </c>
      <c r="DI12" t="s">
        <v>80</v>
      </c>
      <c r="DJ12" t="s">
        <v>80</v>
      </c>
      <c r="DK12" t="s">
        <v>80</v>
      </c>
      <c r="DL12" t="s">
        <v>80</v>
      </c>
      <c r="DM12" t="s">
        <v>80</v>
      </c>
      <c r="DN12" t="s">
        <v>80</v>
      </c>
      <c r="DO12" t="s">
        <v>80</v>
      </c>
      <c r="DP12" t="s">
        <v>80</v>
      </c>
      <c r="DQ12" t="s">
        <v>80</v>
      </c>
      <c r="DR12" t="s">
        <v>80</v>
      </c>
      <c r="DS12" t="s">
        <v>80</v>
      </c>
      <c r="DT12" t="s">
        <v>80</v>
      </c>
      <c r="DU12" t="s">
        <v>80</v>
      </c>
      <c r="DV12" t="s">
        <v>80</v>
      </c>
      <c r="DW12" t="s">
        <v>80</v>
      </c>
      <c r="DX12" t="s">
        <v>80</v>
      </c>
      <c r="DY12" t="s">
        <v>80</v>
      </c>
      <c r="DZ12" t="s">
        <v>80</v>
      </c>
      <c r="EA12" t="s">
        <v>80</v>
      </c>
      <c r="EB12" t="s">
        <v>354</v>
      </c>
      <c r="EC12" t="s">
        <v>80</v>
      </c>
      <c r="ED12" t="s">
        <v>80</v>
      </c>
      <c r="EE12" t="s">
        <v>80</v>
      </c>
      <c r="EF12" t="s">
        <v>80</v>
      </c>
      <c r="EG12" t="s">
        <v>80</v>
      </c>
      <c r="EH12" t="s">
        <v>80</v>
      </c>
      <c r="EI12" t="s">
        <v>80</v>
      </c>
      <c r="EJ12" t="s">
        <v>80</v>
      </c>
      <c r="EK12" t="s">
        <v>80</v>
      </c>
      <c r="EL12" t="s">
        <v>80</v>
      </c>
      <c r="EM12" t="s">
        <v>80</v>
      </c>
      <c r="EN12" t="s">
        <v>80</v>
      </c>
      <c r="EO12" t="s">
        <v>80</v>
      </c>
      <c r="EP12" t="s">
        <v>80</v>
      </c>
      <c r="EQ12" t="s">
        <v>80</v>
      </c>
      <c r="ER12" t="s">
        <v>80</v>
      </c>
      <c r="ES12" t="s">
        <v>80</v>
      </c>
      <c r="ET12" t="s">
        <v>80</v>
      </c>
      <c r="EU12" t="s">
        <v>80</v>
      </c>
      <c r="EV12" t="s">
        <v>80</v>
      </c>
      <c r="EW12" t="s">
        <v>80</v>
      </c>
      <c r="EX12" t="s">
        <v>80</v>
      </c>
      <c r="EY12" t="s">
        <v>80</v>
      </c>
      <c r="EZ12" t="s">
        <v>80</v>
      </c>
      <c r="FA12" t="s">
        <v>80</v>
      </c>
      <c r="FB12" t="s">
        <v>80</v>
      </c>
      <c r="FC12" t="s">
        <v>80</v>
      </c>
      <c r="FD12" t="s">
        <v>80</v>
      </c>
      <c r="FE12" t="s">
        <v>80</v>
      </c>
      <c r="FF12" t="s">
        <v>80</v>
      </c>
      <c r="FG12" t="s">
        <v>80</v>
      </c>
      <c r="FH12" t="s">
        <v>80</v>
      </c>
      <c r="FI12" t="s">
        <v>80</v>
      </c>
      <c r="FJ12" t="s">
        <v>80</v>
      </c>
      <c r="FK12" t="s">
        <v>80</v>
      </c>
      <c r="FL12" t="s">
        <v>80</v>
      </c>
      <c r="FM12" t="s">
        <v>80</v>
      </c>
      <c r="FN12" t="s">
        <v>80</v>
      </c>
      <c r="FO12" t="s">
        <v>80</v>
      </c>
      <c r="FP12" t="s">
        <v>80</v>
      </c>
      <c r="FQ12" t="s">
        <v>80</v>
      </c>
      <c r="FR12" t="s">
        <v>80</v>
      </c>
      <c r="FS12" t="s">
        <v>80</v>
      </c>
      <c r="FT12" t="s">
        <v>80</v>
      </c>
      <c r="FU12" t="s">
        <v>80</v>
      </c>
      <c r="FV12" t="s">
        <v>80</v>
      </c>
      <c r="FW12" t="s">
        <v>80</v>
      </c>
      <c r="FX12" t="s">
        <v>80</v>
      </c>
      <c r="FY12" t="s">
        <v>80</v>
      </c>
      <c r="FZ12" t="s">
        <v>80</v>
      </c>
      <c r="GA12" t="s">
        <v>80</v>
      </c>
      <c r="GB12" t="s">
        <v>80</v>
      </c>
      <c r="GC12" t="s">
        <v>354</v>
      </c>
      <c r="GD12" t="s">
        <v>80</v>
      </c>
      <c r="GE12" t="s">
        <v>80</v>
      </c>
      <c r="GF12" t="s">
        <v>80</v>
      </c>
      <c r="GG12" t="s">
        <v>80</v>
      </c>
      <c r="GH12" t="s">
        <v>80</v>
      </c>
      <c r="GI12" t="s">
        <v>80</v>
      </c>
      <c r="GJ12" t="s">
        <v>80</v>
      </c>
      <c r="GK12" t="s">
        <v>80</v>
      </c>
      <c r="GL12" t="s">
        <v>80</v>
      </c>
      <c r="GM12" t="s">
        <v>80</v>
      </c>
      <c r="GN12" t="s">
        <v>80</v>
      </c>
      <c r="GO12" t="s">
        <v>80</v>
      </c>
      <c r="GP12" t="s">
        <v>80</v>
      </c>
      <c r="GQ12" t="s">
        <v>80</v>
      </c>
      <c r="GR12" t="s">
        <v>80</v>
      </c>
      <c r="GS12" t="s">
        <v>80</v>
      </c>
      <c r="GT12" t="s">
        <v>80</v>
      </c>
      <c r="GU12" t="s">
        <v>80</v>
      </c>
      <c r="GV12" t="s">
        <v>80</v>
      </c>
      <c r="GW12" t="s">
        <v>80</v>
      </c>
      <c r="GX12" t="s">
        <v>80</v>
      </c>
      <c r="GY12" t="s">
        <v>80</v>
      </c>
      <c r="GZ12" t="s">
        <v>80</v>
      </c>
      <c r="HA12" t="s">
        <v>80</v>
      </c>
      <c r="HB12" t="s">
        <v>80</v>
      </c>
      <c r="HC12" t="s">
        <v>80</v>
      </c>
      <c r="HD12" t="s">
        <v>80</v>
      </c>
      <c r="HE12" t="s">
        <v>80</v>
      </c>
      <c r="HF12" t="s">
        <v>80</v>
      </c>
      <c r="HG12" t="s">
        <v>80</v>
      </c>
      <c r="HH12" t="s">
        <v>80</v>
      </c>
      <c r="HI12" t="s">
        <v>80</v>
      </c>
      <c r="HJ12" t="s">
        <v>80</v>
      </c>
      <c r="HK12" t="s">
        <v>80</v>
      </c>
      <c r="HL12" t="s">
        <v>80</v>
      </c>
      <c r="HM12" t="s">
        <v>80</v>
      </c>
      <c r="HN12" t="s">
        <v>80</v>
      </c>
      <c r="HO12" t="s">
        <v>80</v>
      </c>
      <c r="HP12" t="s">
        <v>80</v>
      </c>
      <c r="HQ12" t="s">
        <v>80</v>
      </c>
      <c r="HR12" t="s">
        <v>80</v>
      </c>
      <c r="HS12" t="s">
        <v>80</v>
      </c>
      <c r="HT12" t="s">
        <v>80</v>
      </c>
      <c r="HU12" t="s">
        <v>80</v>
      </c>
      <c r="HV12" t="s">
        <v>80</v>
      </c>
      <c r="HW12" t="s">
        <v>80</v>
      </c>
      <c r="HX12" t="s">
        <v>80</v>
      </c>
      <c r="HY12" t="s">
        <v>80</v>
      </c>
      <c r="HZ12" t="s">
        <v>80</v>
      </c>
      <c r="IA12" t="s">
        <v>80</v>
      </c>
      <c r="IB12" t="s">
        <v>80</v>
      </c>
      <c r="IC12" t="s">
        <v>80</v>
      </c>
      <c r="ID12" t="s">
        <v>80</v>
      </c>
      <c r="IE12" t="s">
        <v>80</v>
      </c>
      <c r="IF12" t="s">
        <v>80</v>
      </c>
      <c r="IG12" t="s">
        <v>80</v>
      </c>
      <c r="IH12" t="s">
        <v>80</v>
      </c>
      <c r="II12" t="s">
        <v>80</v>
      </c>
      <c r="IJ12" t="s">
        <v>80</v>
      </c>
      <c r="IK12" t="s">
        <v>80</v>
      </c>
      <c r="IL12" t="s">
        <v>80</v>
      </c>
      <c r="IM12" t="s">
        <v>80</v>
      </c>
      <c r="IN12" t="s">
        <v>80</v>
      </c>
      <c r="IO12" t="s">
        <v>80</v>
      </c>
      <c r="IP12" t="s">
        <v>80</v>
      </c>
      <c r="IQ12" t="s">
        <v>80</v>
      </c>
      <c r="IR12" t="s">
        <v>80</v>
      </c>
      <c r="IS12" t="s">
        <v>80</v>
      </c>
      <c r="IT12" t="s">
        <v>80</v>
      </c>
      <c r="IU12" t="s">
        <v>80</v>
      </c>
      <c r="IV12" t="s">
        <v>80</v>
      </c>
      <c r="IW12" t="s">
        <v>80</v>
      </c>
      <c r="IX12" t="s">
        <v>354</v>
      </c>
      <c r="IY12" t="s">
        <v>80</v>
      </c>
      <c r="IZ12" t="s">
        <v>80</v>
      </c>
      <c r="JA12" t="s">
        <v>80</v>
      </c>
      <c r="JB12" t="s">
        <v>80</v>
      </c>
      <c r="JC12" t="s">
        <v>80</v>
      </c>
      <c r="JD12" t="s">
        <v>80</v>
      </c>
      <c r="JE12" t="s">
        <v>80</v>
      </c>
      <c r="JF12" t="s">
        <v>80</v>
      </c>
      <c r="JG12" t="s">
        <v>80</v>
      </c>
      <c r="JH12" t="s">
        <v>80</v>
      </c>
      <c r="JI12" t="s">
        <v>80</v>
      </c>
      <c r="JJ12" t="s">
        <v>80</v>
      </c>
      <c r="JK12" t="s">
        <v>80</v>
      </c>
      <c r="JL12" t="s">
        <v>80</v>
      </c>
      <c r="JM12" t="s">
        <v>80</v>
      </c>
      <c r="JN12" t="s">
        <v>80</v>
      </c>
      <c r="JO12" t="s">
        <v>80</v>
      </c>
      <c r="JP12" t="s">
        <v>80</v>
      </c>
      <c r="JQ12" t="s">
        <v>80</v>
      </c>
      <c r="JR12" t="s">
        <v>80</v>
      </c>
      <c r="JS12" t="s">
        <v>80</v>
      </c>
      <c r="JT12" t="s">
        <v>80</v>
      </c>
      <c r="JU12" t="s">
        <v>80</v>
      </c>
      <c r="JV12" t="s">
        <v>80</v>
      </c>
      <c r="JW12" t="s">
        <v>80</v>
      </c>
      <c r="JX12" t="s">
        <v>80</v>
      </c>
      <c r="JY12" t="s">
        <v>80</v>
      </c>
      <c r="JZ12" t="s">
        <v>80</v>
      </c>
      <c r="KA12" t="s">
        <v>80</v>
      </c>
      <c r="KB12" t="s">
        <v>80</v>
      </c>
      <c r="KC12" t="s">
        <v>80</v>
      </c>
      <c r="KD12" t="s">
        <v>80</v>
      </c>
      <c r="KE12" t="s">
        <v>80</v>
      </c>
      <c r="KF12" t="s">
        <v>80</v>
      </c>
      <c r="KG12" t="s">
        <v>80</v>
      </c>
      <c r="KH12" t="s">
        <v>80</v>
      </c>
      <c r="KI12" t="s">
        <v>80</v>
      </c>
      <c r="KJ12" t="s">
        <v>80</v>
      </c>
      <c r="KK12" t="s">
        <v>80</v>
      </c>
      <c r="KL12" t="s">
        <v>80</v>
      </c>
      <c r="KM12" t="s">
        <v>80</v>
      </c>
      <c r="KN12" t="s">
        <v>80</v>
      </c>
      <c r="KO12" t="s">
        <v>80</v>
      </c>
      <c r="KP12" t="s">
        <v>80</v>
      </c>
      <c r="KQ12" t="s">
        <v>80</v>
      </c>
      <c r="KR12" t="s">
        <v>80</v>
      </c>
      <c r="KS12" t="s">
        <v>80</v>
      </c>
      <c r="KT12" t="s">
        <v>80</v>
      </c>
      <c r="KU12" t="s">
        <v>80</v>
      </c>
      <c r="KV12" t="s">
        <v>80</v>
      </c>
      <c r="KW12" t="s">
        <v>80</v>
      </c>
      <c r="KX12" t="s">
        <v>80</v>
      </c>
      <c r="KY12" t="s">
        <v>80</v>
      </c>
      <c r="KZ12" t="s">
        <v>80</v>
      </c>
      <c r="LA12" t="s">
        <v>80</v>
      </c>
      <c r="LB12" t="s">
        <v>80</v>
      </c>
      <c r="LC12" t="s">
        <v>80</v>
      </c>
      <c r="LD12" t="s">
        <v>80</v>
      </c>
      <c r="LE12" t="s">
        <v>80</v>
      </c>
      <c r="LF12" t="s">
        <v>80</v>
      </c>
      <c r="LG12" t="s">
        <v>80</v>
      </c>
      <c r="LH12" t="s">
        <v>80</v>
      </c>
      <c r="LI12" t="s">
        <v>80</v>
      </c>
      <c r="LJ12" t="s">
        <v>80</v>
      </c>
      <c r="LK12" t="s">
        <v>80</v>
      </c>
      <c r="LL12" t="s">
        <v>80</v>
      </c>
      <c r="LM12" t="s">
        <v>80</v>
      </c>
      <c r="LN12" t="s">
        <v>80</v>
      </c>
      <c r="LO12" t="s">
        <v>80</v>
      </c>
      <c r="LP12" t="s">
        <v>80</v>
      </c>
      <c r="LQ12" t="s">
        <v>80</v>
      </c>
      <c r="LR12" t="s">
        <v>80</v>
      </c>
      <c r="LS12" t="s">
        <v>80</v>
      </c>
      <c r="LT12" t="s">
        <v>80</v>
      </c>
      <c r="LU12" t="s">
        <v>80</v>
      </c>
      <c r="LV12" t="s">
        <v>80</v>
      </c>
      <c r="LW12" t="s">
        <v>80</v>
      </c>
      <c r="LX12" t="s">
        <v>80</v>
      </c>
      <c r="LY12" t="s">
        <v>80</v>
      </c>
      <c r="LZ12" t="s">
        <v>80</v>
      </c>
      <c r="MA12" t="s">
        <v>80</v>
      </c>
      <c r="MB12" t="s">
        <v>80</v>
      </c>
      <c r="MC12" t="s">
        <v>80</v>
      </c>
      <c r="MD12" t="s">
        <v>80</v>
      </c>
      <c r="ME12" t="s">
        <v>80</v>
      </c>
      <c r="MF12" t="s">
        <v>80</v>
      </c>
      <c r="MG12" t="s">
        <v>354</v>
      </c>
      <c r="MH12" t="s">
        <v>80</v>
      </c>
      <c r="MI12" t="s">
        <v>80</v>
      </c>
      <c r="MJ12" t="s">
        <v>80</v>
      </c>
      <c r="MK12" t="s">
        <v>80</v>
      </c>
      <c r="ML12" t="s">
        <v>80</v>
      </c>
      <c r="MM12" t="s">
        <v>80</v>
      </c>
      <c r="MN12" t="s">
        <v>80</v>
      </c>
      <c r="MO12" t="s">
        <v>80</v>
      </c>
      <c r="MP12" t="s">
        <v>80</v>
      </c>
      <c r="MQ12" t="s">
        <v>80</v>
      </c>
      <c r="MR12" t="s">
        <v>80</v>
      </c>
      <c r="MS12" t="s">
        <v>80</v>
      </c>
      <c r="MT12" t="s">
        <v>80</v>
      </c>
      <c r="MU12" t="s">
        <v>80</v>
      </c>
      <c r="MV12" t="s">
        <v>80</v>
      </c>
      <c r="MW12" t="s">
        <v>80</v>
      </c>
      <c r="MX12" t="s">
        <v>80</v>
      </c>
      <c r="MY12" t="s">
        <v>80</v>
      </c>
      <c r="MZ12" t="s">
        <v>80</v>
      </c>
      <c r="NA12" t="s">
        <v>80</v>
      </c>
      <c r="NB12" t="s">
        <v>80</v>
      </c>
      <c r="NC12" t="s">
        <v>80</v>
      </c>
      <c r="ND12" t="s">
        <v>80</v>
      </c>
      <c r="NE12" t="s">
        <v>80</v>
      </c>
      <c r="NF12" t="s">
        <v>80</v>
      </c>
      <c r="NG12" t="s">
        <v>80</v>
      </c>
      <c r="NH12" t="s">
        <v>80</v>
      </c>
      <c r="NI12" t="s">
        <v>80</v>
      </c>
      <c r="NJ12" t="s">
        <v>80</v>
      </c>
      <c r="NK12" t="s">
        <v>80</v>
      </c>
      <c r="NL12" t="s">
        <v>80</v>
      </c>
      <c r="NM12" t="s">
        <v>80</v>
      </c>
      <c r="NN12" t="s">
        <v>80</v>
      </c>
      <c r="NO12" t="s">
        <v>80</v>
      </c>
      <c r="NP12" t="s">
        <v>80</v>
      </c>
      <c r="NQ12" t="s">
        <v>80</v>
      </c>
      <c r="NR12" t="s">
        <v>80</v>
      </c>
      <c r="NS12" t="s">
        <v>80</v>
      </c>
      <c r="NT12" t="s">
        <v>80</v>
      </c>
      <c r="NU12" t="s">
        <v>80</v>
      </c>
      <c r="NV12" t="s">
        <v>80</v>
      </c>
      <c r="NW12" t="s">
        <v>80</v>
      </c>
      <c r="NX12" t="s">
        <v>80</v>
      </c>
      <c r="NY12" t="s">
        <v>80</v>
      </c>
      <c r="NZ12" t="s">
        <v>80</v>
      </c>
      <c r="OA12" t="s">
        <v>80</v>
      </c>
      <c r="OB12" t="s">
        <v>80</v>
      </c>
      <c r="OC12" t="s">
        <v>80</v>
      </c>
      <c r="OD12" t="s">
        <v>80</v>
      </c>
      <c r="OE12" t="s">
        <v>80</v>
      </c>
      <c r="OF12" t="s">
        <v>80</v>
      </c>
      <c r="OG12" t="s">
        <v>80</v>
      </c>
      <c r="OH12" t="s">
        <v>80</v>
      </c>
      <c r="OI12" t="s">
        <v>80</v>
      </c>
      <c r="OJ12" t="s">
        <v>80</v>
      </c>
      <c r="OK12" t="s">
        <v>80</v>
      </c>
      <c r="OL12" t="s">
        <v>80</v>
      </c>
      <c r="OM12" t="s">
        <v>80</v>
      </c>
      <c r="ON12" t="s">
        <v>80</v>
      </c>
      <c r="OO12" t="s">
        <v>80</v>
      </c>
      <c r="OP12" t="s">
        <v>80</v>
      </c>
      <c r="OQ12" t="s">
        <v>80</v>
      </c>
      <c r="OR12" t="s">
        <v>80</v>
      </c>
      <c r="OS12" t="s">
        <v>80</v>
      </c>
      <c r="OT12" t="s">
        <v>80</v>
      </c>
      <c r="OU12" t="s">
        <v>80</v>
      </c>
      <c r="OV12" t="s">
        <v>80</v>
      </c>
      <c r="OW12" t="s">
        <v>80</v>
      </c>
      <c r="OX12" t="s">
        <v>80</v>
      </c>
      <c r="OY12" t="s">
        <v>80</v>
      </c>
      <c r="OZ12" t="s">
        <v>80</v>
      </c>
      <c r="PA12" t="s">
        <v>80</v>
      </c>
      <c r="PB12" t="s">
        <v>80</v>
      </c>
      <c r="PC12" t="s">
        <v>80</v>
      </c>
      <c r="PD12" t="s">
        <v>80</v>
      </c>
      <c r="PE12" t="s">
        <v>80</v>
      </c>
      <c r="PF12" t="s">
        <v>80</v>
      </c>
      <c r="PG12" t="s">
        <v>80</v>
      </c>
      <c r="PH12" t="s">
        <v>80</v>
      </c>
      <c r="PI12" t="s">
        <v>80</v>
      </c>
      <c r="PJ12" t="s">
        <v>80</v>
      </c>
      <c r="PK12" t="s">
        <v>80</v>
      </c>
      <c r="PL12" t="s">
        <v>80</v>
      </c>
      <c r="PM12" t="s">
        <v>80</v>
      </c>
      <c r="PN12" t="s">
        <v>80</v>
      </c>
      <c r="PO12" t="s">
        <v>80</v>
      </c>
      <c r="PP12" t="s">
        <v>354</v>
      </c>
      <c r="PQ12" t="s">
        <v>80</v>
      </c>
      <c r="PR12" t="s">
        <v>80</v>
      </c>
      <c r="PS12" t="s">
        <v>80</v>
      </c>
      <c r="PT12" t="s">
        <v>80</v>
      </c>
      <c r="PU12" t="s">
        <v>80</v>
      </c>
      <c r="PV12" t="s">
        <v>80</v>
      </c>
      <c r="PW12" t="s">
        <v>80</v>
      </c>
      <c r="PX12" t="s">
        <v>80</v>
      </c>
      <c r="PY12" t="s">
        <v>80</v>
      </c>
      <c r="PZ12" t="s">
        <v>80</v>
      </c>
      <c r="QA12" t="s">
        <v>80</v>
      </c>
      <c r="QB12" t="s">
        <v>80</v>
      </c>
      <c r="QC12" t="s">
        <v>80</v>
      </c>
      <c r="QD12" t="s">
        <v>80</v>
      </c>
      <c r="QE12" t="s">
        <v>80</v>
      </c>
      <c r="QF12" t="s">
        <v>80</v>
      </c>
      <c r="QG12" t="s">
        <v>80</v>
      </c>
      <c r="QH12" t="s">
        <v>80</v>
      </c>
      <c r="QI12" t="s">
        <v>80</v>
      </c>
      <c r="QJ12" t="s">
        <v>80</v>
      </c>
      <c r="QK12" t="s">
        <v>80</v>
      </c>
      <c r="QL12" t="s">
        <v>80</v>
      </c>
      <c r="QM12" t="s">
        <v>80</v>
      </c>
      <c r="QN12" t="s">
        <v>80</v>
      </c>
      <c r="QO12" t="s">
        <v>80</v>
      </c>
      <c r="QP12" t="s">
        <v>80</v>
      </c>
      <c r="QQ12" t="s">
        <v>80</v>
      </c>
      <c r="QR12" t="s">
        <v>80</v>
      </c>
      <c r="QS12" t="s">
        <v>80</v>
      </c>
      <c r="QT12" t="s">
        <v>80</v>
      </c>
      <c r="QU12" t="s">
        <v>80</v>
      </c>
      <c r="QV12" t="s">
        <v>80</v>
      </c>
      <c r="QW12" t="s">
        <v>80</v>
      </c>
      <c r="QX12" t="s">
        <v>80</v>
      </c>
      <c r="QY12" t="s">
        <v>80</v>
      </c>
      <c r="QZ12" t="s">
        <v>80</v>
      </c>
      <c r="RA12" t="s">
        <v>80</v>
      </c>
      <c r="RB12" t="s">
        <v>80</v>
      </c>
      <c r="RC12" t="s">
        <v>80</v>
      </c>
      <c r="RD12" t="s">
        <v>80</v>
      </c>
      <c r="RE12" t="s">
        <v>80</v>
      </c>
      <c r="RF12" t="s">
        <v>80</v>
      </c>
      <c r="RG12" t="s">
        <v>80</v>
      </c>
      <c r="RH12" t="s">
        <v>80</v>
      </c>
      <c r="RI12" t="s">
        <v>80</v>
      </c>
      <c r="RJ12" t="s">
        <v>80</v>
      </c>
      <c r="RK12" t="s">
        <v>80</v>
      </c>
      <c r="RL12" t="s">
        <v>80</v>
      </c>
      <c r="RM12" t="s">
        <v>80</v>
      </c>
      <c r="RN12" t="s">
        <v>80</v>
      </c>
      <c r="RO12" t="s">
        <v>80</v>
      </c>
      <c r="RP12" t="s">
        <v>80</v>
      </c>
      <c r="RQ12" t="s">
        <v>80</v>
      </c>
      <c r="RR12" t="s">
        <v>80</v>
      </c>
      <c r="RS12" t="s">
        <v>80</v>
      </c>
      <c r="RT12" t="s">
        <v>80</v>
      </c>
      <c r="RU12" t="s">
        <v>80</v>
      </c>
      <c r="RV12" t="s">
        <v>80</v>
      </c>
      <c r="RW12" t="s">
        <v>80</v>
      </c>
      <c r="RX12" t="s">
        <v>80</v>
      </c>
      <c r="RY12" t="s">
        <v>80</v>
      </c>
      <c r="RZ12" t="s">
        <v>80</v>
      </c>
      <c r="SA12" t="s">
        <v>80</v>
      </c>
      <c r="SB12" t="s">
        <v>80</v>
      </c>
      <c r="SC12" t="s">
        <v>80</v>
      </c>
      <c r="SD12" t="s">
        <v>80</v>
      </c>
      <c r="SE12" t="s">
        <v>80</v>
      </c>
      <c r="SF12" t="s">
        <v>80</v>
      </c>
      <c r="SG12" t="s">
        <v>80</v>
      </c>
      <c r="SH12" t="s">
        <v>80</v>
      </c>
      <c r="SI12" t="s">
        <v>80</v>
      </c>
      <c r="SJ12" t="s">
        <v>80</v>
      </c>
      <c r="SK12" t="s">
        <v>80</v>
      </c>
      <c r="SL12" t="s">
        <v>80</v>
      </c>
      <c r="SM12" t="s">
        <v>80</v>
      </c>
      <c r="SN12" t="s">
        <v>80</v>
      </c>
      <c r="SO12" t="s">
        <v>80</v>
      </c>
      <c r="SP12" t="s">
        <v>80</v>
      </c>
      <c r="SQ12" t="s">
        <v>80</v>
      </c>
      <c r="SR12" t="s">
        <v>80</v>
      </c>
      <c r="SS12" t="s">
        <v>80</v>
      </c>
      <c r="ST12" t="s">
        <v>80</v>
      </c>
      <c r="SU12" t="s">
        <v>80</v>
      </c>
      <c r="SV12" t="s">
        <v>80</v>
      </c>
      <c r="SW12" t="s">
        <v>80</v>
      </c>
      <c r="SX12" t="s">
        <v>80</v>
      </c>
      <c r="SY12" t="s">
        <v>354</v>
      </c>
      <c r="SZ12" t="s">
        <v>80</v>
      </c>
      <c r="TA12" t="s">
        <v>80</v>
      </c>
      <c r="TB12" t="s">
        <v>80</v>
      </c>
      <c r="TC12" t="s">
        <v>80</v>
      </c>
      <c r="TD12" t="s">
        <v>80</v>
      </c>
      <c r="TE12" t="s">
        <v>80</v>
      </c>
      <c r="TF12" t="s">
        <v>80</v>
      </c>
      <c r="TG12" t="s">
        <v>80</v>
      </c>
      <c r="TH12" t="s">
        <v>80</v>
      </c>
      <c r="TI12" t="s">
        <v>80</v>
      </c>
      <c r="TJ12" t="s">
        <v>80</v>
      </c>
      <c r="TK12" t="s">
        <v>80</v>
      </c>
      <c r="TL12" t="s">
        <v>80</v>
      </c>
      <c r="TM12" t="s">
        <v>80</v>
      </c>
      <c r="TN12" t="s">
        <v>80</v>
      </c>
      <c r="TO12" t="s">
        <v>80</v>
      </c>
      <c r="TP12" t="s">
        <v>80</v>
      </c>
      <c r="TQ12" t="s">
        <v>80</v>
      </c>
      <c r="TR12" t="s">
        <v>80</v>
      </c>
      <c r="TS12" t="s">
        <v>80</v>
      </c>
      <c r="TT12" t="s">
        <v>80</v>
      </c>
      <c r="TU12" t="s">
        <v>80</v>
      </c>
      <c r="TV12" t="s">
        <v>80</v>
      </c>
      <c r="TW12" t="s">
        <v>80</v>
      </c>
      <c r="TX12" t="s">
        <v>80</v>
      </c>
      <c r="TY12" t="s">
        <v>80</v>
      </c>
      <c r="TZ12" t="s">
        <v>80</v>
      </c>
      <c r="UA12" t="s">
        <v>80</v>
      </c>
      <c r="UB12" t="s">
        <v>80</v>
      </c>
      <c r="UC12" t="s">
        <v>80</v>
      </c>
      <c r="UD12" t="s">
        <v>80</v>
      </c>
      <c r="UE12" t="s">
        <v>80</v>
      </c>
      <c r="UF12" t="s">
        <v>80</v>
      </c>
      <c r="UG12" t="s">
        <v>80</v>
      </c>
      <c r="UH12" t="s">
        <v>80</v>
      </c>
      <c r="UI12" t="s">
        <v>80</v>
      </c>
      <c r="UJ12" t="s">
        <v>80</v>
      </c>
      <c r="UK12" t="s">
        <v>80</v>
      </c>
      <c r="UL12" t="s">
        <v>80</v>
      </c>
      <c r="UM12" t="s">
        <v>80</v>
      </c>
      <c r="UN12" t="s">
        <v>80</v>
      </c>
      <c r="UO12" t="s">
        <v>80</v>
      </c>
      <c r="UP12" t="s">
        <v>80</v>
      </c>
      <c r="UQ12" t="s">
        <v>80</v>
      </c>
      <c r="UR12" t="s">
        <v>80</v>
      </c>
      <c r="US12" t="s">
        <v>80</v>
      </c>
      <c r="UT12" t="s">
        <v>80</v>
      </c>
      <c r="UU12" t="s">
        <v>80</v>
      </c>
      <c r="UV12" t="s">
        <v>80</v>
      </c>
      <c r="UW12" t="s">
        <v>80</v>
      </c>
      <c r="UX12" t="s">
        <v>80</v>
      </c>
      <c r="UY12" t="s">
        <v>80</v>
      </c>
      <c r="UZ12" t="s">
        <v>80</v>
      </c>
      <c r="VA12" t="s">
        <v>80</v>
      </c>
      <c r="VB12" t="s">
        <v>80</v>
      </c>
      <c r="VC12" t="s">
        <v>80</v>
      </c>
      <c r="VD12" t="s">
        <v>80</v>
      </c>
      <c r="VE12" t="s">
        <v>80</v>
      </c>
      <c r="VF12" t="s">
        <v>80</v>
      </c>
      <c r="VG12" t="s">
        <v>80</v>
      </c>
      <c r="VH12" t="s">
        <v>80</v>
      </c>
      <c r="VI12" t="s">
        <v>80</v>
      </c>
      <c r="VJ12" t="s">
        <v>80</v>
      </c>
      <c r="VK12" t="s">
        <v>80</v>
      </c>
      <c r="VL12" t="s">
        <v>80</v>
      </c>
      <c r="VM12" t="s">
        <v>80</v>
      </c>
      <c r="VN12" t="s">
        <v>80</v>
      </c>
      <c r="VO12" t="s">
        <v>80</v>
      </c>
      <c r="VP12" t="s">
        <v>80</v>
      </c>
      <c r="VQ12" t="s">
        <v>80</v>
      </c>
      <c r="VR12" t="s">
        <v>80</v>
      </c>
      <c r="VS12" t="s">
        <v>80</v>
      </c>
      <c r="VT12" t="s">
        <v>80</v>
      </c>
      <c r="VU12" t="s">
        <v>80</v>
      </c>
      <c r="VV12" t="s">
        <v>80</v>
      </c>
      <c r="VW12" t="s">
        <v>80</v>
      </c>
      <c r="VX12" t="s">
        <v>80</v>
      </c>
      <c r="VY12" t="s">
        <v>80</v>
      </c>
      <c r="VZ12" t="s">
        <v>80</v>
      </c>
      <c r="WA12" t="s">
        <v>80</v>
      </c>
      <c r="WB12" t="s">
        <v>80</v>
      </c>
      <c r="WC12" t="s">
        <v>80</v>
      </c>
      <c r="WD12" t="s">
        <v>80</v>
      </c>
      <c r="WE12" t="s">
        <v>80</v>
      </c>
      <c r="WF12" t="s">
        <v>80</v>
      </c>
      <c r="WG12" t="s">
        <v>80</v>
      </c>
      <c r="WH12" t="s">
        <v>354</v>
      </c>
      <c r="WI12" t="s">
        <v>80</v>
      </c>
      <c r="WJ12" t="s">
        <v>80</v>
      </c>
      <c r="WK12" t="s">
        <v>80</v>
      </c>
      <c r="WL12" t="s">
        <v>80</v>
      </c>
      <c r="WM12" t="s">
        <v>80</v>
      </c>
      <c r="WN12" t="s">
        <v>80</v>
      </c>
      <c r="WO12" t="s">
        <v>80</v>
      </c>
      <c r="WP12" t="s">
        <v>80</v>
      </c>
      <c r="WQ12" t="s">
        <v>80</v>
      </c>
      <c r="WR12" t="s">
        <v>80</v>
      </c>
      <c r="WS12" t="s">
        <v>80</v>
      </c>
      <c r="WT12" t="s">
        <v>80</v>
      </c>
      <c r="WU12" t="s">
        <v>80</v>
      </c>
      <c r="WV12" t="s">
        <v>80</v>
      </c>
      <c r="WW12" t="s">
        <v>80</v>
      </c>
      <c r="WX12" t="s">
        <v>80</v>
      </c>
      <c r="WY12" t="s">
        <v>80</v>
      </c>
      <c r="WZ12" t="s">
        <v>80</v>
      </c>
      <c r="XA12" t="s">
        <v>80</v>
      </c>
      <c r="XB12" t="s">
        <v>80</v>
      </c>
      <c r="XC12" t="s">
        <v>80</v>
      </c>
      <c r="XD12" t="s">
        <v>80</v>
      </c>
      <c r="XE12" t="s">
        <v>80</v>
      </c>
      <c r="XF12" t="s">
        <v>80</v>
      </c>
      <c r="XG12" t="s">
        <v>80</v>
      </c>
      <c r="XH12" t="s">
        <v>80</v>
      </c>
      <c r="XI12" t="s">
        <v>80</v>
      </c>
      <c r="XJ12" t="s">
        <v>80</v>
      </c>
      <c r="XK12" t="s">
        <v>80</v>
      </c>
      <c r="XL12" t="s">
        <v>80</v>
      </c>
      <c r="XM12" t="s">
        <v>80</v>
      </c>
      <c r="XN12" t="s">
        <v>80</v>
      </c>
      <c r="XO12" t="s">
        <v>80</v>
      </c>
      <c r="XP12" t="s">
        <v>80</v>
      </c>
      <c r="XQ12" t="s">
        <v>80</v>
      </c>
      <c r="XR12" t="s">
        <v>80</v>
      </c>
      <c r="XS12" t="s">
        <v>80</v>
      </c>
      <c r="XT12" t="s">
        <v>80</v>
      </c>
      <c r="XU12" t="s">
        <v>80</v>
      </c>
      <c r="XV12" t="s">
        <v>80</v>
      </c>
      <c r="XW12" t="s">
        <v>80</v>
      </c>
      <c r="XX12" t="s">
        <v>80</v>
      </c>
      <c r="XY12" t="s">
        <v>80</v>
      </c>
      <c r="XZ12" t="s">
        <v>80</v>
      </c>
      <c r="YA12" t="s">
        <v>80</v>
      </c>
      <c r="YB12" t="s">
        <v>80</v>
      </c>
      <c r="YC12" t="s">
        <v>80</v>
      </c>
      <c r="YD12" t="s">
        <v>80</v>
      </c>
      <c r="YE12" t="s">
        <v>80</v>
      </c>
      <c r="YF12" t="s">
        <v>80</v>
      </c>
      <c r="YG12" t="s">
        <v>80</v>
      </c>
      <c r="YH12" t="s">
        <v>80</v>
      </c>
      <c r="YI12" t="s">
        <v>80</v>
      </c>
      <c r="YJ12" t="s">
        <v>80</v>
      </c>
      <c r="YK12" t="s">
        <v>80</v>
      </c>
      <c r="YL12" t="s">
        <v>80</v>
      </c>
      <c r="YM12" t="s">
        <v>80</v>
      </c>
      <c r="YN12" t="s">
        <v>80</v>
      </c>
      <c r="YO12" t="s">
        <v>80</v>
      </c>
      <c r="YP12" t="s">
        <v>80</v>
      </c>
      <c r="YQ12" t="s">
        <v>80</v>
      </c>
      <c r="YR12" t="s">
        <v>80</v>
      </c>
      <c r="YS12" t="s">
        <v>80</v>
      </c>
      <c r="YT12" t="s">
        <v>80</v>
      </c>
      <c r="YU12" t="s">
        <v>80</v>
      </c>
      <c r="YV12" t="s">
        <v>80</v>
      </c>
      <c r="YW12" t="s">
        <v>80</v>
      </c>
      <c r="YX12" t="s">
        <v>80</v>
      </c>
      <c r="YY12" t="s">
        <v>80</v>
      </c>
      <c r="YZ12" t="s">
        <v>80</v>
      </c>
      <c r="ZA12" t="s">
        <v>80</v>
      </c>
      <c r="ZB12" t="s">
        <v>80</v>
      </c>
      <c r="ZC12" t="s">
        <v>80</v>
      </c>
      <c r="ZD12" t="s">
        <v>80</v>
      </c>
      <c r="ZE12" t="s">
        <v>80</v>
      </c>
      <c r="ZF12" t="s">
        <v>80</v>
      </c>
      <c r="ZG12" t="s">
        <v>80</v>
      </c>
      <c r="ZH12" t="s">
        <v>80</v>
      </c>
      <c r="ZI12" t="s">
        <v>80</v>
      </c>
      <c r="ZJ12" t="s">
        <v>80</v>
      </c>
      <c r="ZK12" t="s">
        <v>80</v>
      </c>
      <c r="ZL12" t="s">
        <v>80</v>
      </c>
      <c r="ZM12" t="s">
        <v>80</v>
      </c>
      <c r="ZN12" t="s">
        <v>80</v>
      </c>
      <c r="ZO12" t="s">
        <v>80</v>
      </c>
      <c r="ZP12" t="s">
        <v>80</v>
      </c>
      <c r="ZQ12" t="s">
        <v>354</v>
      </c>
      <c r="ZR12" t="s">
        <v>80</v>
      </c>
      <c r="ZS12" t="s">
        <v>80</v>
      </c>
      <c r="ZT12" t="s">
        <v>80</v>
      </c>
      <c r="ZU12" t="s">
        <v>80</v>
      </c>
      <c r="ZV12" t="s">
        <v>80</v>
      </c>
      <c r="ZW12" t="s">
        <v>80</v>
      </c>
      <c r="ZX12" t="s">
        <v>80</v>
      </c>
      <c r="ZY12" t="s">
        <v>80</v>
      </c>
      <c r="ZZ12" t="s">
        <v>80</v>
      </c>
      <c r="AAA12" t="s">
        <v>80</v>
      </c>
      <c r="AAB12" t="s">
        <v>80</v>
      </c>
      <c r="AAC12" t="s">
        <v>80</v>
      </c>
      <c r="AAD12" t="s">
        <v>80</v>
      </c>
      <c r="AAE12" t="s">
        <v>80</v>
      </c>
      <c r="AAF12" t="s">
        <v>80</v>
      </c>
      <c r="AAG12" t="s">
        <v>80</v>
      </c>
      <c r="AAH12" t="s">
        <v>80</v>
      </c>
      <c r="AAI12" t="s">
        <v>80</v>
      </c>
      <c r="AAJ12" t="s">
        <v>80</v>
      </c>
      <c r="AAK12" t="s">
        <v>80</v>
      </c>
      <c r="AAL12" t="s">
        <v>80</v>
      </c>
      <c r="AAM12" t="s">
        <v>80</v>
      </c>
      <c r="AAN12" t="s">
        <v>80</v>
      </c>
      <c r="AAO12" t="s">
        <v>80</v>
      </c>
      <c r="AAP12" t="s">
        <v>80</v>
      </c>
      <c r="AAQ12" t="s">
        <v>80</v>
      </c>
      <c r="AAR12" t="s">
        <v>80</v>
      </c>
      <c r="AAS12" t="s">
        <v>80</v>
      </c>
      <c r="AAT12" t="s">
        <v>80</v>
      </c>
      <c r="AAU12" t="s">
        <v>80</v>
      </c>
      <c r="AAV12" t="s">
        <v>80</v>
      </c>
      <c r="AAW12" t="s">
        <v>80</v>
      </c>
      <c r="AAX12" t="s">
        <v>80</v>
      </c>
      <c r="AAY12" t="s">
        <v>80</v>
      </c>
      <c r="AAZ12" t="s">
        <v>80</v>
      </c>
      <c r="ABA12" t="s">
        <v>80</v>
      </c>
      <c r="ABB12" t="s">
        <v>80</v>
      </c>
      <c r="ABC12" t="s">
        <v>80</v>
      </c>
      <c r="ABD12" t="s">
        <v>80</v>
      </c>
      <c r="ABE12" t="s">
        <v>80</v>
      </c>
      <c r="ABF12" t="s">
        <v>80</v>
      </c>
      <c r="ABG12" t="s">
        <v>80</v>
      </c>
      <c r="ABH12" t="s">
        <v>80</v>
      </c>
      <c r="ABI12" t="s">
        <v>80</v>
      </c>
      <c r="ABJ12" t="s">
        <v>80</v>
      </c>
      <c r="ABK12" t="s">
        <v>80</v>
      </c>
      <c r="ABL12" t="s">
        <v>80</v>
      </c>
      <c r="ABM12" t="s">
        <v>80</v>
      </c>
      <c r="ABN12" t="s">
        <v>80</v>
      </c>
      <c r="ABO12" t="s">
        <v>80</v>
      </c>
      <c r="ABP12" t="s">
        <v>80</v>
      </c>
      <c r="ABQ12" t="s">
        <v>80</v>
      </c>
      <c r="ABR12" t="s">
        <v>80</v>
      </c>
      <c r="ABS12" t="s">
        <v>80</v>
      </c>
      <c r="ABT12" t="s">
        <v>80</v>
      </c>
      <c r="ABU12" t="s">
        <v>80</v>
      </c>
      <c r="ABV12" t="s">
        <v>80</v>
      </c>
      <c r="ABW12" t="s">
        <v>80</v>
      </c>
      <c r="ABX12" t="s">
        <v>80</v>
      </c>
      <c r="ABY12" t="s">
        <v>80</v>
      </c>
      <c r="ABZ12" t="s">
        <v>80</v>
      </c>
      <c r="ACA12" t="s">
        <v>80</v>
      </c>
      <c r="ACB12" t="s">
        <v>80</v>
      </c>
      <c r="ACC12" t="s">
        <v>80</v>
      </c>
      <c r="ACD12" t="s">
        <v>80</v>
      </c>
      <c r="ACE12" t="s">
        <v>80</v>
      </c>
      <c r="ACF12" t="s">
        <v>80</v>
      </c>
      <c r="ACG12" t="s">
        <v>80</v>
      </c>
      <c r="ACH12" t="s">
        <v>80</v>
      </c>
      <c r="ACI12" t="s">
        <v>80</v>
      </c>
      <c r="ACJ12" t="s">
        <v>80</v>
      </c>
      <c r="ACK12" t="s">
        <v>80</v>
      </c>
      <c r="ACL12" t="s">
        <v>80</v>
      </c>
      <c r="ACM12" t="s">
        <v>80</v>
      </c>
      <c r="ACN12" t="s">
        <v>80</v>
      </c>
      <c r="ACO12" t="s">
        <v>80</v>
      </c>
      <c r="ACP12" t="s">
        <v>80</v>
      </c>
      <c r="ACQ12" t="s">
        <v>80</v>
      </c>
      <c r="ACR12" t="s">
        <v>80</v>
      </c>
      <c r="ACS12" t="s">
        <v>80</v>
      </c>
      <c r="ACT12" t="s">
        <v>80</v>
      </c>
      <c r="ACU12" t="s">
        <v>80</v>
      </c>
      <c r="ACV12" t="s">
        <v>80</v>
      </c>
      <c r="ACW12" t="s">
        <v>80</v>
      </c>
      <c r="ACX12" t="s">
        <v>80</v>
      </c>
      <c r="ACY12" t="s">
        <v>80</v>
      </c>
      <c r="ACZ12" t="s">
        <v>354</v>
      </c>
      <c r="ADA12" t="s">
        <v>80</v>
      </c>
      <c r="ADB12" t="s">
        <v>80</v>
      </c>
      <c r="ADC12" t="s">
        <v>80</v>
      </c>
      <c r="ADD12" t="s">
        <v>80</v>
      </c>
      <c r="ADE12" t="s">
        <v>80</v>
      </c>
      <c r="ADF12" t="s">
        <v>80</v>
      </c>
      <c r="ADG12" t="s">
        <v>80</v>
      </c>
      <c r="ADH12" t="s">
        <v>80</v>
      </c>
      <c r="ADI12" t="s">
        <v>80</v>
      </c>
      <c r="ADJ12" t="s">
        <v>80</v>
      </c>
      <c r="ADK12" t="s">
        <v>80</v>
      </c>
      <c r="ADL12" t="s">
        <v>80</v>
      </c>
      <c r="ADM12" t="s">
        <v>80</v>
      </c>
      <c r="ADN12" t="s">
        <v>80</v>
      </c>
      <c r="ADO12" t="s">
        <v>80</v>
      </c>
      <c r="ADP12" t="s">
        <v>80</v>
      </c>
      <c r="ADQ12" t="s">
        <v>80</v>
      </c>
      <c r="ADR12" t="s">
        <v>80</v>
      </c>
      <c r="ADS12" t="s">
        <v>80</v>
      </c>
      <c r="ADT12" t="s">
        <v>80</v>
      </c>
      <c r="ADU12" t="s">
        <v>80</v>
      </c>
      <c r="ADV12" t="s">
        <v>80</v>
      </c>
      <c r="ADW12" t="s">
        <v>80</v>
      </c>
      <c r="ADX12" t="s">
        <v>80</v>
      </c>
      <c r="ADY12" t="s">
        <v>80</v>
      </c>
      <c r="ADZ12" t="s">
        <v>80</v>
      </c>
      <c r="AEA12" t="s">
        <v>80</v>
      </c>
      <c r="AEB12" t="s">
        <v>80</v>
      </c>
      <c r="AEC12" t="s">
        <v>80</v>
      </c>
      <c r="AED12" t="s">
        <v>80</v>
      </c>
      <c r="AEE12" t="s">
        <v>80</v>
      </c>
      <c r="AEF12" t="s">
        <v>80</v>
      </c>
      <c r="AEG12" t="s">
        <v>80</v>
      </c>
      <c r="AEH12" t="s">
        <v>80</v>
      </c>
      <c r="AEI12" t="s">
        <v>80</v>
      </c>
      <c r="AEJ12" t="s">
        <v>80</v>
      </c>
      <c r="AEK12" t="s">
        <v>80</v>
      </c>
      <c r="AEL12" t="s">
        <v>80</v>
      </c>
      <c r="AEM12" t="s">
        <v>80</v>
      </c>
      <c r="AEN12" t="s">
        <v>80</v>
      </c>
      <c r="AEO12" t="s">
        <v>80</v>
      </c>
      <c r="AEP12" t="s">
        <v>80</v>
      </c>
      <c r="AEQ12" t="s">
        <v>80</v>
      </c>
      <c r="AER12" t="s">
        <v>80</v>
      </c>
      <c r="AES12" t="s">
        <v>80</v>
      </c>
      <c r="AET12" t="s">
        <v>80</v>
      </c>
      <c r="AEU12" t="s">
        <v>80</v>
      </c>
      <c r="AEV12" t="s">
        <v>80</v>
      </c>
      <c r="AEW12" t="s">
        <v>80</v>
      </c>
      <c r="AEX12" t="s">
        <v>80</v>
      </c>
      <c r="AEY12" t="s">
        <v>80</v>
      </c>
      <c r="AEZ12" t="s">
        <v>80</v>
      </c>
      <c r="AFA12" t="s">
        <v>80</v>
      </c>
      <c r="AFB12" t="s">
        <v>80</v>
      </c>
      <c r="AFC12" t="s">
        <v>80</v>
      </c>
      <c r="AFD12" t="s">
        <v>80</v>
      </c>
      <c r="AFE12" t="s">
        <v>80</v>
      </c>
      <c r="AFF12" t="s">
        <v>80</v>
      </c>
      <c r="AFG12" t="s">
        <v>80</v>
      </c>
      <c r="AFH12" t="s">
        <v>80</v>
      </c>
      <c r="AFI12" t="s">
        <v>80</v>
      </c>
      <c r="AFJ12" t="s">
        <v>80</v>
      </c>
      <c r="AFK12" t="s">
        <v>80</v>
      </c>
      <c r="AFL12" t="s">
        <v>80</v>
      </c>
      <c r="AFM12" t="s">
        <v>80</v>
      </c>
      <c r="AFN12" t="s">
        <v>80</v>
      </c>
      <c r="AFO12" t="s">
        <v>80</v>
      </c>
      <c r="AFP12" t="s">
        <v>80</v>
      </c>
      <c r="AFQ12" t="s">
        <v>80</v>
      </c>
      <c r="AFR12" t="s">
        <v>80</v>
      </c>
      <c r="AFS12" t="s">
        <v>80</v>
      </c>
      <c r="AFT12" t="s">
        <v>80</v>
      </c>
      <c r="AFU12" t="s">
        <v>80</v>
      </c>
      <c r="AFV12" t="s">
        <v>80</v>
      </c>
      <c r="AFW12" t="s">
        <v>80</v>
      </c>
      <c r="AFX12" t="s">
        <v>80</v>
      </c>
      <c r="AFY12" t="s">
        <v>80</v>
      </c>
      <c r="AFZ12" t="s">
        <v>80</v>
      </c>
      <c r="AGA12" t="s">
        <v>80</v>
      </c>
      <c r="AGB12" t="s">
        <v>80</v>
      </c>
      <c r="AGC12" t="s">
        <v>80</v>
      </c>
      <c r="AGD12" t="s">
        <v>80</v>
      </c>
      <c r="AGE12" t="s">
        <v>80</v>
      </c>
      <c r="AGF12" t="s">
        <v>80</v>
      </c>
      <c r="AGG12" t="s">
        <v>80</v>
      </c>
      <c r="AGH12" t="s">
        <v>80</v>
      </c>
      <c r="AGI12" t="s">
        <v>354</v>
      </c>
      <c r="AGJ12" t="s">
        <v>80</v>
      </c>
      <c r="AGK12" t="s">
        <v>80</v>
      </c>
      <c r="AGL12" t="s">
        <v>80</v>
      </c>
      <c r="AGM12" t="s">
        <v>80</v>
      </c>
      <c r="AGN12" t="s">
        <v>80</v>
      </c>
      <c r="AGO12" t="s">
        <v>80</v>
      </c>
      <c r="AGP12" t="s">
        <v>80</v>
      </c>
      <c r="AGQ12" t="s">
        <v>80</v>
      </c>
      <c r="AGR12" t="s">
        <v>80</v>
      </c>
      <c r="AGS12" t="s">
        <v>80</v>
      </c>
      <c r="AGT12" t="s">
        <v>80</v>
      </c>
      <c r="AGU12" t="s">
        <v>80</v>
      </c>
      <c r="AGV12" t="s">
        <v>80</v>
      </c>
      <c r="AGW12" t="s">
        <v>80</v>
      </c>
      <c r="AGX12" t="s">
        <v>80</v>
      </c>
      <c r="AGY12" t="s">
        <v>80</v>
      </c>
      <c r="AGZ12" t="s">
        <v>80</v>
      </c>
      <c r="AHA12" t="s">
        <v>80</v>
      </c>
      <c r="AHB12" t="s">
        <v>80</v>
      </c>
      <c r="AHC12" t="s">
        <v>80</v>
      </c>
      <c r="AHD12" t="s">
        <v>80</v>
      </c>
      <c r="AHE12" t="s">
        <v>80</v>
      </c>
      <c r="AHF12" t="s">
        <v>80</v>
      </c>
      <c r="AHG12" t="s">
        <v>80</v>
      </c>
      <c r="AHH12" t="s">
        <v>80</v>
      </c>
      <c r="AHI12" t="s">
        <v>80</v>
      </c>
      <c r="AHJ12" t="s">
        <v>80</v>
      </c>
      <c r="AHK12" t="s">
        <v>80</v>
      </c>
      <c r="AHL12" t="s">
        <v>80</v>
      </c>
      <c r="AHM12" t="s">
        <v>80</v>
      </c>
      <c r="AHN12" t="s">
        <v>80</v>
      </c>
      <c r="AHO12" t="s">
        <v>80</v>
      </c>
      <c r="AHP12" t="s">
        <v>80</v>
      </c>
      <c r="AHQ12" t="s">
        <v>80</v>
      </c>
      <c r="AHR12" t="s">
        <v>80</v>
      </c>
      <c r="AHS12" t="s">
        <v>80</v>
      </c>
      <c r="AHT12" t="s">
        <v>80</v>
      </c>
      <c r="AHU12" t="s">
        <v>80</v>
      </c>
      <c r="AHV12" t="s">
        <v>80</v>
      </c>
      <c r="AHW12" t="s">
        <v>80</v>
      </c>
      <c r="AHX12" t="s">
        <v>80</v>
      </c>
      <c r="AHY12" t="s">
        <v>80</v>
      </c>
      <c r="AHZ12" t="s">
        <v>80</v>
      </c>
      <c r="AIA12" t="s">
        <v>80</v>
      </c>
      <c r="AIB12" t="s">
        <v>80</v>
      </c>
      <c r="AIC12" t="s">
        <v>80</v>
      </c>
      <c r="AID12" t="s">
        <v>80</v>
      </c>
      <c r="AIE12" t="s">
        <v>80</v>
      </c>
      <c r="AIF12" t="s">
        <v>80</v>
      </c>
      <c r="AIG12" t="s">
        <v>80</v>
      </c>
      <c r="AIH12" t="s">
        <v>80</v>
      </c>
      <c r="AII12" t="s">
        <v>80</v>
      </c>
      <c r="AIJ12" t="s">
        <v>80</v>
      </c>
      <c r="AIK12" t="s">
        <v>80</v>
      </c>
      <c r="AIL12" t="s">
        <v>80</v>
      </c>
      <c r="AIM12" t="s">
        <v>80</v>
      </c>
      <c r="AIN12" t="s">
        <v>80</v>
      </c>
      <c r="AIO12" t="s">
        <v>80</v>
      </c>
      <c r="AIP12" t="s">
        <v>80</v>
      </c>
      <c r="AIQ12" t="s">
        <v>80</v>
      </c>
      <c r="AIR12" t="s">
        <v>80</v>
      </c>
      <c r="AIS12" t="s">
        <v>80</v>
      </c>
      <c r="AIT12" t="s">
        <v>80</v>
      </c>
      <c r="AIU12" t="s">
        <v>80</v>
      </c>
      <c r="AIV12" t="s">
        <v>80</v>
      </c>
      <c r="AIW12" t="s">
        <v>80</v>
      </c>
      <c r="AIX12" t="s">
        <v>80</v>
      </c>
      <c r="AIY12" t="s">
        <v>80</v>
      </c>
      <c r="AIZ12" t="s">
        <v>80</v>
      </c>
      <c r="AJA12" t="s">
        <v>80</v>
      </c>
      <c r="AJB12" t="s">
        <v>80</v>
      </c>
      <c r="AJC12" t="s">
        <v>80</v>
      </c>
      <c r="AJD12" t="s">
        <v>80</v>
      </c>
      <c r="AJE12" t="s">
        <v>80</v>
      </c>
      <c r="AJF12" t="s">
        <v>80</v>
      </c>
      <c r="AJG12" t="s">
        <v>80</v>
      </c>
      <c r="AJH12" t="s">
        <v>80</v>
      </c>
      <c r="AJI12" t="s">
        <v>80</v>
      </c>
      <c r="AJJ12" t="s">
        <v>80</v>
      </c>
      <c r="AJK12" t="s">
        <v>80</v>
      </c>
      <c r="AJL12" t="s">
        <v>80</v>
      </c>
      <c r="AJM12" t="s">
        <v>80</v>
      </c>
      <c r="AJN12" t="s">
        <v>80</v>
      </c>
      <c r="AJO12" t="s">
        <v>80</v>
      </c>
      <c r="AJP12" t="s">
        <v>80</v>
      </c>
      <c r="AJQ12" t="s">
        <v>80</v>
      </c>
      <c r="AJR12" t="s">
        <v>31</v>
      </c>
      <c r="AJS12" t="s">
        <v>31</v>
      </c>
      <c r="AJT12" t="s">
        <v>31</v>
      </c>
      <c r="AJU12" t="s">
        <v>31</v>
      </c>
      <c r="AJV12" t="s">
        <v>31</v>
      </c>
      <c r="AJW12" t="s">
        <v>31</v>
      </c>
      <c r="AJX12" t="s">
        <v>31</v>
      </c>
      <c r="AJY12" t="s">
        <v>31</v>
      </c>
      <c r="AJZ12" t="s">
        <v>31</v>
      </c>
      <c r="AKA12" t="s">
        <v>492</v>
      </c>
      <c r="AKB12" t="s">
        <v>492</v>
      </c>
      <c r="AKC12" t="s">
        <v>492</v>
      </c>
      <c r="AKD12" t="s">
        <v>492</v>
      </c>
      <c r="AKE12" t="s">
        <v>492</v>
      </c>
      <c r="AKF12" t="s">
        <v>492</v>
      </c>
      <c r="AKG12" t="s">
        <v>492</v>
      </c>
      <c r="AKH12" t="s">
        <v>501</v>
      </c>
      <c r="AKI12" t="s">
        <v>501</v>
      </c>
      <c r="AKJ12" t="s">
        <v>547</v>
      </c>
      <c r="AKK12" t="s">
        <v>547</v>
      </c>
      <c r="AKL12" t="s">
        <v>547</v>
      </c>
      <c r="AKM12" t="s">
        <v>547</v>
      </c>
      <c r="AKN12" t="s">
        <v>552</v>
      </c>
      <c r="AKO12" t="s">
        <v>552</v>
      </c>
      <c r="AKP12" t="s">
        <v>576</v>
      </c>
      <c r="AKQ12" t="s">
        <v>576</v>
      </c>
      <c r="AKR12" t="s">
        <v>576</v>
      </c>
      <c r="AKS12" t="s">
        <v>584</v>
      </c>
      <c r="AKT12" t="s">
        <v>585</v>
      </c>
      <c r="AKU12" t="s">
        <v>589</v>
      </c>
      <c r="AKV12" t="s">
        <v>589</v>
      </c>
      <c r="AKW12" t="s">
        <v>589</v>
      </c>
    </row>
    <row r="13" spans="1:985" ht="14.4" customHeight="1" x14ac:dyDescent="0.55000000000000004">
      <c r="A13" t="s">
        <v>355</v>
      </c>
      <c r="B13" t="s">
        <v>521</v>
      </c>
      <c r="C13" s="1" t="s">
        <v>698</v>
      </c>
      <c r="CA13" t="s">
        <v>356</v>
      </c>
      <c r="CB13" t="s">
        <v>357</v>
      </c>
      <c r="CC13" t="s">
        <v>358</v>
      </c>
      <c r="CD13" t="s">
        <v>359</v>
      </c>
      <c r="CE13" t="s">
        <v>360</v>
      </c>
      <c r="CF13" t="s">
        <v>361</v>
      </c>
      <c r="CG13" t="s">
        <v>362</v>
      </c>
      <c r="CH13" t="s">
        <v>363</v>
      </c>
      <c r="CI13" t="s">
        <v>364</v>
      </c>
      <c r="CJ13" t="s">
        <v>365</v>
      </c>
      <c r="CK13" t="s">
        <v>366</v>
      </c>
      <c r="CL13" t="s">
        <v>367</v>
      </c>
      <c r="CM13" t="s">
        <v>368</v>
      </c>
      <c r="CN13" t="s">
        <v>369</v>
      </c>
      <c r="CO13" t="s">
        <v>370</v>
      </c>
      <c r="CP13" t="s">
        <v>371</v>
      </c>
      <c r="CQ13" t="s">
        <v>372</v>
      </c>
      <c r="CR13" t="s">
        <v>373</v>
      </c>
      <c r="CS13" t="s">
        <v>374</v>
      </c>
      <c r="CT13" t="s">
        <v>375</v>
      </c>
      <c r="CU13" t="s">
        <v>376</v>
      </c>
      <c r="CV13" t="s">
        <v>377</v>
      </c>
      <c r="CW13" t="s">
        <v>378</v>
      </c>
      <c r="CX13" t="s">
        <v>379</v>
      </c>
      <c r="CY13" t="s">
        <v>380</v>
      </c>
      <c r="CZ13" t="s">
        <v>381</v>
      </c>
      <c r="DA13" t="s">
        <v>382</v>
      </c>
      <c r="DB13" t="s">
        <v>383</v>
      </c>
      <c r="DC13" t="s">
        <v>384</v>
      </c>
      <c r="DD13" t="s">
        <v>385</v>
      </c>
      <c r="DE13" t="s">
        <v>386</v>
      </c>
      <c r="DF13" t="s">
        <v>387</v>
      </c>
      <c r="DG13" t="s">
        <v>388</v>
      </c>
      <c r="DH13" t="s">
        <v>389</v>
      </c>
      <c r="DI13" t="s">
        <v>390</v>
      </c>
      <c r="DJ13" t="s">
        <v>391</v>
      </c>
      <c r="DK13" t="s">
        <v>392</v>
      </c>
      <c r="DL13" t="s">
        <v>393</v>
      </c>
      <c r="DM13" t="s">
        <v>394</v>
      </c>
      <c r="DN13" t="s">
        <v>395</v>
      </c>
      <c r="DO13" t="s">
        <v>396</v>
      </c>
      <c r="DP13" t="s">
        <v>397</v>
      </c>
      <c r="DQ13" t="s">
        <v>398</v>
      </c>
      <c r="DR13" t="s">
        <v>399</v>
      </c>
      <c r="DS13" t="s">
        <v>400</v>
      </c>
      <c r="DT13" t="s">
        <v>401</v>
      </c>
      <c r="DU13" t="s">
        <v>402</v>
      </c>
      <c r="DV13" t="s">
        <v>403</v>
      </c>
      <c r="DW13" t="s">
        <v>404</v>
      </c>
      <c r="DX13" t="s">
        <v>405</v>
      </c>
      <c r="DY13" t="s">
        <v>406</v>
      </c>
      <c r="DZ13" t="s">
        <v>407</v>
      </c>
      <c r="EA13" t="s">
        <v>408</v>
      </c>
      <c r="EB13" t="s">
        <v>356</v>
      </c>
      <c r="EC13" t="s">
        <v>357</v>
      </c>
      <c r="ED13" t="s">
        <v>358</v>
      </c>
      <c r="EE13" t="s">
        <v>359</v>
      </c>
      <c r="EF13" t="s">
        <v>360</v>
      </c>
      <c r="EG13" t="s">
        <v>361</v>
      </c>
      <c r="EH13" t="s">
        <v>362</v>
      </c>
      <c r="EI13" t="s">
        <v>363</v>
      </c>
      <c r="EJ13" t="s">
        <v>364</v>
      </c>
      <c r="EK13" t="s">
        <v>365</v>
      </c>
      <c r="EL13" t="s">
        <v>366</v>
      </c>
      <c r="EM13" t="s">
        <v>367</v>
      </c>
      <c r="EN13" t="s">
        <v>368</v>
      </c>
      <c r="EO13" t="s">
        <v>369</v>
      </c>
      <c r="EP13" t="s">
        <v>370</v>
      </c>
      <c r="EQ13" t="s">
        <v>371</v>
      </c>
      <c r="ER13" t="s">
        <v>372</v>
      </c>
      <c r="ES13" t="s">
        <v>373</v>
      </c>
      <c r="ET13" t="s">
        <v>374</v>
      </c>
      <c r="EU13" t="s">
        <v>375</v>
      </c>
      <c r="EV13" t="s">
        <v>376</v>
      </c>
      <c r="EW13" t="s">
        <v>377</v>
      </c>
      <c r="EX13" t="s">
        <v>378</v>
      </c>
      <c r="EY13" t="s">
        <v>379</v>
      </c>
      <c r="EZ13" t="s">
        <v>380</v>
      </c>
      <c r="FA13" t="s">
        <v>381</v>
      </c>
      <c r="FB13" t="s">
        <v>382</v>
      </c>
      <c r="FC13" t="s">
        <v>383</v>
      </c>
      <c r="FD13" t="s">
        <v>384</v>
      </c>
      <c r="FE13" t="s">
        <v>385</v>
      </c>
      <c r="FF13" t="s">
        <v>386</v>
      </c>
      <c r="FG13" t="s">
        <v>387</v>
      </c>
      <c r="FH13" t="s">
        <v>388</v>
      </c>
      <c r="FI13" t="s">
        <v>389</v>
      </c>
      <c r="FJ13" t="s">
        <v>390</v>
      </c>
      <c r="FK13" t="s">
        <v>391</v>
      </c>
      <c r="FL13" t="s">
        <v>392</v>
      </c>
      <c r="FM13" t="s">
        <v>393</v>
      </c>
      <c r="FN13" t="s">
        <v>394</v>
      </c>
      <c r="FO13" t="s">
        <v>395</v>
      </c>
      <c r="FP13" t="s">
        <v>396</v>
      </c>
      <c r="FQ13" t="s">
        <v>397</v>
      </c>
      <c r="FR13" t="s">
        <v>398</v>
      </c>
      <c r="FS13" t="s">
        <v>399</v>
      </c>
      <c r="FT13" t="s">
        <v>400</v>
      </c>
      <c r="FU13" t="s">
        <v>401</v>
      </c>
      <c r="FV13" t="s">
        <v>402</v>
      </c>
      <c r="FW13" t="s">
        <v>403</v>
      </c>
      <c r="FX13" t="s">
        <v>404</v>
      </c>
      <c r="FY13" t="s">
        <v>405</v>
      </c>
      <c r="FZ13" t="s">
        <v>406</v>
      </c>
      <c r="GA13" t="s">
        <v>407</v>
      </c>
      <c r="GB13" t="s">
        <v>408</v>
      </c>
      <c r="GC13" t="s">
        <v>356</v>
      </c>
      <c r="GD13" t="s">
        <v>357</v>
      </c>
      <c r="GE13" t="s">
        <v>358</v>
      </c>
      <c r="GF13" t="s">
        <v>359</v>
      </c>
      <c r="GG13" t="s">
        <v>360</v>
      </c>
      <c r="GH13" t="s">
        <v>361</v>
      </c>
      <c r="GI13" t="s">
        <v>362</v>
      </c>
      <c r="GJ13" t="s">
        <v>363</v>
      </c>
      <c r="GK13" t="s">
        <v>364</v>
      </c>
      <c r="GL13" t="s">
        <v>365</v>
      </c>
      <c r="GM13" t="s">
        <v>366</v>
      </c>
      <c r="GN13" t="s">
        <v>367</v>
      </c>
      <c r="GO13" t="s">
        <v>368</v>
      </c>
      <c r="GP13" t="s">
        <v>369</v>
      </c>
      <c r="GQ13" t="s">
        <v>370</v>
      </c>
      <c r="GR13" t="s">
        <v>371</v>
      </c>
      <c r="GS13" t="s">
        <v>372</v>
      </c>
      <c r="GT13" t="s">
        <v>373</v>
      </c>
      <c r="GU13" t="s">
        <v>374</v>
      </c>
      <c r="GV13" t="s">
        <v>375</v>
      </c>
      <c r="GW13" t="s">
        <v>376</v>
      </c>
      <c r="GX13" t="s">
        <v>377</v>
      </c>
      <c r="GY13" t="s">
        <v>378</v>
      </c>
      <c r="GZ13" t="s">
        <v>379</v>
      </c>
      <c r="HA13" t="s">
        <v>380</v>
      </c>
      <c r="HB13" t="s">
        <v>381</v>
      </c>
      <c r="HC13" t="s">
        <v>382</v>
      </c>
      <c r="HD13" t="s">
        <v>383</v>
      </c>
      <c r="HE13" t="s">
        <v>384</v>
      </c>
      <c r="HF13" t="s">
        <v>385</v>
      </c>
      <c r="HG13" t="s">
        <v>386</v>
      </c>
      <c r="HH13" t="s">
        <v>387</v>
      </c>
      <c r="HI13" t="s">
        <v>388</v>
      </c>
      <c r="HJ13" t="s">
        <v>389</v>
      </c>
      <c r="HK13" t="s">
        <v>390</v>
      </c>
      <c r="HL13" t="s">
        <v>391</v>
      </c>
      <c r="HM13" t="s">
        <v>392</v>
      </c>
      <c r="HN13" t="s">
        <v>393</v>
      </c>
      <c r="HO13" t="s">
        <v>394</v>
      </c>
      <c r="HP13" t="s">
        <v>395</v>
      </c>
      <c r="HQ13" t="s">
        <v>396</v>
      </c>
      <c r="HR13" t="s">
        <v>397</v>
      </c>
      <c r="HS13" t="s">
        <v>398</v>
      </c>
      <c r="HT13" t="s">
        <v>399</v>
      </c>
      <c r="HU13" t="s">
        <v>400</v>
      </c>
      <c r="HV13" t="s">
        <v>401</v>
      </c>
      <c r="HW13" t="s">
        <v>402</v>
      </c>
      <c r="HX13" t="s">
        <v>403</v>
      </c>
      <c r="HY13" t="s">
        <v>404</v>
      </c>
      <c r="HZ13" t="s">
        <v>405</v>
      </c>
      <c r="IA13" t="s">
        <v>406</v>
      </c>
      <c r="IB13" t="s">
        <v>407</v>
      </c>
      <c r="IC13" t="s">
        <v>408</v>
      </c>
      <c r="ID13" t="s">
        <v>412</v>
      </c>
      <c r="IE13" t="s">
        <v>413</v>
      </c>
      <c r="IF13" t="s">
        <v>414</v>
      </c>
      <c r="IG13" t="s">
        <v>415</v>
      </c>
      <c r="IH13" t="s">
        <v>416</v>
      </c>
      <c r="II13" t="s">
        <v>417</v>
      </c>
      <c r="IJ13" t="s">
        <v>418</v>
      </c>
      <c r="IK13" t="s">
        <v>419</v>
      </c>
      <c r="IL13" t="s">
        <v>420</v>
      </c>
      <c r="IM13" t="s">
        <v>421</v>
      </c>
      <c r="IN13" t="s">
        <v>422</v>
      </c>
      <c r="IO13" t="s">
        <v>423</v>
      </c>
      <c r="IP13" t="s">
        <v>424</v>
      </c>
      <c r="IQ13" t="s">
        <v>425</v>
      </c>
      <c r="IR13" t="s">
        <v>426</v>
      </c>
      <c r="IS13" t="s">
        <v>427</v>
      </c>
      <c r="IT13" t="s">
        <v>428</v>
      </c>
      <c r="IU13" t="s">
        <v>429</v>
      </c>
      <c r="IV13" t="s">
        <v>430</v>
      </c>
      <c r="IW13" t="s">
        <v>431</v>
      </c>
      <c r="IX13" t="s">
        <v>356</v>
      </c>
      <c r="IY13" t="s">
        <v>357</v>
      </c>
      <c r="IZ13" t="s">
        <v>358</v>
      </c>
      <c r="JA13" t="s">
        <v>359</v>
      </c>
      <c r="JB13" t="s">
        <v>360</v>
      </c>
      <c r="JC13" t="s">
        <v>361</v>
      </c>
      <c r="JD13" t="s">
        <v>362</v>
      </c>
      <c r="JE13" t="s">
        <v>363</v>
      </c>
      <c r="JF13" t="s">
        <v>364</v>
      </c>
      <c r="JG13" t="s">
        <v>365</v>
      </c>
      <c r="JH13" t="s">
        <v>366</v>
      </c>
      <c r="JI13" t="s">
        <v>367</v>
      </c>
      <c r="JJ13" t="s">
        <v>368</v>
      </c>
      <c r="JK13" t="s">
        <v>369</v>
      </c>
      <c r="JL13" t="s">
        <v>370</v>
      </c>
      <c r="JM13" t="s">
        <v>371</v>
      </c>
      <c r="JN13" t="s">
        <v>372</v>
      </c>
      <c r="JO13" t="s">
        <v>373</v>
      </c>
      <c r="JP13" t="s">
        <v>374</v>
      </c>
      <c r="JQ13" t="s">
        <v>375</v>
      </c>
      <c r="JR13" t="s">
        <v>376</v>
      </c>
      <c r="JS13" t="s">
        <v>377</v>
      </c>
      <c r="JT13" t="s">
        <v>378</v>
      </c>
      <c r="JU13" t="s">
        <v>379</v>
      </c>
      <c r="JV13" t="s">
        <v>380</v>
      </c>
      <c r="JW13" t="s">
        <v>381</v>
      </c>
      <c r="JX13" t="s">
        <v>382</v>
      </c>
      <c r="JY13" t="s">
        <v>383</v>
      </c>
      <c r="JZ13" t="s">
        <v>384</v>
      </c>
      <c r="KA13" t="s">
        <v>385</v>
      </c>
      <c r="KB13" t="s">
        <v>386</v>
      </c>
      <c r="KC13" t="s">
        <v>387</v>
      </c>
      <c r="KD13" t="s">
        <v>388</v>
      </c>
      <c r="KE13" t="s">
        <v>389</v>
      </c>
      <c r="KF13" t="s">
        <v>390</v>
      </c>
      <c r="KG13" t="s">
        <v>391</v>
      </c>
      <c r="KH13" t="s">
        <v>392</v>
      </c>
      <c r="KI13" t="s">
        <v>393</v>
      </c>
      <c r="KJ13" t="s">
        <v>394</v>
      </c>
      <c r="KK13" t="s">
        <v>395</v>
      </c>
      <c r="KL13" t="s">
        <v>396</v>
      </c>
      <c r="KM13" t="s">
        <v>397</v>
      </c>
      <c r="KN13" t="s">
        <v>398</v>
      </c>
      <c r="KO13" t="s">
        <v>399</v>
      </c>
      <c r="KP13" t="s">
        <v>400</v>
      </c>
      <c r="KQ13" t="s">
        <v>401</v>
      </c>
      <c r="KR13" t="s">
        <v>402</v>
      </c>
      <c r="KS13" t="s">
        <v>403</v>
      </c>
      <c r="KT13" t="s">
        <v>404</v>
      </c>
      <c r="KU13" t="s">
        <v>405</v>
      </c>
      <c r="KV13" t="s">
        <v>406</v>
      </c>
      <c r="KW13" t="s">
        <v>407</v>
      </c>
      <c r="KX13" t="s">
        <v>408</v>
      </c>
      <c r="KY13" t="s">
        <v>412</v>
      </c>
      <c r="KZ13" t="s">
        <v>413</v>
      </c>
      <c r="LA13" t="s">
        <v>414</v>
      </c>
      <c r="LB13" t="s">
        <v>415</v>
      </c>
      <c r="LC13" t="s">
        <v>416</v>
      </c>
      <c r="LD13" t="s">
        <v>417</v>
      </c>
      <c r="LE13" t="s">
        <v>418</v>
      </c>
      <c r="LF13" t="s">
        <v>419</v>
      </c>
      <c r="LG13" t="s">
        <v>420</v>
      </c>
      <c r="LH13" t="s">
        <v>421</v>
      </c>
      <c r="LI13" t="s">
        <v>422</v>
      </c>
      <c r="LJ13" t="s">
        <v>423</v>
      </c>
      <c r="LK13" t="s">
        <v>424</v>
      </c>
      <c r="LL13" t="s">
        <v>425</v>
      </c>
      <c r="LM13" t="s">
        <v>426</v>
      </c>
      <c r="LN13" t="s">
        <v>427</v>
      </c>
      <c r="LO13" t="s">
        <v>428</v>
      </c>
      <c r="LP13" t="s">
        <v>429</v>
      </c>
      <c r="LQ13" t="s">
        <v>430</v>
      </c>
      <c r="LR13" t="s">
        <v>431</v>
      </c>
      <c r="LS13" t="s">
        <v>432</v>
      </c>
      <c r="LT13" t="s">
        <v>433</v>
      </c>
      <c r="LU13" t="s">
        <v>434</v>
      </c>
      <c r="LV13" t="s">
        <v>435</v>
      </c>
      <c r="LW13" t="s">
        <v>436</v>
      </c>
      <c r="LX13" t="s">
        <v>437</v>
      </c>
      <c r="LY13" t="s">
        <v>438</v>
      </c>
      <c r="LZ13" t="s">
        <v>439</v>
      </c>
      <c r="MA13" t="s">
        <v>440</v>
      </c>
      <c r="MB13" t="s">
        <v>441</v>
      </c>
      <c r="MC13" t="s">
        <v>442</v>
      </c>
      <c r="MD13" t="s">
        <v>443</v>
      </c>
      <c r="ME13" t="s">
        <v>444</v>
      </c>
      <c r="MF13" t="s">
        <v>445</v>
      </c>
      <c r="MG13" t="s">
        <v>356</v>
      </c>
      <c r="MH13" t="s">
        <v>357</v>
      </c>
      <c r="MI13" t="s">
        <v>358</v>
      </c>
      <c r="MJ13" t="s">
        <v>359</v>
      </c>
      <c r="MK13" t="s">
        <v>360</v>
      </c>
      <c r="ML13" t="s">
        <v>361</v>
      </c>
      <c r="MM13" t="s">
        <v>362</v>
      </c>
      <c r="MN13" t="s">
        <v>363</v>
      </c>
      <c r="MO13" t="s">
        <v>364</v>
      </c>
      <c r="MP13" t="s">
        <v>365</v>
      </c>
      <c r="MQ13" t="s">
        <v>366</v>
      </c>
      <c r="MR13" t="s">
        <v>367</v>
      </c>
      <c r="MS13" t="s">
        <v>368</v>
      </c>
      <c r="MT13" t="s">
        <v>369</v>
      </c>
      <c r="MU13" t="s">
        <v>370</v>
      </c>
      <c r="MV13" t="s">
        <v>371</v>
      </c>
      <c r="MW13" t="s">
        <v>372</v>
      </c>
      <c r="MX13" t="s">
        <v>373</v>
      </c>
      <c r="MY13" t="s">
        <v>374</v>
      </c>
      <c r="MZ13" t="s">
        <v>375</v>
      </c>
      <c r="NA13" t="s">
        <v>376</v>
      </c>
      <c r="NB13" t="s">
        <v>377</v>
      </c>
      <c r="NC13" t="s">
        <v>378</v>
      </c>
      <c r="ND13" t="s">
        <v>379</v>
      </c>
      <c r="NE13" t="s">
        <v>380</v>
      </c>
      <c r="NF13" t="s">
        <v>381</v>
      </c>
      <c r="NG13" t="s">
        <v>382</v>
      </c>
      <c r="NH13" t="s">
        <v>383</v>
      </c>
      <c r="NI13" t="s">
        <v>384</v>
      </c>
      <c r="NJ13" t="s">
        <v>385</v>
      </c>
      <c r="NK13" t="s">
        <v>386</v>
      </c>
      <c r="NL13" t="s">
        <v>387</v>
      </c>
      <c r="NM13" t="s">
        <v>388</v>
      </c>
      <c r="NN13" t="s">
        <v>389</v>
      </c>
      <c r="NO13" t="s">
        <v>390</v>
      </c>
      <c r="NP13" t="s">
        <v>391</v>
      </c>
      <c r="NQ13" t="s">
        <v>392</v>
      </c>
      <c r="NR13" t="s">
        <v>393</v>
      </c>
      <c r="NS13" t="s">
        <v>394</v>
      </c>
      <c r="NT13" t="s">
        <v>395</v>
      </c>
      <c r="NU13" t="s">
        <v>396</v>
      </c>
      <c r="NV13" t="s">
        <v>397</v>
      </c>
      <c r="NW13" t="s">
        <v>398</v>
      </c>
      <c r="NX13" t="s">
        <v>399</v>
      </c>
      <c r="NY13" t="s">
        <v>400</v>
      </c>
      <c r="NZ13" t="s">
        <v>401</v>
      </c>
      <c r="OA13" t="s">
        <v>402</v>
      </c>
      <c r="OB13" t="s">
        <v>403</v>
      </c>
      <c r="OC13" t="s">
        <v>404</v>
      </c>
      <c r="OD13" t="s">
        <v>405</v>
      </c>
      <c r="OE13" t="s">
        <v>406</v>
      </c>
      <c r="OF13" t="s">
        <v>407</v>
      </c>
      <c r="OG13" t="s">
        <v>408</v>
      </c>
      <c r="OH13" t="s">
        <v>412</v>
      </c>
      <c r="OI13" t="s">
        <v>413</v>
      </c>
      <c r="OJ13" t="s">
        <v>414</v>
      </c>
      <c r="OK13" t="s">
        <v>415</v>
      </c>
      <c r="OL13" t="s">
        <v>416</v>
      </c>
      <c r="OM13" t="s">
        <v>417</v>
      </c>
      <c r="ON13" t="s">
        <v>418</v>
      </c>
      <c r="OO13" t="s">
        <v>419</v>
      </c>
      <c r="OP13" t="s">
        <v>420</v>
      </c>
      <c r="OQ13" t="s">
        <v>421</v>
      </c>
      <c r="OR13" t="s">
        <v>422</v>
      </c>
      <c r="OS13" t="s">
        <v>423</v>
      </c>
      <c r="OT13" t="s">
        <v>424</v>
      </c>
      <c r="OU13" t="s">
        <v>425</v>
      </c>
      <c r="OV13" t="s">
        <v>426</v>
      </c>
      <c r="OW13" t="s">
        <v>427</v>
      </c>
      <c r="OX13" t="s">
        <v>428</v>
      </c>
      <c r="OY13" t="s">
        <v>429</v>
      </c>
      <c r="OZ13" t="s">
        <v>430</v>
      </c>
      <c r="PA13" t="s">
        <v>431</v>
      </c>
      <c r="PB13" t="s">
        <v>432</v>
      </c>
      <c r="PC13" t="s">
        <v>433</v>
      </c>
      <c r="PD13" t="s">
        <v>434</v>
      </c>
      <c r="PE13" t="s">
        <v>435</v>
      </c>
      <c r="PF13" t="s">
        <v>436</v>
      </c>
      <c r="PG13" t="s">
        <v>437</v>
      </c>
      <c r="PH13" t="s">
        <v>438</v>
      </c>
      <c r="PI13" t="s">
        <v>439</v>
      </c>
      <c r="PJ13" t="s">
        <v>440</v>
      </c>
      <c r="PK13" t="s">
        <v>441</v>
      </c>
      <c r="PL13" t="s">
        <v>442</v>
      </c>
      <c r="PM13" t="s">
        <v>443</v>
      </c>
      <c r="PN13" t="s">
        <v>444</v>
      </c>
      <c r="PO13" t="s">
        <v>445</v>
      </c>
      <c r="PP13" t="s">
        <v>356</v>
      </c>
      <c r="PQ13" t="s">
        <v>357</v>
      </c>
      <c r="PR13" t="s">
        <v>358</v>
      </c>
      <c r="PS13" t="s">
        <v>359</v>
      </c>
      <c r="PT13" t="s">
        <v>360</v>
      </c>
      <c r="PU13" t="s">
        <v>361</v>
      </c>
      <c r="PV13" t="s">
        <v>362</v>
      </c>
      <c r="PW13" t="s">
        <v>363</v>
      </c>
      <c r="PX13" t="s">
        <v>364</v>
      </c>
      <c r="PY13" t="s">
        <v>365</v>
      </c>
      <c r="PZ13" t="s">
        <v>366</v>
      </c>
      <c r="QA13" t="s">
        <v>367</v>
      </c>
      <c r="QB13" t="s">
        <v>368</v>
      </c>
      <c r="QC13" t="s">
        <v>369</v>
      </c>
      <c r="QD13" t="s">
        <v>370</v>
      </c>
      <c r="QE13" t="s">
        <v>371</v>
      </c>
      <c r="QF13" t="s">
        <v>372</v>
      </c>
      <c r="QG13" t="s">
        <v>373</v>
      </c>
      <c r="QH13" t="s">
        <v>374</v>
      </c>
      <c r="QI13" t="s">
        <v>375</v>
      </c>
      <c r="QJ13" t="s">
        <v>376</v>
      </c>
      <c r="QK13" t="s">
        <v>377</v>
      </c>
      <c r="QL13" t="s">
        <v>378</v>
      </c>
      <c r="QM13" t="s">
        <v>379</v>
      </c>
      <c r="QN13" t="s">
        <v>380</v>
      </c>
      <c r="QO13" t="s">
        <v>381</v>
      </c>
      <c r="QP13" t="s">
        <v>382</v>
      </c>
      <c r="QQ13" t="s">
        <v>383</v>
      </c>
      <c r="QR13" t="s">
        <v>384</v>
      </c>
      <c r="QS13" t="s">
        <v>385</v>
      </c>
      <c r="QT13" t="s">
        <v>386</v>
      </c>
      <c r="QU13" t="s">
        <v>387</v>
      </c>
      <c r="QV13" t="s">
        <v>388</v>
      </c>
      <c r="QW13" t="s">
        <v>389</v>
      </c>
      <c r="QX13" t="s">
        <v>390</v>
      </c>
      <c r="QY13" t="s">
        <v>391</v>
      </c>
      <c r="QZ13" t="s">
        <v>392</v>
      </c>
      <c r="RA13" t="s">
        <v>393</v>
      </c>
      <c r="RB13" t="s">
        <v>394</v>
      </c>
      <c r="RC13" t="s">
        <v>395</v>
      </c>
      <c r="RD13" t="s">
        <v>396</v>
      </c>
      <c r="RE13" t="s">
        <v>397</v>
      </c>
      <c r="RF13" t="s">
        <v>398</v>
      </c>
      <c r="RG13" t="s">
        <v>399</v>
      </c>
      <c r="RH13" t="s">
        <v>400</v>
      </c>
      <c r="RI13" t="s">
        <v>401</v>
      </c>
      <c r="RJ13" t="s">
        <v>402</v>
      </c>
      <c r="RK13" t="s">
        <v>403</v>
      </c>
      <c r="RL13" t="s">
        <v>404</v>
      </c>
      <c r="RM13" t="s">
        <v>405</v>
      </c>
      <c r="RN13" t="s">
        <v>406</v>
      </c>
      <c r="RO13" t="s">
        <v>407</v>
      </c>
      <c r="RP13" t="s">
        <v>408</v>
      </c>
      <c r="RQ13" t="s">
        <v>412</v>
      </c>
      <c r="RR13" t="s">
        <v>413</v>
      </c>
      <c r="RS13" t="s">
        <v>414</v>
      </c>
      <c r="RT13" t="s">
        <v>415</v>
      </c>
      <c r="RU13" t="s">
        <v>416</v>
      </c>
      <c r="RV13" t="s">
        <v>417</v>
      </c>
      <c r="RW13" t="s">
        <v>418</v>
      </c>
      <c r="RX13" t="s">
        <v>419</v>
      </c>
      <c r="RY13" t="s">
        <v>420</v>
      </c>
      <c r="RZ13" t="s">
        <v>421</v>
      </c>
      <c r="SA13" t="s">
        <v>422</v>
      </c>
      <c r="SB13" t="s">
        <v>423</v>
      </c>
      <c r="SC13" t="s">
        <v>424</v>
      </c>
      <c r="SD13" t="s">
        <v>425</v>
      </c>
      <c r="SE13" t="s">
        <v>426</v>
      </c>
      <c r="SF13" t="s">
        <v>427</v>
      </c>
      <c r="SG13" t="s">
        <v>428</v>
      </c>
      <c r="SH13" t="s">
        <v>429</v>
      </c>
      <c r="SI13" t="s">
        <v>430</v>
      </c>
      <c r="SJ13" t="s">
        <v>431</v>
      </c>
      <c r="SK13" t="s">
        <v>432</v>
      </c>
      <c r="SL13" t="s">
        <v>433</v>
      </c>
      <c r="SM13" t="s">
        <v>434</v>
      </c>
      <c r="SN13" t="s">
        <v>435</v>
      </c>
      <c r="SO13" t="s">
        <v>436</v>
      </c>
      <c r="SP13" t="s">
        <v>437</v>
      </c>
      <c r="SQ13" t="s">
        <v>438</v>
      </c>
      <c r="SR13" t="s">
        <v>439</v>
      </c>
      <c r="SS13" t="s">
        <v>440</v>
      </c>
      <c r="ST13" t="s">
        <v>441</v>
      </c>
      <c r="SU13" t="s">
        <v>442</v>
      </c>
      <c r="SV13" t="s">
        <v>443</v>
      </c>
      <c r="SW13" t="s">
        <v>444</v>
      </c>
      <c r="SX13" t="s">
        <v>445</v>
      </c>
      <c r="SY13" t="s">
        <v>356</v>
      </c>
      <c r="SZ13" t="s">
        <v>357</v>
      </c>
      <c r="TA13" t="s">
        <v>358</v>
      </c>
      <c r="TB13" t="s">
        <v>359</v>
      </c>
      <c r="TC13" t="s">
        <v>360</v>
      </c>
      <c r="TD13" t="s">
        <v>361</v>
      </c>
      <c r="TE13" t="s">
        <v>362</v>
      </c>
      <c r="TF13" t="s">
        <v>363</v>
      </c>
      <c r="TG13" t="s">
        <v>364</v>
      </c>
      <c r="TH13" t="s">
        <v>365</v>
      </c>
      <c r="TI13" t="s">
        <v>366</v>
      </c>
      <c r="TJ13" t="s">
        <v>367</v>
      </c>
      <c r="TK13" t="s">
        <v>368</v>
      </c>
      <c r="TL13" t="s">
        <v>369</v>
      </c>
      <c r="TM13" t="s">
        <v>370</v>
      </c>
      <c r="TN13" t="s">
        <v>371</v>
      </c>
      <c r="TO13" t="s">
        <v>372</v>
      </c>
      <c r="TP13" t="s">
        <v>373</v>
      </c>
      <c r="TQ13" t="s">
        <v>374</v>
      </c>
      <c r="TR13" t="s">
        <v>375</v>
      </c>
      <c r="TS13" t="s">
        <v>376</v>
      </c>
      <c r="TT13" t="s">
        <v>377</v>
      </c>
      <c r="TU13" t="s">
        <v>378</v>
      </c>
      <c r="TV13" t="s">
        <v>379</v>
      </c>
      <c r="TW13" t="s">
        <v>380</v>
      </c>
      <c r="TX13" t="s">
        <v>381</v>
      </c>
      <c r="TY13" t="s">
        <v>382</v>
      </c>
      <c r="TZ13" t="s">
        <v>383</v>
      </c>
      <c r="UA13" t="s">
        <v>384</v>
      </c>
      <c r="UB13" t="s">
        <v>385</v>
      </c>
      <c r="UC13" t="s">
        <v>386</v>
      </c>
      <c r="UD13" t="s">
        <v>387</v>
      </c>
      <c r="UE13" t="s">
        <v>388</v>
      </c>
      <c r="UF13" t="s">
        <v>389</v>
      </c>
      <c r="UG13" t="s">
        <v>390</v>
      </c>
      <c r="UH13" t="s">
        <v>391</v>
      </c>
      <c r="UI13" t="s">
        <v>392</v>
      </c>
      <c r="UJ13" t="s">
        <v>393</v>
      </c>
      <c r="UK13" t="s">
        <v>394</v>
      </c>
      <c r="UL13" t="s">
        <v>395</v>
      </c>
      <c r="UM13" t="s">
        <v>396</v>
      </c>
      <c r="UN13" t="s">
        <v>397</v>
      </c>
      <c r="UO13" t="s">
        <v>398</v>
      </c>
      <c r="UP13" t="s">
        <v>399</v>
      </c>
      <c r="UQ13" t="s">
        <v>400</v>
      </c>
      <c r="UR13" t="s">
        <v>401</v>
      </c>
      <c r="US13" t="s">
        <v>402</v>
      </c>
      <c r="UT13" t="s">
        <v>403</v>
      </c>
      <c r="UU13" t="s">
        <v>404</v>
      </c>
      <c r="UV13" t="s">
        <v>405</v>
      </c>
      <c r="UW13" t="s">
        <v>406</v>
      </c>
      <c r="UX13" t="s">
        <v>407</v>
      </c>
      <c r="UY13" t="s">
        <v>408</v>
      </c>
      <c r="UZ13" t="s">
        <v>412</v>
      </c>
      <c r="VA13" t="s">
        <v>413</v>
      </c>
      <c r="VB13" t="s">
        <v>414</v>
      </c>
      <c r="VC13" t="s">
        <v>415</v>
      </c>
      <c r="VD13" t="s">
        <v>416</v>
      </c>
      <c r="VE13" t="s">
        <v>417</v>
      </c>
      <c r="VF13" t="s">
        <v>418</v>
      </c>
      <c r="VG13" t="s">
        <v>419</v>
      </c>
      <c r="VH13" t="s">
        <v>420</v>
      </c>
      <c r="VI13" t="s">
        <v>421</v>
      </c>
      <c r="VJ13" t="s">
        <v>422</v>
      </c>
      <c r="VK13" t="s">
        <v>423</v>
      </c>
      <c r="VL13" t="s">
        <v>424</v>
      </c>
      <c r="VM13" t="s">
        <v>425</v>
      </c>
      <c r="VN13" t="s">
        <v>426</v>
      </c>
      <c r="VO13" t="s">
        <v>427</v>
      </c>
      <c r="VP13" t="s">
        <v>428</v>
      </c>
      <c r="VQ13" t="s">
        <v>429</v>
      </c>
      <c r="VR13" t="s">
        <v>430</v>
      </c>
      <c r="VS13" t="s">
        <v>431</v>
      </c>
      <c r="VT13" t="s">
        <v>432</v>
      </c>
      <c r="VU13" t="s">
        <v>433</v>
      </c>
      <c r="VV13" t="s">
        <v>434</v>
      </c>
      <c r="VW13" t="s">
        <v>435</v>
      </c>
      <c r="VX13" t="s">
        <v>436</v>
      </c>
      <c r="VY13" t="s">
        <v>437</v>
      </c>
      <c r="VZ13" t="s">
        <v>438</v>
      </c>
      <c r="WA13" t="s">
        <v>439</v>
      </c>
      <c r="WB13" t="s">
        <v>440</v>
      </c>
      <c r="WC13" t="s">
        <v>441</v>
      </c>
      <c r="WD13" t="s">
        <v>442</v>
      </c>
      <c r="WE13" t="s">
        <v>443</v>
      </c>
      <c r="WF13" t="s">
        <v>444</v>
      </c>
      <c r="WG13" t="s">
        <v>445</v>
      </c>
      <c r="WH13" t="s">
        <v>356</v>
      </c>
      <c r="WI13" t="s">
        <v>357</v>
      </c>
      <c r="WJ13" t="s">
        <v>358</v>
      </c>
      <c r="WK13" t="s">
        <v>359</v>
      </c>
      <c r="WL13" t="s">
        <v>360</v>
      </c>
      <c r="WM13" t="s">
        <v>361</v>
      </c>
      <c r="WN13" t="s">
        <v>362</v>
      </c>
      <c r="WO13" t="s">
        <v>363</v>
      </c>
      <c r="WP13" t="s">
        <v>364</v>
      </c>
      <c r="WQ13" t="s">
        <v>365</v>
      </c>
      <c r="WR13" t="s">
        <v>366</v>
      </c>
      <c r="WS13" t="s">
        <v>367</v>
      </c>
      <c r="WT13" t="s">
        <v>368</v>
      </c>
      <c r="WU13" t="s">
        <v>369</v>
      </c>
      <c r="WV13" t="s">
        <v>370</v>
      </c>
      <c r="WW13" t="s">
        <v>371</v>
      </c>
      <c r="WX13" t="s">
        <v>372</v>
      </c>
      <c r="WY13" t="s">
        <v>373</v>
      </c>
      <c r="WZ13" t="s">
        <v>374</v>
      </c>
      <c r="XA13" t="s">
        <v>375</v>
      </c>
      <c r="XB13" t="s">
        <v>376</v>
      </c>
      <c r="XC13" t="s">
        <v>377</v>
      </c>
      <c r="XD13" t="s">
        <v>378</v>
      </c>
      <c r="XE13" t="s">
        <v>379</v>
      </c>
      <c r="XF13" t="s">
        <v>380</v>
      </c>
      <c r="XG13" t="s">
        <v>381</v>
      </c>
      <c r="XH13" t="s">
        <v>382</v>
      </c>
      <c r="XI13" t="s">
        <v>383</v>
      </c>
      <c r="XJ13" t="s">
        <v>384</v>
      </c>
      <c r="XK13" t="s">
        <v>385</v>
      </c>
      <c r="XL13" t="s">
        <v>386</v>
      </c>
      <c r="XM13" t="s">
        <v>387</v>
      </c>
      <c r="XN13" t="s">
        <v>388</v>
      </c>
      <c r="XO13" t="s">
        <v>389</v>
      </c>
      <c r="XP13" t="s">
        <v>390</v>
      </c>
      <c r="XQ13" t="s">
        <v>391</v>
      </c>
      <c r="XR13" t="s">
        <v>392</v>
      </c>
      <c r="XS13" t="s">
        <v>393</v>
      </c>
      <c r="XT13" t="s">
        <v>394</v>
      </c>
      <c r="XU13" t="s">
        <v>395</v>
      </c>
      <c r="XV13" t="s">
        <v>396</v>
      </c>
      <c r="XW13" t="s">
        <v>397</v>
      </c>
      <c r="XX13" t="s">
        <v>398</v>
      </c>
      <c r="XY13" t="s">
        <v>399</v>
      </c>
      <c r="XZ13" t="s">
        <v>400</v>
      </c>
      <c r="YA13" t="s">
        <v>401</v>
      </c>
      <c r="YB13" t="s">
        <v>402</v>
      </c>
      <c r="YC13" t="s">
        <v>403</v>
      </c>
      <c r="YD13" t="s">
        <v>404</v>
      </c>
      <c r="YE13" t="s">
        <v>405</v>
      </c>
      <c r="YF13" t="s">
        <v>406</v>
      </c>
      <c r="YG13" t="s">
        <v>407</v>
      </c>
      <c r="YH13" t="s">
        <v>408</v>
      </c>
      <c r="YI13" t="s">
        <v>412</v>
      </c>
      <c r="YJ13" t="s">
        <v>413</v>
      </c>
      <c r="YK13" t="s">
        <v>414</v>
      </c>
      <c r="YL13" t="s">
        <v>415</v>
      </c>
      <c r="YM13" t="s">
        <v>416</v>
      </c>
      <c r="YN13" t="s">
        <v>417</v>
      </c>
      <c r="YO13" t="s">
        <v>418</v>
      </c>
      <c r="YP13" t="s">
        <v>419</v>
      </c>
      <c r="YQ13" t="s">
        <v>420</v>
      </c>
      <c r="YR13" t="s">
        <v>421</v>
      </c>
      <c r="YS13" t="s">
        <v>422</v>
      </c>
      <c r="YT13" t="s">
        <v>423</v>
      </c>
      <c r="YU13" t="s">
        <v>424</v>
      </c>
      <c r="YV13" t="s">
        <v>425</v>
      </c>
      <c r="YW13" t="s">
        <v>426</v>
      </c>
      <c r="YX13" t="s">
        <v>427</v>
      </c>
      <c r="YY13" t="s">
        <v>428</v>
      </c>
      <c r="YZ13" t="s">
        <v>429</v>
      </c>
      <c r="ZA13" t="s">
        <v>430</v>
      </c>
      <c r="ZB13" t="s">
        <v>431</v>
      </c>
      <c r="ZC13" t="s">
        <v>432</v>
      </c>
      <c r="ZD13" t="s">
        <v>433</v>
      </c>
      <c r="ZE13" t="s">
        <v>434</v>
      </c>
      <c r="ZF13" t="s">
        <v>435</v>
      </c>
      <c r="ZG13" t="s">
        <v>436</v>
      </c>
      <c r="ZH13" t="s">
        <v>437</v>
      </c>
      <c r="ZI13" t="s">
        <v>438</v>
      </c>
      <c r="ZJ13" t="s">
        <v>439</v>
      </c>
      <c r="ZK13" t="s">
        <v>440</v>
      </c>
      <c r="ZL13" t="s">
        <v>441</v>
      </c>
      <c r="ZM13" t="s">
        <v>442</v>
      </c>
      <c r="ZN13" t="s">
        <v>443</v>
      </c>
      <c r="ZO13" t="s">
        <v>444</v>
      </c>
      <c r="ZP13" t="s">
        <v>445</v>
      </c>
      <c r="ZQ13" t="s">
        <v>356</v>
      </c>
      <c r="ZR13" t="s">
        <v>357</v>
      </c>
      <c r="ZS13" t="s">
        <v>358</v>
      </c>
      <c r="ZT13" t="s">
        <v>359</v>
      </c>
      <c r="ZU13" t="s">
        <v>360</v>
      </c>
      <c r="ZV13" t="s">
        <v>361</v>
      </c>
      <c r="ZW13" t="s">
        <v>362</v>
      </c>
      <c r="ZX13" t="s">
        <v>363</v>
      </c>
      <c r="ZY13" t="s">
        <v>364</v>
      </c>
      <c r="ZZ13" t="s">
        <v>365</v>
      </c>
      <c r="AAA13" t="s">
        <v>366</v>
      </c>
      <c r="AAB13" t="s">
        <v>367</v>
      </c>
      <c r="AAC13" t="s">
        <v>368</v>
      </c>
      <c r="AAD13" t="s">
        <v>369</v>
      </c>
      <c r="AAE13" t="s">
        <v>370</v>
      </c>
      <c r="AAF13" t="s">
        <v>371</v>
      </c>
      <c r="AAG13" t="s">
        <v>372</v>
      </c>
      <c r="AAH13" t="s">
        <v>373</v>
      </c>
      <c r="AAI13" t="s">
        <v>374</v>
      </c>
      <c r="AAJ13" t="s">
        <v>375</v>
      </c>
      <c r="AAK13" t="s">
        <v>376</v>
      </c>
      <c r="AAL13" t="s">
        <v>377</v>
      </c>
      <c r="AAM13" t="s">
        <v>378</v>
      </c>
      <c r="AAN13" t="s">
        <v>379</v>
      </c>
      <c r="AAO13" t="s">
        <v>380</v>
      </c>
      <c r="AAP13" t="s">
        <v>381</v>
      </c>
      <c r="AAQ13" t="s">
        <v>382</v>
      </c>
      <c r="AAR13" t="s">
        <v>383</v>
      </c>
      <c r="AAS13" t="s">
        <v>384</v>
      </c>
      <c r="AAT13" t="s">
        <v>385</v>
      </c>
      <c r="AAU13" t="s">
        <v>386</v>
      </c>
      <c r="AAV13" t="s">
        <v>387</v>
      </c>
      <c r="AAW13" t="s">
        <v>388</v>
      </c>
      <c r="AAX13" t="s">
        <v>389</v>
      </c>
      <c r="AAY13" t="s">
        <v>390</v>
      </c>
      <c r="AAZ13" t="s">
        <v>391</v>
      </c>
      <c r="ABA13" t="s">
        <v>392</v>
      </c>
      <c r="ABB13" t="s">
        <v>393</v>
      </c>
      <c r="ABC13" t="s">
        <v>394</v>
      </c>
      <c r="ABD13" t="s">
        <v>395</v>
      </c>
      <c r="ABE13" t="s">
        <v>396</v>
      </c>
      <c r="ABF13" t="s">
        <v>397</v>
      </c>
      <c r="ABG13" t="s">
        <v>398</v>
      </c>
      <c r="ABH13" t="s">
        <v>399</v>
      </c>
      <c r="ABI13" t="s">
        <v>400</v>
      </c>
      <c r="ABJ13" t="s">
        <v>401</v>
      </c>
      <c r="ABK13" t="s">
        <v>402</v>
      </c>
      <c r="ABL13" t="s">
        <v>403</v>
      </c>
      <c r="ABM13" t="s">
        <v>404</v>
      </c>
      <c r="ABN13" t="s">
        <v>405</v>
      </c>
      <c r="ABO13" t="s">
        <v>406</v>
      </c>
      <c r="ABP13" t="s">
        <v>407</v>
      </c>
      <c r="ABQ13" t="s">
        <v>408</v>
      </c>
      <c r="ACZ13" t="s">
        <v>356</v>
      </c>
      <c r="ADA13" t="s">
        <v>357</v>
      </c>
      <c r="ADB13" t="s">
        <v>358</v>
      </c>
      <c r="ADC13" t="s">
        <v>359</v>
      </c>
      <c r="ADD13" t="s">
        <v>360</v>
      </c>
      <c r="ADE13" t="s">
        <v>361</v>
      </c>
      <c r="ADF13" t="s">
        <v>362</v>
      </c>
      <c r="ADG13" t="s">
        <v>363</v>
      </c>
      <c r="ADH13" t="s">
        <v>364</v>
      </c>
      <c r="ADI13" t="s">
        <v>365</v>
      </c>
      <c r="ADJ13" t="s">
        <v>366</v>
      </c>
      <c r="ADK13" t="s">
        <v>367</v>
      </c>
      <c r="ADL13" t="s">
        <v>368</v>
      </c>
      <c r="ADM13" t="s">
        <v>369</v>
      </c>
      <c r="ADN13" t="s">
        <v>370</v>
      </c>
      <c r="ADO13" t="s">
        <v>371</v>
      </c>
      <c r="ADP13" t="s">
        <v>372</v>
      </c>
      <c r="ADQ13" t="s">
        <v>373</v>
      </c>
      <c r="ADR13" t="s">
        <v>374</v>
      </c>
      <c r="ADS13" t="s">
        <v>375</v>
      </c>
      <c r="ADT13" t="s">
        <v>376</v>
      </c>
      <c r="ADU13" t="s">
        <v>377</v>
      </c>
      <c r="ADV13" t="s">
        <v>378</v>
      </c>
      <c r="ADW13" t="s">
        <v>379</v>
      </c>
      <c r="ADX13" t="s">
        <v>380</v>
      </c>
      <c r="ADY13" t="s">
        <v>381</v>
      </c>
      <c r="ADZ13" t="s">
        <v>382</v>
      </c>
      <c r="AEA13" t="s">
        <v>383</v>
      </c>
      <c r="AEB13" t="s">
        <v>384</v>
      </c>
      <c r="AEC13" t="s">
        <v>385</v>
      </c>
      <c r="AED13" t="s">
        <v>386</v>
      </c>
      <c r="AEE13" t="s">
        <v>387</v>
      </c>
      <c r="AEF13" t="s">
        <v>388</v>
      </c>
      <c r="AEG13" t="s">
        <v>389</v>
      </c>
      <c r="AEH13" t="s">
        <v>390</v>
      </c>
      <c r="AEI13" t="s">
        <v>391</v>
      </c>
      <c r="AEJ13" t="s">
        <v>392</v>
      </c>
      <c r="AEK13" t="s">
        <v>393</v>
      </c>
      <c r="AEL13" t="s">
        <v>394</v>
      </c>
      <c r="AEM13" t="s">
        <v>395</v>
      </c>
      <c r="AEN13" t="s">
        <v>396</v>
      </c>
      <c r="AEO13" t="s">
        <v>397</v>
      </c>
      <c r="AEP13" t="s">
        <v>398</v>
      </c>
      <c r="AEQ13" t="s">
        <v>399</v>
      </c>
      <c r="AER13" t="s">
        <v>400</v>
      </c>
      <c r="AES13" t="s">
        <v>401</v>
      </c>
      <c r="AET13" t="s">
        <v>402</v>
      </c>
      <c r="AEU13" t="s">
        <v>403</v>
      </c>
      <c r="AEV13" t="s">
        <v>404</v>
      </c>
      <c r="AEW13" t="s">
        <v>405</v>
      </c>
      <c r="AEX13" t="s">
        <v>406</v>
      </c>
      <c r="AEY13" t="s">
        <v>407</v>
      </c>
      <c r="AEZ13" t="s">
        <v>408</v>
      </c>
      <c r="AGI13" t="s">
        <v>356</v>
      </c>
      <c r="AGJ13" t="s">
        <v>357</v>
      </c>
      <c r="AGK13" t="s">
        <v>358</v>
      </c>
      <c r="AGL13" t="s">
        <v>359</v>
      </c>
      <c r="AGM13" t="s">
        <v>360</v>
      </c>
      <c r="AGN13" t="s">
        <v>361</v>
      </c>
      <c r="AGO13" t="s">
        <v>362</v>
      </c>
      <c r="AGP13" t="s">
        <v>363</v>
      </c>
      <c r="AGQ13" t="s">
        <v>364</v>
      </c>
      <c r="AGR13" t="s">
        <v>365</v>
      </c>
      <c r="AGS13" t="s">
        <v>366</v>
      </c>
      <c r="AGT13" t="s">
        <v>367</v>
      </c>
      <c r="AGU13" t="s">
        <v>368</v>
      </c>
      <c r="AGV13" t="s">
        <v>369</v>
      </c>
      <c r="AGW13" t="s">
        <v>370</v>
      </c>
      <c r="AGX13" t="s">
        <v>371</v>
      </c>
      <c r="AGY13" t="s">
        <v>372</v>
      </c>
      <c r="AGZ13" t="s">
        <v>373</v>
      </c>
      <c r="AHA13" t="s">
        <v>374</v>
      </c>
      <c r="AHB13" t="s">
        <v>375</v>
      </c>
      <c r="AHC13" t="s">
        <v>376</v>
      </c>
      <c r="AHD13" t="s">
        <v>377</v>
      </c>
      <c r="AHE13" t="s">
        <v>378</v>
      </c>
      <c r="AHF13" t="s">
        <v>379</v>
      </c>
      <c r="AHG13" t="s">
        <v>380</v>
      </c>
      <c r="AHH13" t="s">
        <v>381</v>
      </c>
      <c r="AHI13" t="s">
        <v>382</v>
      </c>
      <c r="AHJ13" t="s">
        <v>383</v>
      </c>
      <c r="AHK13" t="s">
        <v>384</v>
      </c>
      <c r="AHL13" t="s">
        <v>385</v>
      </c>
      <c r="AHM13" t="s">
        <v>386</v>
      </c>
      <c r="AHN13" t="s">
        <v>387</v>
      </c>
      <c r="AHO13" t="s">
        <v>388</v>
      </c>
      <c r="AHP13" t="s">
        <v>389</v>
      </c>
      <c r="AHQ13" t="s">
        <v>390</v>
      </c>
      <c r="AHR13" t="s">
        <v>391</v>
      </c>
      <c r="AHS13" t="s">
        <v>392</v>
      </c>
      <c r="AHT13" t="s">
        <v>393</v>
      </c>
      <c r="AHU13" t="s">
        <v>394</v>
      </c>
      <c r="AHV13" t="s">
        <v>395</v>
      </c>
      <c r="AHW13" t="s">
        <v>396</v>
      </c>
      <c r="AHX13" t="s">
        <v>397</v>
      </c>
      <c r="AHY13" t="s">
        <v>398</v>
      </c>
      <c r="AHZ13" t="s">
        <v>399</v>
      </c>
      <c r="AIA13" t="s">
        <v>400</v>
      </c>
      <c r="AIB13" t="s">
        <v>401</v>
      </c>
      <c r="AIC13" t="s">
        <v>402</v>
      </c>
      <c r="AID13" t="s">
        <v>403</v>
      </c>
      <c r="AIE13" t="s">
        <v>404</v>
      </c>
      <c r="AIF13" t="s">
        <v>405</v>
      </c>
      <c r="AIG13" t="s">
        <v>406</v>
      </c>
      <c r="AIH13" t="s">
        <v>407</v>
      </c>
      <c r="AII13" t="s">
        <v>408</v>
      </c>
      <c r="AJR13" t="s">
        <v>31</v>
      </c>
      <c r="AJS13" t="s">
        <v>31</v>
      </c>
      <c r="AJT13" t="s">
        <v>31</v>
      </c>
      <c r="AJU13" t="s">
        <v>31</v>
      </c>
      <c r="AJV13" t="s">
        <v>31</v>
      </c>
      <c r="AJW13" t="s">
        <v>31</v>
      </c>
      <c r="AJX13" t="s">
        <v>31</v>
      </c>
      <c r="AJY13" t="s">
        <v>31</v>
      </c>
      <c r="AJZ13" t="s">
        <v>31</v>
      </c>
      <c r="AKA13" t="s">
        <v>492</v>
      </c>
      <c r="AKB13" t="s">
        <v>492</v>
      </c>
      <c r="AKC13" t="s">
        <v>492</v>
      </c>
      <c r="AKD13" t="s">
        <v>492</v>
      </c>
      <c r="AKE13" t="s">
        <v>492</v>
      </c>
      <c r="AKF13" t="s">
        <v>492</v>
      </c>
      <c r="AKG13" t="s">
        <v>492</v>
      </c>
      <c r="AKH13" t="s">
        <v>501</v>
      </c>
      <c r="AKI13" t="s">
        <v>501</v>
      </c>
      <c r="AKJ13" t="s">
        <v>547</v>
      </c>
      <c r="AKK13" t="s">
        <v>547</v>
      </c>
      <c r="AKL13" t="s">
        <v>547</v>
      </c>
      <c r="AKM13" t="s">
        <v>547</v>
      </c>
    </row>
    <row r="14" spans="1:985" ht="14.4" customHeight="1" x14ac:dyDescent="0.55000000000000004">
      <c r="A14" t="s">
        <v>353</v>
      </c>
      <c r="B14" t="s">
        <v>521</v>
      </c>
      <c r="C14" s="1" t="s">
        <v>353</v>
      </c>
      <c r="D14" t="s">
        <v>38</v>
      </c>
      <c r="E14" t="s">
        <v>38</v>
      </c>
      <c r="F14" t="s">
        <v>38</v>
      </c>
      <c r="G14" t="s">
        <v>38</v>
      </c>
      <c r="H14" t="s">
        <v>38</v>
      </c>
      <c r="I14" t="s">
        <v>38</v>
      </c>
      <c r="J14" t="s">
        <v>38</v>
      </c>
      <c r="K14" t="s">
        <v>38</v>
      </c>
      <c r="L14" t="s">
        <v>38</v>
      </c>
      <c r="M14" t="s">
        <v>38</v>
      </c>
      <c r="N14" t="s">
        <v>38</v>
      </c>
      <c r="O14" t="s">
        <v>38</v>
      </c>
      <c r="P14" t="s">
        <v>38</v>
      </c>
      <c r="Q14" t="s">
        <v>38</v>
      </c>
      <c r="R14" t="s">
        <v>38</v>
      </c>
      <c r="S14" t="s">
        <v>38</v>
      </c>
      <c r="T14" t="s">
        <v>38</v>
      </c>
      <c r="U14" t="s">
        <v>38</v>
      </c>
      <c r="V14" t="s">
        <v>38</v>
      </c>
      <c r="W14" t="s">
        <v>38</v>
      </c>
      <c r="X14" t="s">
        <v>38</v>
      </c>
      <c r="Y14" t="s">
        <v>38</v>
      </c>
      <c r="Z14" t="s">
        <v>38</v>
      </c>
      <c r="AA14" t="s">
        <v>38</v>
      </c>
      <c r="AB14" t="s">
        <v>38</v>
      </c>
      <c r="AC14" t="s">
        <v>38</v>
      </c>
      <c r="AD14" t="s">
        <v>38</v>
      </c>
      <c r="AE14" t="s">
        <v>38</v>
      </c>
      <c r="AF14" t="s">
        <v>38</v>
      </c>
      <c r="AG14" t="s">
        <v>38</v>
      </c>
      <c r="AH14" t="s">
        <v>38</v>
      </c>
      <c r="AI14" t="s">
        <v>38</v>
      </c>
      <c r="AJ14" t="s">
        <v>38</v>
      </c>
      <c r="AK14" t="s">
        <v>38</v>
      </c>
      <c r="AL14" t="s">
        <v>38</v>
      </c>
      <c r="AM14" t="s">
        <v>38</v>
      </c>
      <c r="AN14" t="s">
        <v>38</v>
      </c>
      <c r="AO14" t="s">
        <v>38</v>
      </c>
      <c r="AP14" t="s">
        <v>38</v>
      </c>
      <c r="AQ14" t="s">
        <v>38</v>
      </c>
      <c r="AR14" t="s">
        <v>38</v>
      </c>
      <c r="AS14" t="s">
        <v>38</v>
      </c>
      <c r="AT14" t="s">
        <v>38</v>
      </c>
      <c r="AU14" t="s">
        <v>38</v>
      </c>
      <c r="AV14" t="s">
        <v>38</v>
      </c>
      <c r="AW14" t="s">
        <v>38</v>
      </c>
      <c r="AX14" t="s">
        <v>38</v>
      </c>
      <c r="AY14" t="s">
        <v>38</v>
      </c>
      <c r="AZ14" t="s">
        <v>38</v>
      </c>
      <c r="BA14" t="s">
        <v>38</v>
      </c>
      <c r="BB14" t="s">
        <v>38</v>
      </c>
      <c r="BC14" t="s">
        <v>38</v>
      </c>
      <c r="BD14" t="s">
        <v>38</v>
      </c>
      <c r="BE14" t="s">
        <v>38</v>
      </c>
      <c r="BF14" t="s">
        <v>38</v>
      </c>
      <c r="BG14" t="s">
        <v>56</v>
      </c>
      <c r="BH14" t="s">
        <v>56</v>
      </c>
      <c r="BI14" t="s">
        <v>56</v>
      </c>
      <c r="BJ14" t="s">
        <v>56</v>
      </c>
      <c r="BK14" t="s">
        <v>56</v>
      </c>
      <c r="BL14" t="s">
        <v>56</v>
      </c>
      <c r="BM14" t="s">
        <v>56</v>
      </c>
      <c r="BN14" t="s">
        <v>56</v>
      </c>
      <c r="BO14" t="s">
        <v>56</v>
      </c>
      <c r="BP14" t="s">
        <v>56</v>
      </c>
      <c r="BQ14" t="s">
        <v>68</v>
      </c>
      <c r="BR14" t="s">
        <v>68</v>
      </c>
      <c r="BS14" t="s">
        <v>68</v>
      </c>
      <c r="BT14" t="s">
        <v>68</v>
      </c>
      <c r="BU14" t="s">
        <v>68</v>
      </c>
      <c r="BV14" t="s">
        <v>68</v>
      </c>
      <c r="BW14" t="s">
        <v>68</v>
      </c>
      <c r="BX14" t="s">
        <v>68</v>
      </c>
      <c r="BY14" t="s">
        <v>68</v>
      </c>
      <c r="BZ14" t="s">
        <v>68</v>
      </c>
      <c r="CA14" t="s">
        <v>92</v>
      </c>
      <c r="CB14" t="s">
        <v>92</v>
      </c>
      <c r="CC14" t="s">
        <v>92</v>
      </c>
      <c r="CD14" t="s">
        <v>92</v>
      </c>
      <c r="CE14" t="s">
        <v>92</v>
      </c>
      <c r="CF14" t="s">
        <v>92</v>
      </c>
      <c r="CG14" t="s">
        <v>92</v>
      </c>
      <c r="CH14" t="s">
        <v>92</v>
      </c>
      <c r="CI14" t="s">
        <v>92</v>
      </c>
      <c r="CJ14" t="s">
        <v>92</v>
      </c>
      <c r="CK14" t="s">
        <v>92</v>
      </c>
      <c r="CL14" t="s">
        <v>92</v>
      </c>
      <c r="CM14" t="s">
        <v>92</v>
      </c>
      <c r="CN14" t="s">
        <v>92</v>
      </c>
      <c r="CO14" t="s">
        <v>92</v>
      </c>
      <c r="CP14" t="s">
        <v>92</v>
      </c>
      <c r="CQ14" t="s">
        <v>92</v>
      </c>
      <c r="CR14" t="s">
        <v>92</v>
      </c>
      <c r="CS14" t="s">
        <v>92</v>
      </c>
      <c r="CT14" t="s">
        <v>92</v>
      </c>
      <c r="CU14" t="s">
        <v>92</v>
      </c>
      <c r="CV14" t="s">
        <v>92</v>
      </c>
      <c r="CW14" t="s">
        <v>92</v>
      </c>
      <c r="CX14" t="s">
        <v>92</v>
      </c>
      <c r="CY14" t="s">
        <v>92</v>
      </c>
      <c r="CZ14" t="s">
        <v>92</v>
      </c>
      <c r="DA14" t="s">
        <v>92</v>
      </c>
      <c r="DB14" t="s">
        <v>92</v>
      </c>
      <c r="DC14" t="s">
        <v>92</v>
      </c>
      <c r="DD14" t="s">
        <v>92</v>
      </c>
      <c r="DE14" t="s">
        <v>92</v>
      </c>
      <c r="DF14" t="s">
        <v>92</v>
      </c>
      <c r="DG14" t="s">
        <v>92</v>
      </c>
      <c r="DH14" t="s">
        <v>92</v>
      </c>
      <c r="DI14" t="s">
        <v>92</v>
      </c>
      <c r="DJ14" t="s">
        <v>92</v>
      </c>
      <c r="DK14" t="s">
        <v>92</v>
      </c>
      <c r="DL14" t="s">
        <v>92</v>
      </c>
      <c r="DM14" t="s">
        <v>92</v>
      </c>
      <c r="DN14" t="s">
        <v>92</v>
      </c>
      <c r="DO14" t="s">
        <v>92</v>
      </c>
      <c r="DP14" t="s">
        <v>92</v>
      </c>
      <c r="DQ14" t="s">
        <v>92</v>
      </c>
      <c r="DR14" t="s">
        <v>92</v>
      </c>
      <c r="DS14" t="s">
        <v>92</v>
      </c>
      <c r="DT14" t="s">
        <v>92</v>
      </c>
      <c r="DU14" t="s">
        <v>92</v>
      </c>
      <c r="DV14" t="s">
        <v>92</v>
      </c>
      <c r="DW14" t="s">
        <v>92</v>
      </c>
      <c r="DX14" t="s">
        <v>92</v>
      </c>
      <c r="DY14" t="s">
        <v>92</v>
      </c>
      <c r="DZ14" t="s">
        <v>92</v>
      </c>
      <c r="EA14" t="s">
        <v>92</v>
      </c>
      <c r="EB14" t="s">
        <v>92</v>
      </c>
      <c r="EC14" t="s">
        <v>92</v>
      </c>
      <c r="ED14" t="s">
        <v>92</v>
      </c>
      <c r="EE14" t="s">
        <v>92</v>
      </c>
      <c r="EF14" t="s">
        <v>92</v>
      </c>
      <c r="EG14" t="s">
        <v>92</v>
      </c>
      <c r="EH14" t="s">
        <v>92</v>
      </c>
      <c r="EI14" t="s">
        <v>92</v>
      </c>
      <c r="EJ14" t="s">
        <v>92</v>
      </c>
      <c r="EK14" t="s">
        <v>92</v>
      </c>
      <c r="EL14" t="s">
        <v>92</v>
      </c>
      <c r="EM14" t="s">
        <v>92</v>
      </c>
      <c r="EN14" t="s">
        <v>92</v>
      </c>
      <c r="EO14" t="s">
        <v>92</v>
      </c>
      <c r="EP14" t="s">
        <v>92</v>
      </c>
      <c r="EQ14" t="s">
        <v>92</v>
      </c>
      <c r="ER14" t="s">
        <v>92</v>
      </c>
      <c r="ES14" t="s">
        <v>92</v>
      </c>
      <c r="ET14" t="s">
        <v>92</v>
      </c>
      <c r="EU14" t="s">
        <v>92</v>
      </c>
      <c r="EV14" t="s">
        <v>92</v>
      </c>
      <c r="EW14" t="s">
        <v>92</v>
      </c>
      <c r="EX14" t="s">
        <v>92</v>
      </c>
      <c r="EY14" t="s">
        <v>92</v>
      </c>
      <c r="EZ14" t="s">
        <v>92</v>
      </c>
      <c r="FA14" t="s">
        <v>92</v>
      </c>
      <c r="FB14" t="s">
        <v>92</v>
      </c>
      <c r="FC14" t="s">
        <v>92</v>
      </c>
      <c r="FD14" t="s">
        <v>92</v>
      </c>
      <c r="FE14" t="s">
        <v>92</v>
      </c>
      <c r="FF14" t="s">
        <v>92</v>
      </c>
      <c r="FG14" t="s">
        <v>92</v>
      </c>
      <c r="FH14" t="s">
        <v>92</v>
      </c>
      <c r="FI14" t="s">
        <v>92</v>
      </c>
      <c r="FJ14" t="s">
        <v>92</v>
      </c>
      <c r="FK14" t="s">
        <v>92</v>
      </c>
      <c r="FL14" t="s">
        <v>92</v>
      </c>
      <c r="FM14" t="s">
        <v>92</v>
      </c>
      <c r="FN14" t="s">
        <v>92</v>
      </c>
      <c r="FO14" t="s">
        <v>92</v>
      </c>
      <c r="FP14" t="s">
        <v>92</v>
      </c>
      <c r="FQ14" t="s">
        <v>92</v>
      </c>
      <c r="FR14" t="s">
        <v>92</v>
      </c>
      <c r="FS14" t="s">
        <v>92</v>
      </c>
      <c r="FT14" t="s">
        <v>92</v>
      </c>
      <c r="FU14" t="s">
        <v>92</v>
      </c>
      <c r="FV14" t="s">
        <v>92</v>
      </c>
      <c r="FW14" t="s">
        <v>92</v>
      </c>
      <c r="FX14" t="s">
        <v>92</v>
      </c>
      <c r="FY14" t="s">
        <v>92</v>
      </c>
      <c r="FZ14" t="s">
        <v>92</v>
      </c>
      <c r="GA14" t="s">
        <v>92</v>
      </c>
      <c r="GB14" t="s">
        <v>92</v>
      </c>
      <c r="GC14" t="s">
        <v>92</v>
      </c>
      <c r="GD14" t="s">
        <v>92</v>
      </c>
      <c r="GE14" t="s">
        <v>92</v>
      </c>
      <c r="GF14" t="s">
        <v>92</v>
      </c>
      <c r="GG14" t="s">
        <v>92</v>
      </c>
      <c r="GH14" t="s">
        <v>92</v>
      </c>
      <c r="GI14" t="s">
        <v>92</v>
      </c>
      <c r="GJ14" t="s">
        <v>92</v>
      </c>
      <c r="GK14" t="s">
        <v>92</v>
      </c>
      <c r="GL14" t="s">
        <v>92</v>
      </c>
      <c r="GM14" t="s">
        <v>92</v>
      </c>
      <c r="GN14" t="s">
        <v>92</v>
      </c>
      <c r="GO14" t="s">
        <v>92</v>
      </c>
      <c r="GP14" t="s">
        <v>92</v>
      </c>
      <c r="GQ14" t="s">
        <v>92</v>
      </c>
      <c r="GR14" t="s">
        <v>92</v>
      </c>
      <c r="GS14" t="s">
        <v>92</v>
      </c>
      <c r="GT14" t="s">
        <v>92</v>
      </c>
      <c r="GU14" t="s">
        <v>92</v>
      </c>
      <c r="GV14" t="s">
        <v>92</v>
      </c>
      <c r="GW14" t="s">
        <v>92</v>
      </c>
      <c r="GX14" t="s">
        <v>92</v>
      </c>
      <c r="GY14" t="s">
        <v>92</v>
      </c>
      <c r="GZ14" t="s">
        <v>92</v>
      </c>
      <c r="HA14" t="s">
        <v>92</v>
      </c>
      <c r="HB14" t="s">
        <v>92</v>
      </c>
      <c r="HC14" t="s">
        <v>92</v>
      </c>
      <c r="HD14" t="s">
        <v>92</v>
      </c>
      <c r="HE14" t="s">
        <v>92</v>
      </c>
      <c r="HF14" t="s">
        <v>92</v>
      </c>
      <c r="HG14" t="s">
        <v>92</v>
      </c>
      <c r="HH14" t="s">
        <v>92</v>
      </c>
      <c r="HI14" t="s">
        <v>92</v>
      </c>
      <c r="HJ14" t="s">
        <v>92</v>
      </c>
      <c r="HK14" t="s">
        <v>92</v>
      </c>
      <c r="HL14" t="s">
        <v>92</v>
      </c>
      <c r="HM14" t="s">
        <v>92</v>
      </c>
      <c r="HN14" t="s">
        <v>92</v>
      </c>
      <c r="HO14" t="s">
        <v>92</v>
      </c>
      <c r="HP14" t="s">
        <v>92</v>
      </c>
      <c r="HQ14" t="s">
        <v>92</v>
      </c>
      <c r="HR14" t="s">
        <v>92</v>
      </c>
      <c r="HS14" t="s">
        <v>92</v>
      </c>
      <c r="HT14" t="s">
        <v>92</v>
      </c>
      <c r="HU14" t="s">
        <v>92</v>
      </c>
      <c r="HV14" t="s">
        <v>92</v>
      </c>
      <c r="HW14" t="s">
        <v>92</v>
      </c>
      <c r="HX14" t="s">
        <v>92</v>
      </c>
      <c r="HY14" t="s">
        <v>92</v>
      </c>
      <c r="HZ14" t="s">
        <v>92</v>
      </c>
      <c r="IA14" t="s">
        <v>92</v>
      </c>
      <c r="IB14" t="s">
        <v>92</v>
      </c>
      <c r="IC14" t="s">
        <v>92</v>
      </c>
      <c r="ID14" t="s">
        <v>92</v>
      </c>
      <c r="IE14" t="s">
        <v>92</v>
      </c>
      <c r="IF14" t="s">
        <v>92</v>
      </c>
      <c r="IG14" t="s">
        <v>92</v>
      </c>
      <c r="IH14" t="s">
        <v>92</v>
      </c>
      <c r="II14" t="s">
        <v>92</v>
      </c>
      <c r="IJ14" t="s">
        <v>92</v>
      </c>
      <c r="IK14" t="s">
        <v>92</v>
      </c>
      <c r="IL14" t="s">
        <v>92</v>
      </c>
      <c r="IM14" t="s">
        <v>92</v>
      </c>
      <c r="IN14" t="s">
        <v>92</v>
      </c>
      <c r="IO14" t="s">
        <v>92</v>
      </c>
      <c r="IP14" t="s">
        <v>92</v>
      </c>
      <c r="IQ14" t="s">
        <v>92</v>
      </c>
      <c r="IR14" t="s">
        <v>92</v>
      </c>
      <c r="IS14" t="s">
        <v>92</v>
      </c>
      <c r="IT14" t="s">
        <v>92</v>
      </c>
      <c r="IU14" t="s">
        <v>92</v>
      </c>
      <c r="IV14" t="s">
        <v>92</v>
      </c>
      <c r="IW14" t="s">
        <v>92</v>
      </c>
      <c r="IX14" t="s">
        <v>92</v>
      </c>
      <c r="IY14" t="s">
        <v>92</v>
      </c>
      <c r="IZ14" t="s">
        <v>92</v>
      </c>
      <c r="JA14" t="s">
        <v>92</v>
      </c>
      <c r="JB14" t="s">
        <v>92</v>
      </c>
      <c r="JC14" t="s">
        <v>92</v>
      </c>
      <c r="JD14" t="s">
        <v>92</v>
      </c>
      <c r="JE14" t="s">
        <v>92</v>
      </c>
      <c r="JF14" t="s">
        <v>92</v>
      </c>
      <c r="JG14" t="s">
        <v>92</v>
      </c>
      <c r="JH14" t="s">
        <v>92</v>
      </c>
      <c r="JI14" t="s">
        <v>92</v>
      </c>
      <c r="JJ14" t="s">
        <v>92</v>
      </c>
      <c r="JK14" t="s">
        <v>92</v>
      </c>
      <c r="JL14" t="s">
        <v>92</v>
      </c>
      <c r="JM14" t="s">
        <v>92</v>
      </c>
      <c r="JN14" t="s">
        <v>92</v>
      </c>
      <c r="JO14" t="s">
        <v>92</v>
      </c>
      <c r="JP14" t="s">
        <v>92</v>
      </c>
      <c r="JQ14" t="s">
        <v>92</v>
      </c>
      <c r="JR14" t="s">
        <v>92</v>
      </c>
      <c r="JS14" t="s">
        <v>92</v>
      </c>
      <c r="JT14" t="s">
        <v>92</v>
      </c>
      <c r="JU14" t="s">
        <v>92</v>
      </c>
      <c r="JV14" t="s">
        <v>92</v>
      </c>
      <c r="JW14" t="s">
        <v>92</v>
      </c>
      <c r="JX14" t="s">
        <v>92</v>
      </c>
      <c r="JY14" t="s">
        <v>92</v>
      </c>
      <c r="JZ14" t="s">
        <v>92</v>
      </c>
      <c r="KA14" t="s">
        <v>92</v>
      </c>
      <c r="KB14" t="s">
        <v>92</v>
      </c>
      <c r="KC14" t="s">
        <v>92</v>
      </c>
      <c r="KD14" t="s">
        <v>92</v>
      </c>
      <c r="KE14" t="s">
        <v>92</v>
      </c>
      <c r="KF14" t="s">
        <v>92</v>
      </c>
      <c r="KG14" t="s">
        <v>92</v>
      </c>
      <c r="KH14" t="s">
        <v>92</v>
      </c>
      <c r="KI14" t="s">
        <v>92</v>
      </c>
      <c r="KJ14" t="s">
        <v>92</v>
      </c>
      <c r="KK14" t="s">
        <v>92</v>
      </c>
      <c r="KL14" t="s">
        <v>92</v>
      </c>
      <c r="KM14" t="s">
        <v>92</v>
      </c>
      <c r="KN14" t="s">
        <v>92</v>
      </c>
      <c r="KO14" t="s">
        <v>92</v>
      </c>
      <c r="KP14" t="s">
        <v>92</v>
      </c>
      <c r="KQ14" t="s">
        <v>92</v>
      </c>
      <c r="KR14" t="s">
        <v>92</v>
      </c>
      <c r="KS14" t="s">
        <v>92</v>
      </c>
      <c r="KT14" t="s">
        <v>92</v>
      </c>
      <c r="KU14" t="s">
        <v>92</v>
      </c>
      <c r="KV14" t="s">
        <v>92</v>
      </c>
      <c r="KW14" t="s">
        <v>92</v>
      </c>
      <c r="KX14" t="s">
        <v>92</v>
      </c>
      <c r="KY14" t="s">
        <v>92</v>
      </c>
      <c r="KZ14" t="s">
        <v>92</v>
      </c>
      <c r="LA14" t="s">
        <v>92</v>
      </c>
      <c r="LB14" t="s">
        <v>92</v>
      </c>
      <c r="LC14" t="s">
        <v>92</v>
      </c>
      <c r="LD14" t="s">
        <v>92</v>
      </c>
      <c r="LE14" t="s">
        <v>92</v>
      </c>
      <c r="LF14" t="s">
        <v>92</v>
      </c>
      <c r="LG14" t="s">
        <v>92</v>
      </c>
      <c r="LH14" t="s">
        <v>92</v>
      </c>
      <c r="LI14" t="s">
        <v>92</v>
      </c>
      <c r="LJ14" t="s">
        <v>92</v>
      </c>
      <c r="LK14" t="s">
        <v>92</v>
      </c>
      <c r="LL14" t="s">
        <v>92</v>
      </c>
      <c r="LM14" t="s">
        <v>92</v>
      </c>
      <c r="LN14" t="s">
        <v>92</v>
      </c>
      <c r="LO14" t="s">
        <v>92</v>
      </c>
      <c r="LP14" t="s">
        <v>92</v>
      </c>
      <c r="LQ14" t="s">
        <v>92</v>
      </c>
      <c r="LR14" t="s">
        <v>92</v>
      </c>
      <c r="LS14" t="s">
        <v>92</v>
      </c>
      <c r="LT14" t="s">
        <v>92</v>
      </c>
      <c r="LU14" t="s">
        <v>92</v>
      </c>
      <c r="LV14" t="s">
        <v>92</v>
      </c>
      <c r="LW14" t="s">
        <v>92</v>
      </c>
      <c r="LX14" t="s">
        <v>92</v>
      </c>
      <c r="LY14" t="s">
        <v>92</v>
      </c>
      <c r="LZ14" t="s">
        <v>92</v>
      </c>
      <c r="MA14" t="s">
        <v>92</v>
      </c>
      <c r="MB14" t="s">
        <v>92</v>
      </c>
      <c r="MC14" t="s">
        <v>92</v>
      </c>
      <c r="MD14" t="s">
        <v>92</v>
      </c>
      <c r="ME14" t="s">
        <v>92</v>
      </c>
      <c r="MF14" t="s">
        <v>92</v>
      </c>
      <c r="MG14" t="s">
        <v>92</v>
      </c>
      <c r="MH14" t="s">
        <v>92</v>
      </c>
      <c r="MI14" t="s">
        <v>92</v>
      </c>
      <c r="MJ14" t="s">
        <v>92</v>
      </c>
      <c r="MK14" t="s">
        <v>92</v>
      </c>
      <c r="ML14" t="s">
        <v>92</v>
      </c>
      <c r="MM14" t="s">
        <v>92</v>
      </c>
      <c r="MN14" t="s">
        <v>92</v>
      </c>
      <c r="MO14" t="s">
        <v>92</v>
      </c>
      <c r="MP14" t="s">
        <v>92</v>
      </c>
      <c r="MQ14" t="s">
        <v>92</v>
      </c>
      <c r="MR14" t="s">
        <v>92</v>
      </c>
      <c r="MS14" t="s">
        <v>92</v>
      </c>
      <c r="MT14" t="s">
        <v>92</v>
      </c>
      <c r="MU14" t="s">
        <v>92</v>
      </c>
      <c r="MV14" t="s">
        <v>92</v>
      </c>
      <c r="MW14" t="s">
        <v>92</v>
      </c>
      <c r="MX14" t="s">
        <v>92</v>
      </c>
      <c r="MY14" t="s">
        <v>92</v>
      </c>
      <c r="MZ14" t="s">
        <v>92</v>
      </c>
      <c r="NA14" t="s">
        <v>92</v>
      </c>
      <c r="NB14" t="s">
        <v>92</v>
      </c>
      <c r="NC14" t="s">
        <v>92</v>
      </c>
      <c r="ND14" t="s">
        <v>92</v>
      </c>
      <c r="NE14" t="s">
        <v>92</v>
      </c>
      <c r="NF14" t="s">
        <v>92</v>
      </c>
      <c r="NG14" t="s">
        <v>92</v>
      </c>
      <c r="NH14" t="s">
        <v>92</v>
      </c>
      <c r="NI14" t="s">
        <v>92</v>
      </c>
      <c r="NJ14" t="s">
        <v>92</v>
      </c>
      <c r="NK14" t="s">
        <v>92</v>
      </c>
      <c r="NL14" t="s">
        <v>92</v>
      </c>
      <c r="NM14" t="s">
        <v>92</v>
      </c>
      <c r="NN14" t="s">
        <v>92</v>
      </c>
      <c r="NO14" t="s">
        <v>92</v>
      </c>
      <c r="NP14" t="s">
        <v>92</v>
      </c>
      <c r="NQ14" t="s">
        <v>92</v>
      </c>
      <c r="NR14" t="s">
        <v>92</v>
      </c>
      <c r="NS14" t="s">
        <v>92</v>
      </c>
      <c r="NT14" t="s">
        <v>92</v>
      </c>
      <c r="NU14" t="s">
        <v>92</v>
      </c>
      <c r="NV14" t="s">
        <v>92</v>
      </c>
      <c r="NW14" t="s">
        <v>92</v>
      </c>
      <c r="NX14" t="s">
        <v>92</v>
      </c>
      <c r="NY14" t="s">
        <v>92</v>
      </c>
      <c r="NZ14" t="s">
        <v>92</v>
      </c>
      <c r="OA14" t="s">
        <v>92</v>
      </c>
      <c r="OB14" t="s">
        <v>92</v>
      </c>
      <c r="OC14" t="s">
        <v>92</v>
      </c>
      <c r="OD14" t="s">
        <v>92</v>
      </c>
      <c r="OE14" t="s">
        <v>92</v>
      </c>
      <c r="OF14" t="s">
        <v>92</v>
      </c>
      <c r="OG14" t="s">
        <v>92</v>
      </c>
      <c r="OH14" t="s">
        <v>92</v>
      </c>
      <c r="OI14" t="s">
        <v>92</v>
      </c>
      <c r="OJ14" t="s">
        <v>92</v>
      </c>
      <c r="OK14" t="s">
        <v>92</v>
      </c>
      <c r="OL14" t="s">
        <v>92</v>
      </c>
      <c r="OM14" t="s">
        <v>92</v>
      </c>
      <c r="ON14" t="s">
        <v>92</v>
      </c>
      <c r="OO14" t="s">
        <v>92</v>
      </c>
      <c r="OP14" t="s">
        <v>92</v>
      </c>
      <c r="OQ14" t="s">
        <v>92</v>
      </c>
      <c r="OR14" t="s">
        <v>92</v>
      </c>
      <c r="OS14" t="s">
        <v>92</v>
      </c>
      <c r="OT14" t="s">
        <v>92</v>
      </c>
      <c r="OU14" t="s">
        <v>92</v>
      </c>
      <c r="OV14" t="s">
        <v>92</v>
      </c>
      <c r="OW14" t="s">
        <v>92</v>
      </c>
      <c r="OX14" t="s">
        <v>92</v>
      </c>
      <c r="OY14" t="s">
        <v>92</v>
      </c>
      <c r="OZ14" t="s">
        <v>92</v>
      </c>
      <c r="PA14" t="s">
        <v>92</v>
      </c>
      <c r="PB14" t="s">
        <v>92</v>
      </c>
      <c r="PC14" t="s">
        <v>92</v>
      </c>
      <c r="PD14" t="s">
        <v>92</v>
      </c>
      <c r="PE14" t="s">
        <v>92</v>
      </c>
      <c r="PF14" t="s">
        <v>92</v>
      </c>
      <c r="PG14" t="s">
        <v>92</v>
      </c>
      <c r="PH14" t="s">
        <v>92</v>
      </c>
      <c r="PI14" t="s">
        <v>92</v>
      </c>
      <c r="PJ14" t="s">
        <v>92</v>
      </c>
      <c r="PK14" t="s">
        <v>92</v>
      </c>
      <c r="PL14" t="s">
        <v>92</v>
      </c>
      <c r="PM14" t="s">
        <v>92</v>
      </c>
      <c r="PN14" t="s">
        <v>92</v>
      </c>
      <c r="PO14" t="s">
        <v>92</v>
      </c>
      <c r="PP14" t="s">
        <v>92</v>
      </c>
      <c r="PQ14" t="s">
        <v>92</v>
      </c>
      <c r="PR14" t="s">
        <v>92</v>
      </c>
      <c r="PS14" t="s">
        <v>92</v>
      </c>
      <c r="PT14" t="s">
        <v>92</v>
      </c>
      <c r="PU14" t="s">
        <v>92</v>
      </c>
      <c r="PV14" t="s">
        <v>92</v>
      </c>
      <c r="PW14" t="s">
        <v>92</v>
      </c>
      <c r="PX14" t="s">
        <v>92</v>
      </c>
      <c r="PY14" t="s">
        <v>92</v>
      </c>
      <c r="PZ14" t="s">
        <v>92</v>
      </c>
      <c r="QA14" t="s">
        <v>92</v>
      </c>
      <c r="QB14" t="s">
        <v>92</v>
      </c>
      <c r="QC14" t="s">
        <v>92</v>
      </c>
      <c r="QD14" t="s">
        <v>92</v>
      </c>
      <c r="QE14" t="s">
        <v>92</v>
      </c>
      <c r="QF14" t="s">
        <v>92</v>
      </c>
      <c r="QG14" t="s">
        <v>92</v>
      </c>
      <c r="QH14" t="s">
        <v>92</v>
      </c>
      <c r="QI14" t="s">
        <v>92</v>
      </c>
      <c r="QJ14" t="s">
        <v>92</v>
      </c>
      <c r="QK14" t="s">
        <v>92</v>
      </c>
      <c r="QL14" t="s">
        <v>92</v>
      </c>
      <c r="QM14" t="s">
        <v>92</v>
      </c>
      <c r="QN14" t="s">
        <v>92</v>
      </c>
      <c r="QO14" t="s">
        <v>92</v>
      </c>
      <c r="QP14" t="s">
        <v>92</v>
      </c>
      <c r="QQ14" t="s">
        <v>92</v>
      </c>
      <c r="QR14" t="s">
        <v>92</v>
      </c>
      <c r="QS14" t="s">
        <v>92</v>
      </c>
      <c r="QT14" t="s">
        <v>92</v>
      </c>
      <c r="QU14" t="s">
        <v>92</v>
      </c>
      <c r="QV14" t="s">
        <v>92</v>
      </c>
      <c r="QW14" t="s">
        <v>92</v>
      </c>
      <c r="QX14" t="s">
        <v>92</v>
      </c>
      <c r="QY14" t="s">
        <v>92</v>
      </c>
      <c r="QZ14" t="s">
        <v>92</v>
      </c>
      <c r="RA14" t="s">
        <v>92</v>
      </c>
      <c r="RB14" t="s">
        <v>92</v>
      </c>
      <c r="RC14" t="s">
        <v>92</v>
      </c>
      <c r="RD14" t="s">
        <v>92</v>
      </c>
      <c r="RE14" t="s">
        <v>92</v>
      </c>
      <c r="RF14" t="s">
        <v>92</v>
      </c>
      <c r="RG14" t="s">
        <v>92</v>
      </c>
      <c r="RH14" t="s">
        <v>92</v>
      </c>
      <c r="RI14" t="s">
        <v>92</v>
      </c>
      <c r="RJ14" t="s">
        <v>92</v>
      </c>
      <c r="RK14" t="s">
        <v>92</v>
      </c>
      <c r="RL14" t="s">
        <v>92</v>
      </c>
      <c r="RM14" t="s">
        <v>92</v>
      </c>
      <c r="RN14" t="s">
        <v>92</v>
      </c>
      <c r="RO14" t="s">
        <v>92</v>
      </c>
      <c r="RP14" t="s">
        <v>92</v>
      </c>
      <c r="RQ14" t="s">
        <v>92</v>
      </c>
      <c r="RR14" t="s">
        <v>92</v>
      </c>
      <c r="RS14" t="s">
        <v>92</v>
      </c>
      <c r="RT14" t="s">
        <v>92</v>
      </c>
      <c r="RU14" t="s">
        <v>92</v>
      </c>
      <c r="RV14" t="s">
        <v>92</v>
      </c>
      <c r="RW14" t="s">
        <v>92</v>
      </c>
      <c r="RX14" t="s">
        <v>92</v>
      </c>
      <c r="RY14" t="s">
        <v>92</v>
      </c>
      <c r="RZ14" t="s">
        <v>92</v>
      </c>
      <c r="SA14" t="s">
        <v>92</v>
      </c>
      <c r="SB14" t="s">
        <v>92</v>
      </c>
      <c r="SC14" t="s">
        <v>92</v>
      </c>
      <c r="SD14" t="s">
        <v>92</v>
      </c>
      <c r="SE14" t="s">
        <v>92</v>
      </c>
      <c r="SF14" t="s">
        <v>92</v>
      </c>
      <c r="SG14" t="s">
        <v>92</v>
      </c>
      <c r="SH14" t="s">
        <v>92</v>
      </c>
      <c r="SI14" t="s">
        <v>92</v>
      </c>
      <c r="SJ14" t="s">
        <v>92</v>
      </c>
      <c r="SK14" t="s">
        <v>92</v>
      </c>
      <c r="SL14" t="s">
        <v>92</v>
      </c>
      <c r="SM14" t="s">
        <v>92</v>
      </c>
      <c r="SN14" t="s">
        <v>92</v>
      </c>
      <c r="SO14" t="s">
        <v>92</v>
      </c>
      <c r="SP14" t="s">
        <v>92</v>
      </c>
      <c r="SQ14" t="s">
        <v>92</v>
      </c>
      <c r="SR14" t="s">
        <v>92</v>
      </c>
      <c r="SS14" t="s">
        <v>92</v>
      </c>
      <c r="ST14" t="s">
        <v>92</v>
      </c>
      <c r="SU14" t="s">
        <v>92</v>
      </c>
      <c r="SV14" t="s">
        <v>92</v>
      </c>
      <c r="SW14" t="s">
        <v>92</v>
      </c>
      <c r="SX14" t="s">
        <v>92</v>
      </c>
      <c r="SY14" t="s">
        <v>92</v>
      </c>
      <c r="SZ14" t="s">
        <v>92</v>
      </c>
      <c r="TA14" t="s">
        <v>92</v>
      </c>
      <c r="TB14" t="s">
        <v>92</v>
      </c>
      <c r="TC14" t="s">
        <v>92</v>
      </c>
      <c r="TD14" t="s">
        <v>92</v>
      </c>
      <c r="TE14" t="s">
        <v>92</v>
      </c>
      <c r="TF14" t="s">
        <v>92</v>
      </c>
      <c r="TG14" t="s">
        <v>92</v>
      </c>
      <c r="TH14" t="s">
        <v>92</v>
      </c>
      <c r="TI14" t="s">
        <v>92</v>
      </c>
      <c r="TJ14" t="s">
        <v>92</v>
      </c>
      <c r="TK14" t="s">
        <v>92</v>
      </c>
      <c r="TL14" t="s">
        <v>92</v>
      </c>
      <c r="TM14" t="s">
        <v>92</v>
      </c>
      <c r="TN14" t="s">
        <v>92</v>
      </c>
      <c r="TO14" t="s">
        <v>92</v>
      </c>
      <c r="TP14" t="s">
        <v>92</v>
      </c>
      <c r="TQ14" t="s">
        <v>92</v>
      </c>
      <c r="TR14" t="s">
        <v>92</v>
      </c>
      <c r="TS14" t="s">
        <v>92</v>
      </c>
      <c r="TT14" t="s">
        <v>92</v>
      </c>
      <c r="TU14" t="s">
        <v>92</v>
      </c>
      <c r="TV14" t="s">
        <v>92</v>
      </c>
      <c r="TW14" t="s">
        <v>92</v>
      </c>
      <c r="TX14" t="s">
        <v>92</v>
      </c>
      <c r="TY14" t="s">
        <v>92</v>
      </c>
      <c r="TZ14" t="s">
        <v>92</v>
      </c>
      <c r="UA14" t="s">
        <v>92</v>
      </c>
      <c r="UB14" t="s">
        <v>92</v>
      </c>
      <c r="UC14" t="s">
        <v>92</v>
      </c>
      <c r="UD14" t="s">
        <v>92</v>
      </c>
      <c r="UE14" t="s">
        <v>92</v>
      </c>
      <c r="UF14" t="s">
        <v>92</v>
      </c>
      <c r="UG14" t="s">
        <v>92</v>
      </c>
      <c r="UH14" t="s">
        <v>92</v>
      </c>
      <c r="UI14" t="s">
        <v>92</v>
      </c>
      <c r="UJ14" t="s">
        <v>92</v>
      </c>
      <c r="UK14" t="s">
        <v>92</v>
      </c>
      <c r="UL14" t="s">
        <v>92</v>
      </c>
      <c r="UM14" t="s">
        <v>92</v>
      </c>
      <c r="UN14" t="s">
        <v>92</v>
      </c>
      <c r="UO14" t="s">
        <v>92</v>
      </c>
      <c r="UP14" t="s">
        <v>92</v>
      </c>
      <c r="UQ14" t="s">
        <v>92</v>
      </c>
      <c r="UR14" t="s">
        <v>92</v>
      </c>
      <c r="US14" t="s">
        <v>92</v>
      </c>
      <c r="UT14" t="s">
        <v>92</v>
      </c>
      <c r="UU14" t="s">
        <v>92</v>
      </c>
      <c r="UV14" t="s">
        <v>92</v>
      </c>
      <c r="UW14" t="s">
        <v>92</v>
      </c>
      <c r="UX14" t="s">
        <v>92</v>
      </c>
      <c r="UY14" t="s">
        <v>92</v>
      </c>
      <c r="UZ14" t="s">
        <v>92</v>
      </c>
      <c r="VA14" t="s">
        <v>92</v>
      </c>
      <c r="VB14" t="s">
        <v>92</v>
      </c>
      <c r="VC14" t="s">
        <v>92</v>
      </c>
      <c r="VD14" t="s">
        <v>92</v>
      </c>
      <c r="VE14" t="s">
        <v>92</v>
      </c>
      <c r="VF14" t="s">
        <v>92</v>
      </c>
      <c r="VG14" t="s">
        <v>92</v>
      </c>
      <c r="VH14" t="s">
        <v>92</v>
      </c>
      <c r="VI14" t="s">
        <v>92</v>
      </c>
      <c r="VJ14" t="s">
        <v>92</v>
      </c>
      <c r="VK14" t="s">
        <v>92</v>
      </c>
      <c r="VL14" t="s">
        <v>92</v>
      </c>
      <c r="VM14" t="s">
        <v>92</v>
      </c>
      <c r="VN14" t="s">
        <v>92</v>
      </c>
      <c r="VO14" t="s">
        <v>92</v>
      </c>
      <c r="VP14" t="s">
        <v>92</v>
      </c>
      <c r="VQ14" t="s">
        <v>92</v>
      </c>
      <c r="VR14" t="s">
        <v>92</v>
      </c>
      <c r="VS14" t="s">
        <v>92</v>
      </c>
      <c r="VT14" t="s">
        <v>92</v>
      </c>
      <c r="VU14" t="s">
        <v>92</v>
      </c>
      <c r="VV14" t="s">
        <v>92</v>
      </c>
      <c r="VW14" t="s">
        <v>92</v>
      </c>
      <c r="VX14" t="s">
        <v>92</v>
      </c>
      <c r="VY14" t="s">
        <v>92</v>
      </c>
      <c r="VZ14" t="s">
        <v>92</v>
      </c>
      <c r="WA14" t="s">
        <v>92</v>
      </c>
      <c r="WB14" t="s">
        <v>92</v>
      </c>
      <c r="WC14" t="s">
        <v>92</v>
      </c>
      <c r="WD14" t="s">
        <v>92</v>
      </c>
      <c r="WE14" t="s">
        <v>92</v>
      </c>
      <c r="WF14" t="s">
        <v>92</v>
      </c>
      <c r="WG14" t="s">
        <v>92</v>
      </c>
      <c r="WH14" t="s">
        <v>92</v>
      </c>
      <c r="WI14" t="s">
        <v>92</v>
      </c>
      <c r="WJ14" t="s">
        <v>92</v>
      </c>
      <c r="WK14" t="s">
        <v>92</v>
      </c>
      <c r="WL14" t="s">
        <v>92</v>
      </c>
      <c r="WM14" t="s">
        <v>92</v>
      </c>
      <c r="WN14" t="s">
        <v>92</v>
      </c>
      <c r="WO14" t="s">
        <v>92</v>
      </c>
      <c r="WP14" t="s">
        <v>92</v>
      </c>
      <c r="WQ14" t="s">
        <v>92</v>
      </c>
      <c r="WR14" t="s">
        <v>92</v>
      </c>
      <c r="WS14" t="s">
        <v>92</v>
      </c>
      <c r="WT14" t="s">
        <v>92</v>
      </c>
      <c r="WU14" t="s">
        <v>92</v>
      </c>
      <c r="WV14" t="s">
        <v>92</v>
      </c>
      <c r="WW14" t="s">
        <v>92</v>
      </c>
      <c r="WX14" t="s">
        <v>92</v>
      </c>
      <c r="WY14" t="s">
        <v>92</v>
      </c>
      <c r="WZ14" t="s">
        <v>92</v>
      </c>
      <c r="XA14" t="s">
        <v>92</v>
      </c>
      <c r="XB14" t="s">
        <v>92</v>
      </c>
      <c r="XC14" t="s">
        <v>92</v>
      </c>
      <c r="XD14" t="s">
        <v>92</v>
      </c>
      <c r="XE14" t="s">
        <v>92</v>
      </c>
      <c r="XF14" t="s">
        <v>92</v>
      </c>
      <c r="XG14" t="s">
        <v>92</v>
      </c>
      <c r="XH14" t="s">
        <v>92</v>
      </c>
      <c r="XI14" t="s">
        <v>92</v>
      </c>
      <c r="XJ14" t="s">
        <v>92</v>
      </c>
      <c r="XK14" t="s">
        <v>92</v>
      </c>
      <c r="XL14" t="s">
        <v>92</v>
      </c>
      <c r="XM14" t="s">
        <v>92</v>
      </c>
      <c r="XN14" t="s">
        <v>92</v>
      </c>
      <c r="XO14" t="s">
        <v>92</v>
      </c>
      <c r="XP14" t="s">
        <v>92</v>
      </c>
      <c r="XQ14" t="s">
        <v>92</v>
      </c>
      <c r="XR14" t="s">
        <v>92</v>
      </c>
      <c r="XS14" t="s">
        <v>92</v>
      </c>
      <c r="XT14" t="s">
        <v>92</v>
      </c>
      <c r="XU14" t="s">
        <v>92</v>
      </c>
      <c r="XV14" t="s">
        <v>92</v>
      </c>
      <c r="XW14" t="s">
        <v>92</v>
      </c>
      <c r="XX14" t="s">
        <v>92</v>
      </c>
      <c r="XY14" t="s">
        <v>92</v>
      </c>
      <c r="XZ14" t="s">
        <v>92</v>
      </c>
      <c r="YA14" t="s">
        <v>92</v>
      </c>
      <c r="YB14" t="s">
        <v>92</v>
      </c>
      <c r="YC14" t="s">
        <v>92</v>
      </c>
      <c r="YD14" t="s">
        <v>92</v>
      </c>
      <c r="YE14" t="s">
        <v>92</v>
      </c>
      <c r="YF14" t="s">
        <v>92</v>
      </c>
      <c r="YG14" t="s">
        <v>92</v>
      </c>
      <c r="YH14" t="s">
        <v>92</v>
      </c>
      <c r="YI14" t="s">
        <v>92</v>
      </c>
      <c r="YJ14" t="s">
        <v>92</v>
      </c>
      <c r="YK14" t="s">
        <v>92</v>
      </c>
      <c r="YL14" t="s">
        <v>92</v>
      </c>
      <c r="YM14" t="s">
        <v>92</v>
      </c>
      <c r="YN14" t="s">
        <v>92</v>
      </c>
      <c r="YO14" t="s">
        <v>92</v>
      </c>
      <c r="YP14" t="s">
        <v>92</v>
      </c>
      <c r="YQ14" t="s">
        <v>92</v>
      </c>
      <c r="YR14" t="s">
        <v>92</v>
      </c>
      <c r="YS14" t="s">
        <v>92</v>
      </c>
      <c r="YT14" t="s">
        <v>92</v>
      </c>
      <c r="YU14" t="s">
        <v>92</v>
      </c>
      <c r="YV14" t="s">
        <v>92</v>
      </c>
      <c r="YW14" t="s">
        <v>92</v>
      </c>
      <c r="YX14" t="s">
        <v>92</v>
      </c>
      <c r="YY14" t="s">
        <v>92</v>
      </c>
      <c r="YZ14" t="s">
        <v>92</v>
      </c>
      <c r="ZA14" t="s">
        <v>92</v>
      </c>
      <c r="ZB14" t="s">
        <v>92</v>
      </c>
      <c r="ZC14" t="s">
        <v>92</v>
      </c>
      <c r="ZD14" t="s">
        <v>92</v>
      </c>
      <c r="ZE14" t="s">
        <v>92</v>
      </c>
      <c r="ZF14" t="s">
        <v>92</v>
      </c>
      <c r="ZG14" t="s">
        <v>92</v>
      </c>
      <c r="ZH14" t="s">
        <v>92</v>
      </c>
      <c r="ZI14" t="s">
        <v>92</v>
      </c>
      <c r="ZJ14" t="s">
        <v>92</v>
      </c>
      <c r="ZK14" t="s">
        <v>92</v>
      </c>
      <c r="ZL14" t="s">
        <v>92</v>
      </c>
      <c r="ZM14" t="s">
        <v>92</v>
      </c>
      <c r="ZN14" t="s">
        <v>92</v>
      </c>
      <c r="ZO14" t="s">
        <v>92</v>
      </c>
      <c r="ZP14" t="s">
        <v>92</v>
      </c>
      <c r="ZQ14" t="s">
        <v>92</v>
      </c>
      <c r="ZR14" t="s">
        <v>92</v>
      </c>
      <c r="ZS14" t="s">
        <v>92</v>
      </c>
      <c r="ZT14" t="s">
        <v>92</v>
      </c>
      <c r="ZU14" t="s">
        <v>92</v>
      </c>
      <c r="ZV14" t="s">
        <v>92</v>
      </c>
      <c r="ZW14" t="s">
        <v>92</v>
      </c>
      <c r="ZX14" t="s">
        <v>92</v>
      </c>
      <c r="ZY14" t="s">
        <v>92</v>
      </c>
      <c r="ZZ14" t="s">
        <v>92</v>
      </c>
      <c r="AAA14" t="s">
        <v>92</v>
      </c>
      <c r="AAB14" t="s">
        <v>92</v>
      </c>
      <c r="AAC14" t="s">
        <v>92</v>
      </c>
      <c r="AAD14" t="s">
        <v>92</v>
      </c>
      <c r="AAE14" t="s">
        <v>92</v>
      </c>
      <c r="AAF14" t="s">
        <v>92</v>
      </c>
      <c r="AAG14" t="s">
        <v>92</v>
      </c>
      <c r="AAH14" t="s">
        <v>92</v>
      </c>
      <c r="AAI14" t="s">
        <v>92</v>
      </c>
      <c r="AAJ14" t="s">
        <v>92</v>
      </c>
      <c r="AAK14" t="s">
        <v>92</v>
      </c>
      <c r="AAL14" t="s">
        <v>92</v>
      </c>
      <c r="AAM14" t="s">
        <v>92</v>
      </c>
      <c r="AAN14" t="s">
        <v>92</v>
      </c>
      <c r="AAO14" t="s">
        <v>92</v>
      </c>
      <c r="AAP14" t="s">
        <v>92</v>
      </c>
      <c r="AAQ14" t="s">
        <v>92</v>
      </c>
      <c r="AAR14" t="s">
        <v>92</v>
      </c>
      <c r="AAS14" t="s">
        <v>92</v>
      </c>
      <c r="AAT14" t="s">
        <v>92</v>
      </c>
      <c r="AAU14" t="s">
        <v>92</v>
      </c>
      <c r="AAV14" t="s">
        <v>92</v>
      </c>
      <c r="AAW14" t="s">
        <v>92</v>
      </c>
      <c r="AAX14" t="s">
        <v>92</v>
      </c>
      <c r="AAY14" t="s">
        <v>92</v>
      </c>
      <c r="AAZ14" t="s">
        <v>92</v>
      </c>
      <c r="ABA14" t="s">
        <v>92</v>
      </c>
      <c r="ABB14" t="s">
        <v>92</v>
      </c>
      <c r="ABC14" t="s">
        <v>92</v>
      </c>
      <c r="ABD14" t="s">
        <v>92</v>
      </c>
      <c r="ABE14" t="s">
        <v>92</v>
      </c>
      <c r="ABF14" t="s">
        <v>92</v>
      </c>
      <c r="ABG14" t="s">
        <v>92</v>
      </c>
      <c r="ABH14" t="s">
        <v>92</v>
      </c>
      <c r="ABI14" t="s">
        <v>92</v>
      </c>
      <c r="ABJ14" t="s">
        <v>92</v>
      </c>
      <c r="ABK14" t="s">
        <v>92</v>
      </c>
      <c r="ABL14" t="s">
        <v>92</v>
      </c>
      <c r="ABM14" t="s">
        <v>92</v>
      </c>
      <c r="ABN14" t="s">
        <v>92</v>
      </c>
      <c r="ABO14" t="s">
        <v>92</v>
      </c>
      <c r="ABP14" t="s">
        <v>92</v>
      </c>
      <c r="ABQ14" t="s">
        <v>92</v>
      </c>
      <c r="ABR14" t="s">
        <v>92</v>
      </c>
      <c r="ABS14" t="s">
        <v>92</v>
      </c>
      <c r="ABT14" t="s">
        <v>92</v>
      </c>
      <c r="ABU14" t="s">
        <v>92</v>
      </c>
      <c r="ABV14" t="s">
        <v>92</v>
      </c>
      <c r="ABW14" t="s">
        <v>92</v>
      </c>
      <c r="ABX14" t="s">
        <v>92</v>
      </c>
      <c r="ABY14" t="s">
        <v>92</v>
      </c>
      <c r="ABZ14" t="s">
        <v>92</v>
      </c>
      <c r="ACA14" t="s">
        <v>92</v>
      </c>
      <c r="ACB14" t="s">
        <v>92</v>
      </c>
      <c r="ACC14" t="s">
        <v>92</v>
      </c>
      <c r="ACD14" t="s">
        <v>92</v>
      </c>
      <c r="ACE14" t="s">
        <v>92</v>
      </c>
      <c r="ACF14" t="s">
        <v>92</v>
      </c>
      <c r="ACG14" t="s">
        <v>92</v>
      </c>
      <c r="ACH14" t="s">
        <v>92</v>
      </c>
      <c r="ACI14" t="s">
        <v>92</v>
      </c>
      <c r="ACJ14" t="s">
        <v>92</v>
      </c>
      <c r="ACK14" t="s">
        <v>92</v>
      </c>
      <c r="ACL14" t="s">
        <v>92</v>
      </c>
      <c r="ACM14" t="s">
        <v>92</v>
      </c>
      <c r="ACN14" t="s">
        <v>92</v>
      </c>
      <c r="ACO14" t="s">
        <v>92</v>
      </c>
      <c r="ACP14" t="s">
        <v>92</v>
      </c>
      <c r="ACQ14" t="s">
        <v>92</v>
      </c>
      <c r="ACR14" t="s">
        <v>92</v>
      </c>
      <c r="ACS14" t="s">
        <v>92</v>
      </c>
      <c r="ACT14" t="s">
        <v>92</v>
      </c>
      <c r="ACU14" t="s">
        <v>92</v>
      </c>
      <c r="ACV14" t="s">
        <v>92</v>
      </c>
      <c r="ACW14" t="s">
        <v>92</v>
      </c>
      <c r="ACX14" t="s">
        <v>92</v>
      </c>
      <c r="ACY14" t="s">
        <v>92</v>
      </c>
      <c r="ACZ14" t="s">
        <v>92</v>
      </c>
      <c r="ADA14" t="s">
        <v>92</v>
      </c>
      <c r="ADB14" t="s">
        <v>92</v>
      </c>
      <c r="ADC14" t="s">
        <v>92</v>
      </c>
      <c r="ADD14" t="s">
        <v>92</v>
      </c>
      <c r="ADE14" t="s">
        <v>92</v>
      </c>
      <c r="ADF14" t="s">
        <v>92</v>
      </c>
      <c r="ADG14" t="s">
        <v>92</v>
      </c>
      <c r="ADH14" t="s">
        <v>92</v>
      </c>
      <c r="ADI14" t="s">
        <v>92</v>
      </c>
      <c r="ADJ14" t="s">
        <v>92</v>
      </c>
      <c r="ADK14" t="s">
        <v>92</v>
      </c>
      <c r="ADL14" t="s">
        <v>92</v>
      </c>
      <c r="ADM14" t="s">
        <v>92</v>
      </c>
      <c r="ADN14" t="s">
        <v>92</v>
      </c>
      <c r="ADO14" t="s">
        <v>92</v>
      </c>
      <c r="ADP14" t="s">
        <v>92</v>
      </c>
      <c r="ADQ14" t="s">
        <v>92</v>
      </c>
      <c r="ADR14" t="s">
        <v>92</v>
      </c>
      <c r="ADS14" t="s">
        <v>92</v>
      </c>
      <c r="ADT14" t="s">
        <v>92</v>
      </c>
      <c r="ADU14" t="s">
        <v>92</v>
      </c>
      <c r="ADV14" t="s">
        <v>92</v>
      </c>
      <c r="ADW14" t="s">
        <v>92</v>
      </c>
      <c r="ADX14" t="s">
        <v>92</v>
      </c>
      <c r="ADY14" t="s">
        <v>92</v>
      </c>
      <c r="ADZ14" t="s">
        <v>92</v>
      </c>
      <c r="AEA14" t="s">
        <v>92</v>
      </c>
      <c r="AEB14" t="s">
        <v>92</v>
      </c>
      <c r="AEC14" t="s">
        <v>92</v>
      </c>
      <c r="AED14" t="s">
        <v>92</v>
      </c>
      <c r="AEE14" t="s">
        <v>92</v>
      </c>
      <c r="AEF14" t="s">
        <v>92</v>
      </c>
      <c r="AEG14" t="s">
        <v>92</v>
      </c>
      <c r="AEH14" t="s">
        <v>92</v>
      </c>
      <c r="AEI14" t="s">
        <v>92</v>
      </c>
      <c r="AEJ14" t="s">
        <v>92</v>
      </c>
      <c r="AEK14" t="s">
        <v>92</v>
      </c>
      <c r="AEL14" t="s">
        <v>92</v>
      </c>
      <c r="AEM14" t="s">
        <v>92</v>
      </c>
      <c r="AEN14" t="s">
        <v>92</v>
      </c>
      <c r="AEO14" t="s">
        <v>92</v>
      </c>
      <c r="AEP14" t="s">
        <v>92</v>
      </c>
      <c r="AEQ14" t="s">
        <v>92</v>
      </c>
      <c r="AER14" t="s">
        <v>92</v>
      </c>
      <c r="AES14" t="s">
        <v>92</v>
      </c>
      <c r="AET14" t="s">
        <v>92</v>
      </c>
      <c r="AEU14" t="s">
        <v>92</v>
      </c>
      <c r="AEV14" t="s">
        <v>92</v>
      </c>
      <c r="AEW14" t="s">
        <v>92</v>
      </c>
      <c r="AEX14" t="s">
        <v>92</v>
      </c>
      <c r="AEY14" t="s">
        <v>92</v>
      </c>
      <c r="AEZ14" t="s">
        <v>92</v>
      </c>
      <c r="AFA14" t="s">
        <v>92</v>
      </c>
      <c r="AFB14" t="s">
        <v>92</v>
      </c>
      <c r="AFC14" t="s">
        <v>92</v>
      </c>
      <c r="AFD14" t="s">
        <v>92</v>
      </c>
      <c r="AFE14" t="s">
        <v>92</v>
      </c>
      <c r="AFF14" t="s">
        <v>92</v>
      </c>
      <c r="AFG14" t="s">
        <v>92</v>
      </c>
      <c r="AFH14" t="s">
        <v>92</v>
      </c>
      <c r="AFI14" t="s">
        <v>92</v>
      </c>
      <c r="AFJ14" t="s">
        <v>92</v>
      </c>
      <c r="AFK14" t="s">
        <v>92</v>
      </c>
      <c r="AFL14" t="s">
        <v>92</v>
      </c>
      <c r="AFM14" t="s">
        <v>92</v>
      </c>
      <c r="AFN14" t="s">
        <v>92</v>
      </c>
      <c r="AFO14" t="s">
        <v>92</v>
      </c>
      <c r="AFP14" t="s">
        <v>92</v>
      </c>
      <c r="AFQ14" t="s">
        <v>92</v>
      </c>
      <c r="AFR14" t="s">
        <v>92</v>
      </c>
      <c r="AFS14" t="s">
        <v>92</v>
      </c>
      <c r="AFT14" t="s">
        <v>92</v>
      </c>
      <c r="AFU14" t="s">
        <v>92</v>
      </c>
      <c r="AFV14" t="s">
        <v>92</v>
      </c>
      <c r="AFW14" t="s">
        <v>92</v>
      </c>
      <c r="AFX14" t="s">
        <v>92</v>
      </c>
      <c r="AFY14" t="s">
        <v>92</v>
      </c>
      <c r="AFZ14" t="s">
        <v>92</v>
      </c>
      <c r="AGA14" t="s">
        <v>92</v>
      </c>
      <c r="AGB14" t="s">
        <v>92</v>
      </c>
      <c r="AGC14" t="s">
        <v>92</v>
      </c>
      <c r="AGD14" t="s">
        <v>92</v>
      </c>
      <c r="AGE14" t="s">
        <v>92</v>
      </c>
      <c r="AGF14" t="s">
        <v>92</v>
      </c>
      <c r="AGG14" t="s">
        <v>92</v>
      </c>
      <c r="AGH14" t="s">
        <v>92</v>
      </c>
      <c r="AGI14" t="s">
        <v>92</v>
      </c>
      <c r="AGJ14" t="s">
        <v>92</v>
      </c>
      <c r="AGK14" t="s">
        <v>92</v>
      </c>
      <c r="AGL14" t="s">
        <v>92</v>
      </c>
      <c r="AGM14" t="s">
        <v>92</v>
      </c>
      <c r="AGN14" t="s">
        <v>92</v>
      </c>
      <c r="AGO14" t="s">
        <v>92</v>
      </c>
      <c r="AGP14" t="s">
        <v>92</v>
      </c>
      <c r="AGQ14" t="s">
        <v>92</v>
      </c>
      <c r="AGR14" t="s">
        <v>92</v>
      </c>
      <c r="AGS14" t="s">
        <v>92</v>
      </c>
      <c r="AGT14" t="s">
        <v>92</v>
      </c>
      <c r="AGU14" t="s">
        <v>92</v>
      </c>
      <c r="AGV14" t="s">
        <v>92</v>
      </c>
      <c r="AGW14" t="s">
        <v>92</v>
      </c>
      <c r="AGX14" t="s">
        <v>92</v>
      </c>
      <c r="AGY14" t="s">
        <v>92</v>
      </c>
      <c r="AGZ14" t="s">
        <v>92</v>
      </c>
      <c r="AHA14" t="s">
        <v>92</v>
      </c>
      <c r="AHB14" t="s">
        <v>92</v>
      </c>
      <c r="AHC14" t="s">
        <v>92</v>
      </c>
      <c r="AHD14" t="s">
        <v>92</v>
      </c>
      <c r="AHE14" t="s">
        <v>92</v>
      </c>
      <c r="AHF14" t="s">
        <v>92</v>
      </c>
      <c r="AHG14" t="s">
        <v>92</v>
      </c>
      <c r="AHH14" t="s">
        <v>92</v>
      </c>
      <c r="AHI14" t="s">
        <v>92</v>
      </c>
      <c r="AHJ14" t="s">
        <v>92</v>
      </c>
      <c r="AHK14" t="s">
        <v>92</v>
      </c>
      <c r="AHL14" t="s">
        <v>92</v>
      </c>
      <c r="AHM14" t="s">
        <v>92</v>
      </c>
      <c r="AHN14" t="s">
        <v>92</v>
      </c>
      <c r="AHO14" t="s">
        <v>92</v>
      </c>
      <c r="AHP14" t="s">
        <v>92</v>
      </c>
      <c r="AHQ14" t="s">
        <v>92</v>
      </c>
      <c r="AHR14" t="s">
        <v>92</v>
      </c>
      <c r="AHS14" t="s">
        <v>92</v>
      </c>
      <c r="AHT14" t="s">
        <v>92</v>
      </c>
      <c r="AHU14" t="s">
        <v>92</v>
      </c>
      <c r="AHV14" t="s">
        <v>92</v>
      </c>
      <c r="AHW14" t="s">
        <v>92</v>
      </c>
      <c r="AHX14" t="s">
        <v>92</v>
      </c>
      <c r="AHY14" t="s">
        <v>92</v>
      </c>
      <c r="AHZ14" t="s">
        <v>92</v>
      </c>
      <c r="AIA14" t="s">
        <v>92</v>
      </c>
      <c r="AIB14" t="s">
        <v>92</v>
      </c>
      <c r="AIC14" t="s">
        <v>92</v>
      </c>
      <c r="AID14" t="s">
        <v>92</v>
      </c>
      <c r="AIE14" t="s">
        <v>92</v>
      </c>
      <c r="AIF14" t="s">
        <v>92</v>
      </c>
      <c r="AIG14" t="s">
        <v>92</v>
      </c>
      <c r="AIH14" t="s">
        <v>92</v>
      </c>
      <c r="AII14" t="s">
        <v>92</v>
      </c>
      <c r="AIJ14" t="s">
        <v>92</v>
      </c>
      <c r="AIK14" t="s">
        <v>92</v>
      </c>
      <c r="AIL14" t="s">
        <v>92</v>
      </c>
      <c r="AIM14" t="s">
        <v>92</v>
      </c>
      <c r="AIN14" t="s">
        <v>92</v>
      </c>
      <c r="AIO14" t="s">
        <v>92</v>
      </c>
      <c r="AIP14" t="s">
        <v>92</v>
      </c>
      <c r="AIQ14" t="s">
        <v>92</v>
      </c>
      <c r="AIR14" t="s">
        <v>92</v>
      </c>
      <c r="AIS14" t="s">
        <v>92</v>
      </c>
      <c r="AIT14" t="s">
        <v>92</v>
      </c>
      <c r="AIU14" t="s">
        <v>92</v>
      </c>
      <c r="AIV14" t="s">
        <v>92</v>
      </c>
      <c r="AIW14" t="s">
        <v>92</v>
      </c>
      <c r="AIX14" t="s">
        <v>92</v>
      </c>
      <c r="AIY14" t="s">
        <v>92</v>
      </c>
      <c r="AIZ14" t="s">
        <v>92</v>
      </c>
      <c r="AJA14" t="s">
        <v>92</v>
      </c>
      <c r="AJB14" t="s">
        <v>92</v>
      </c>
      <c r="AJC14" t="s">
        <v>92</v>
      </c>
      <c r="AJD14" t="s">
        <v>92</v>
      </c>
      <c r="AJE14" t="s">
        <v>92</v>
      </c>
      <c r="AJF14" t="s">
        <v>92</v>
      </c>
      <c r="AJG14" t="s">
        <v>92</v>
      </c>
      <c r="AJH14" t="s">
        <v>92</v>
      </c>
      <c r="AJI14" t="s">
        <v>92</v>
      </c>
      <c r="AJJ14" t="s">
        <v>92</v>
      </c>
      <c r="AJK14" t="s">
        <v>92</v>
      </c>
      <c r="AJL14" t="s">
        <v>92</v>
      </c>
      <c r="AJM14" t="s">
        <v>92</v>
      </c>
      <c r="AJN14" t="s">
        <v>92</v>
      </c>
      <c r="AJO14" t="s">
        <v>92</v>
      </c>
      <c r="AJP14" t="s">
        <v>92</v>
      </c>
      <c r="AJQ14" t="s">
        <v>92</v>
      </c>
      <c r="AJR14" t="s">
        <v>32</v>
      </c>
      <c r="AJS14" t="s">
        <v>32</v>
      </c>
      <c r="AJT14" t="s">
        <v>32</v>
      </c>
      <c r="AJU14" t="s">
        <v>32</v>
      </c>
      <c r="AJV14" t="s">
        <v>32</v>
      </c>
      <c r="AJW14" t="s">
        <v>32</v>
      </c>
      <c r="AJX14" t="s">
        <v>32</v>
      </c>
      <c r="AJY14" t="s">
        <v>32</v>
      </c>
      <c r="AJZ14" t="s">
        <v>32</v>
      </c>
      <c r="AKA14" t="s">
        <v>493</v>
      </c>
      <c r="AKB14" t="s">
        <v>493</v>
      </c>
      <c r="AKC14" t="s">
        <v>493</v>
      </c>
      <c r="AKD14" t="s">
        <v>493</v>
      </c>
      <c r="AKE14" t="s">
        <v>493</v>
      </c>
      <c r="AKF14" t="s">
        <v>493</v>
      </c>
      <c r="AKG14" t="s">
        <v>493</v>
      </c>
    </row>
    <row r="15" spans="1:985" ht="14.4" customHeight="1" x14ac:dyDescent="0.55000000000000004">
      <c r="A15" t="s">
        <v>57</v>
      </c>
      <c r="B15" t="s">
        <v>521</v>
      </c>
      <c r="C15" s="1" t="s">
        <v>699</v>
      </c>
      <c r="D15" t="s">
        <v>52</v>
      </c>
      <c r="E15" t="s">
        <v>52</v>
      </c>
      <c r="F15" t="s">
        <v>52</v>
      </c>
      <c r="G15" t="s">
        <v>52</v>
      </c>
      <c r="H15" t="s">
        <v>52</v>
      </c>
      <c r="I15" t="s">
        <v>52</v>
      </c>
      <c r="J15" t="s">
        <v>52</v>
      </c>
      <c r="K15" t="s">
        <v>52</v>
      </c>
      <c r="L15" t="s">
        <v>52</v>
      </c>
      <c r="M15" t="s">
        <v>52</v>
      </c>
      <c r="N15" t="s">
        <v>52</v>
      </c>
      <c r="O15" t="s">
        <v>52</v>
      </c>
      <c r="P15" t="s">
        <v>52</v>
      </c>
      <c r="Q15" t="s">
        <v>52</v>
      </c>
      <c r="R15" t="s">
        <v>52</v>
      </c>
      <c r="S15" t="s">
        <v>52</v>
      </c>
      <c r="T15" t="s">
        <v>52</v>
      </c>
      <c r="U15" t="s">
        <v>52</v>
      </c>
      <c r="V15" t="s">
        <v>52</v>
      </c>
      <c r="W15" t="s">
        <v>52</v>
      </c>
      <c r="X15" t="s">
        <v>52</v>
      </c>
      <c r="Y15" t="s">
        <v>52</v>
      </c>
      <c r="Z15" t="s">
        <v>52</v>
      </c>
      <c r="AA15" t="s">
        <v>52</v>
      </c>
      <c r="AB15" t="s">
        <v>52</v>
      </c>
      <c r="AC15" t="s">
        <v>52</v>
      </c>
      <c r="AD15" t="s">
        <v>52</v>
      </c>
      <c r="AE15" t="s">
        <v>52</v>
      </c>
      <c r="AF15" t="s">
        <v>52</v>
      </c>
      <c r="AG15" t="s">
        <v>52</v>
      </c>
      <c r="AH15" t="s">
        <v>52</v>
      </c>
      <c r="AI15" t="s">
        <v>52</v>
      </c>
      <c r="AJ15" t="s">
        <v>52</v>
      </c>
      <c r="AK15" t="s">
        <v>52</v>
      </c>
      <c r="AL15" t="s">
        <v>52</v>
      </c>
      <c r="AM15" t="s">
        <v>52</v>
      </c>
      <c r="AN15" t="s">
        <v>52</v>
      </c>
      <c r="AO15" t="s">
        <v>52</v>
      </c>
      <c r="AP15" t="s">
        <v>52</v>
      </c>
      <c r="AQ15" t="s">
        <v>52</v>
      </c>
      <c r="AR15" t="s">
        <v>52</v>
      </c>
      <c r="AS15" t="s">
        <v>52</v>
      </c>
      <c r="AT15" t="s">
        <v>52</v>
      </c>
      <c r="AU15" t="s">
        <v>52</v>
      </c>
      <c r="AV15" t="s">
        <v>52</v>
      </c>
      <c r="AW15" t="s">
        <v>52</v>
      </c>
      <c r="AX15" t="s">
        <v>52</v>
      </c>
      <c r="AY15" t="s">
        <v>52</v>
      </c>
      <c r="AZ15" t="s">
        <v>52</v>
      </c>
      <c r="BA15" t="s">
        <v>52</v>
      </c>
      <c r="BB15" t="s">
        <v>52</v>
      </c>
      <c r="BC15" t="s">
        <v>52</v>
      </c>
      <c r="BD15" t="s">
        <v>52</v>
      </c>
      <c r="BE15" t="s">
        <v>52</v>
      </c>
      <c r="BF15" t="s">
        <v>52</v>
      </c>
      <c r="BG15" t="s">
        <v>52</v>
      </c>
      <c r="BH15" t="s">
        <v>52</v>
      </c>
      <c r="BI15" t="s">
        <v>52</v>
      </c>
      <c r="BJ15" t="s">
        <v>52</v>
      </c>
      <c r="BK15" t="s">
        <v>52</v>
      </c>
      <c r="BL15" t="s">
        <v>52</v>
      </c>
      <c r="BM15" t="s">
        <v>52</v>
      </c>
      <c r="BN15" t="s">
        <v>52</v>
      </c>
      <c r="BO15" t="s">
        <v>52</v>
      </c>
      <c r="BP15" t="s">
        <v>52</v>
      </c>
      <c r="BQ15" t="s">
        <v>52</v>
      </c>
      <c r="BR15" t="s">
        <v>52</v>
      </c>
      <c r="BS15" t="s">
        <v>52</v>
      </c>
      <c r="BT15" t="s">
        <v>52</v>
      </c>
      <c r="BU15" t="s">
        <v>52</v>
      </c>
      <c r="BV15" t="s">
        <v>52</v>
      </c>
      <c r="BW15" t="s">
        <v>52</v>
      </c>
      <c r="BX15" t="s">
        <v>52</v>
      </c>
      <c r="BY15" t="s">
        <v>52</v>
      </c>
      <c r="BZ15" t="s">
        <v>52</v>
      </c>
      <c r="CA15" t="s">
        <v>81</v>
      </c>
      <c r="CB15" t="s">
        <v>81</v>
      </c>
      <c r="CC15" t="s">
        <v>81</v>
      </c>
      <c r="CD15" t="s">
        <v>81</v>
      </c>
      <c r="CE15" t="s">
        <v>81</v>
      </c>
      <c r="CF15" t="s">
        <v>81</v>
      </c>
      <c r="CG15" t="s">
        <v>81</v>
      </c>
      <c r="CH15" t="s">
        <v>81</v>
      </c>
      <c r="CI15" t="s">
        <v>81</v>
      </c>
      <c r="CJ15" t="s">
        <v>81</v>
      </c>
      <c r="CK15" t="s">
        <v>81</v>
      </c>
      <c r="CL15" t="s">
        <v>81</v>
      </c>
      <c r="CM15" t="s">
        <v>81</v>
      </c>
      <c r="CN15" t="s">
        <v>81</v>
      </c>
      <c r="CO15" t="s">
        <v>81</v>
      </c>
      <c r="CP15" t="s">
        <v>81</v>
      </c>
      <c r="CQ15" t="s">
        <v>81</v>
      </c>
      <c r="CR15" t="s">
        <v>81</v>
      </c>
      <c r="CS15" t="s">
        <v>81</v>
      </c>
      <c r="CT15" t="s">
        <v>81</v>
      </c>
      <c r="CU15" t="s">
        <v>81</v>
      </c>
      <c r="CV15" t="s">
        <v>81</v>
      </c>
      <c r="CW15" t="s">
        <v>81</v>
      </c>
      <c r="CX15" t="s">
        <v>81</v>
      </c>
      <c r="CY15" t="s">
        <v>81</v>
      </c>
      <c r="CZ15" t="s">
        <v>81</v>
      </c>
      <c r="DA15" t="s">
        <v>81</v>
      </c>
      <c r="DB15" t="s">
        <v>81</v>
      </c>
      <c r="DC15" t="s">
        <v>81</v>
      </c>
      <c r="DD15" t="s">
        <v>81</v>
      </c>
      <c r="DE15" t="s">
        <v>81</v>
      </c>
      <c r="DF15" t="s">
        <v>81</v>
      </c>
      <c r="DG15" t="s">
        <v>81</v>
      </c>
      <c r="DH15" t="s">
        <v>81</v>
      </c>
      <c r="DI15" t="s">
        <v>81</v>
      </c>
      <c r="DJ15" t="s">
        <v>81</v>
      </c>
      <c r="DK15" t="s">
        <v>81</v>
      </c>
      <c r="DL15" t="s">
        <v>81</v>
      </c>
      <c r="DM15" t="s">
        <v>81</v>
      </c>
      <c r="DN15" t="s">
        <v>81</v>
      </c>
      <c r="DO15" t="s">
        <v>81</v>
      </c>
      <c r="DP15" t="s">
        <v>81</v>
      </c>
      <c r="DQ15" t="s">
        <v>81</v>
      </c>
      <c r="DR15" t="s">
        <v>81</v>
      </c>
      <c r="DS15" t="s">
        <v>81</v>
      </c>
      <c r="DT15" t="s">
        <v>81</v>
      </c>
      <c r="DU15" t="s">
        <v>81</v>
      </c>
      <c r="DV15" t="s">
        <v>81</v>
      </c>
      <c r="DW15" t="s">
        <v>81</v>
      </c>
      <c r="DX15" t="s">
        <v>81</v>
      </c>
      <c r="DY15" t="s">
        <v>81</v>
      </c>
      <c r="DZ15" t="s">
        <v>81</v>
      </c>
      <c r="EA15" t="s">
        <v>81</v>
      </c>
      <c r="EB15" t="s">
        <v>81</v>
      </c>
      <c r="EC15" t="s">
        <v>81</v>
      </c>
      <c r="ED15" t="s">
        <v>81</v>
      </c>
      <c r="EE15" t="s">
        <v>81</v>
      </c>
      <c r="EF15" t="s">
        <v>81</v>
      </c>
      <c r="EG15" t="s">
        <v>81</v>
      </c>
      <c r="EH15" t="s">
        <v>81</v>
      </c>
      <c r="EI15" t="s">
        <v>81</v>
      </c>
      <c r="EJ15" t="s">
        <v>81</v>
      </c>
      <c r="EK15" t="s">
        <v>81</v>
      </c>
      <c r="EL15" t="s">
        <v>81</v>
      </c>
      <c r="EM15" t="s">
        <v>81</v>
      </c>
      <c r="EN15" t="s">
        <v>81</v>
      </c>
      <c r="EO15" t="s">
        <v>81</v>
      </c>
      <c r="EP15" t="s">
        <v>81</v>
      </c>
      <c r="EQ15" t="s">
        <v>81</v>
      </c>
      <c r="ER15" t="s">
        <v>81</v>
      </c>
      <c r="ES15" t="s">
        <v>81</v>
      </c>
      <c r="ET15" t="s">
        <v>81</v>
      </c>
      <c r="EU15" t="s">
        <v>81</v>
      </c>
      <c r="EV15" t="s">
        <v>81</v>
      </c>
      <c r="EW15" t="s">
        <v>81</v>
      </c>
      <c r="EX15" t="s">
        <v>81</v>
      </c>
      <c r="EY15" t="s">
        <v>81</v>
      </c>
      <c r="EZ15" t="s">
        <v>81</v>
      </c>
      <c r="FA15" t="s">
        <v>81</v>
      </c>
      <c r="FB15" t="s">
        <v>81</v>
      </c>
      <c r="FC15" t="s">
        <v>81</v>
      </c>
      <c r="FD15" t="s">
        <v>81</v>
      </c>
      <c r="FE15" t="s">
        <v>81</v>
      </c>
      <c r="FF15" t="s">
        <v>81</v>
      </c>
      <c r="FG15" t="s">
        <v>81</v>
      </c>
      <c r="FH15" t="s">
        <v>81</v>
      </c>
      <c r="FI15" t="s">
        <v>81</v>
      </c>
      <c r="FJ15" t="s">
        <v>81</v>
      </c>
      <c r="FK15" t="s">
        <v>81</v>
      </c>
      <c r="FL15" t="s">
        <v>81</v>
      </c>
      <c r="FM15" t="s">
        <v>81</v>
      </c>
      <c r="FN15" t="s">
        <v>81</v>
      </c>
      <c r="FO15" t="s">
        <v>81</v>
      </c>
      <c r="FP15" t="s">
        <v>81</v>
      </c>
      <c r="FQ15" t="s">
        <v>81</v>
      </c>
      <c r="FR15" t="s">
        <v>81</v>
      </c>
      <c r="FS15" t="s">
        <v>81</v>
      </c>
      <c r="FT15" t="s">
        <v>81</v>
      </c>
      <c r="FU15" t="s">
        <v>81</v>
      </c>
      <c r="FV15" t="s">
        <v>81</v>
      </c>
      <c r="FW15" t="s">
        <v>81</v>
      </c>
      <c r="FX15" t="s">
        <v>81</v>
      </c>
      <c r="FY15" t="s">
        <v>81</v>
      </c>
      <c r="FZ15" t="s">
        <v>81</v>
      </c>
      <c r="GA15" t="s">
        <v>81</v>
      </c>
      <c r="GB15" t="s">
        <v>81</v>
      </c>
      <c r="GC15" t="s">
        <v>81</v>
      </c>
      <c r="GD15" t="s">
        <v>81</v>
      </c>
      <c r="GE15" t="s">
        <v>81</v>
      </c>
      <c r="GF15" t="s">
        <v>81</v>
      </c>
      <c r="GG15" t="s">
        <v>81</v>
      </c>
      <c r="GH15" t="s">
        <v>81</v>
      </c>
      <c r="GI15" t="s">
        <v>81</v>
      </c>
      <c r="GJ15" t="s">
        <v>81</v>
      </c>
      <c r="GK15" t="s">
        <v>81</v>
      </c>
      <c r="GL15" t="s">
        <v>81</v>
      </c>
      <c r="GM15" t="s">
        <v>81</v>
      </c>
      <c r="GN15" t="s">
        <v>81</v>
      </c>
      <c r="GO15" t="s">
        <v>81</v>
      </c>
      <c r="GP15" t="s">
        <v>81</v>
      </c>
      <c r="GQ15" t="s">
        <v>81</v>
      </c>
      <c r="GR15" t="s">
        <v>81</v>
      </c>
      <c r="GS15" t="s">
        <v>81</v>
      </c>
      <c r="GT15" t="s">
        <v>81</v>
      </c>
      <c r="GU15" t="s">
        <v>81</v>
      </c>
      <c r="GV15" t="s">
        <v>81</v>
      </c>
      <c r="GW15" t="s">
        <v>81</v>
      </c>
      <c r="GX15" t="s">
        <v>81</v>
      </c>
      <c r="GY15" t="s">
        <v>81</v>
      </c>
      <c r="GZ15" t="s">
        <v>81</v>
      </c>
      <c r="HA15" t="s">
        <v>81</v>
      </c>
      <c r="HB15" t="s">
        <v>81</v>
      </c>
      <c r="HC15" t="s">
        <v>81</v>
      </c>
      <c r="HD15" t="s">
        <v>81</v>
      </c>
      <c r="HE15" t="s">
        <v>81</v>
      </c>
      <c r="HF15" t="s">
        <v>81</v>
      </c>
      <c r="HG15" t="s">
        <v>81</v>
      </c>
      <c r="HH15" t="s">
        <v>81</v>
      </c>
      <c r="HI15" t="s">
        <v>81</v>
      </c>
      <c r="HJ15" t="s">
        <v>81</v>
      </c>
      <c r="HK15" t="s">
        <v>81</v>
      </c>
      <c r="HL15" t="s">
        <v>81</v>
      </c>
      <c r="HM15" t="s">
        <v>81</v>
      </c>
      <c r="HN15" t="s">
        <v>81</v>
      </c>
      <c r="HO15" t="s">
        <v>81</v>
      </c>
      <c r="HP15" t="s">
        <v>81</v>
      </c>
      <c r="HQ15" t="s">
        <v>81</v>
      </c>
      <c r="HR15" t="s">
        <v>81</v>
      </c>
      <c r="HS15" t="s">
        <v>81</v>
      </c>
      <c r="HT15" t="s">
        <v>81</v>
      </c>
      <c r="HU15" t="s">
        <v>81</v>
      </c>
      <c r="HV15" t="s">
        <v>81</v>
      </c>
      <c r="HW15" t="s">
        <v>81</v>
      </c>
      <c r="HX15" t="s">
        <v>81</v>
      </c>
      <c r="HY15" t="s">
        <v>81</v>
      </c>
      <c r="HZ15" t="s">
        <v>81</v>
      </c>
      <c r="IA15" t="s">
        <v>81</v>
      </c>
      <c r="IB15" t="s">
        <v>81</v>
      </c>
      <c r="IC15" t="s">
        <v>81</v>
      </c>
      <c r="ID15" t="s">
        <v>81</v>
      </c>
      <c r="IE15" t="s">
        <v>81</v>
      </c>
      <c r="IF15" t="s">
        <v>81</v>
      </c>
      <c r="IG15" t="s">
        <v>81</v>
      </c>
      <c r="IH15" t="s">
        <v>81</v>
      </c>
      <c r="II15" t="s">
        <v>81</v>
      </c>
      <c r="IJ15" t="s">
        <v>81</v>
      </c>
      <c r="IK15" t="s">
        <v>81</v>
      </c>
      <c r="IL15" t="s">
        <v>81</v>
      </c>
      <c r="IM15" t="s">
        <v>81</v>
      </c>
      <c r="IN15" t="s">
        <v>81</v>
      </c>
      <c r="IO15" t="s">
        <v>81</v>
      </c>
      <c r="IP15" t="s">
        <v>81</v>
      </c>
      <c r="IQ15" t="s">
        <v>81</v>
      </c>
      <c r="IR15" t="s">
        <v>81</v>
      </c>
      <c r="IS15" t="s">
        <v>81</v>
      </c>
      <c r="IT15" t="s">
        <v>81</v>
      </c>
      <c r="IU15" t="s">
        <v>81</v>
      </c>
      <c r="IV15" t="s">
        <v>81</v>
      </c>
      <c r="IW15" t="s">
        <v>81</v>
      </c>
      <c r="IX15" t="s">
        <v>81</v>
      </c>
      <c r="IY15" t="s">
        <v>81</v>
      </c>
      <c r="IZ15" t="s">
        <v>81</v>
      </c>
      <c r="JA15" t="s">
        <v>81</v>
      </c>
      <c r="JB15" t="s">
        <v>81</v>
      </c>
      <c r="JC15" t="s">
        <v>81</v>
      </c>
      <c r="JD15" t="s">
        <v>81</v>
      </c>
      <c r="JE15" t="s">
        <v>81</v>
      </c>
      <c r="JF15" t="s">
        <v>81</v>
      </c>
      <c r="JG15" t="s">
        <v>81</v>
      </c>
      <c r="JH15" t="s">
        <v>81</v>
      </c>
      <c r="JI15" t="s">
        <v>81</v>
      </c>
      <c r="JJ15" t="s">
        <v>81</v>
      </c>
      <c r="JK15" t="s">
        <v>81</v>
      </c>
      <c r="JL15" t="s">
        <v>81</v>
      </c>
      <c r="JM15" t="s">
        <v>81</v>
      </c>
      <c r="JN15" t="s">
        <v>81</v>
      </c>
      <c r="JO15" t="s">
        <v>81</v>
      </c>
      <c r="JP15" t="s">
        <v>81</v>
      </c>
      <c r="JQ15" t="s">
        <v>81</v>
      </c>
      <c r="JR15" t="s">
        <v>81</v>
      </c>
      <c r="JS15" t="s">
        <v>81</v>
      </c>
      <c r="JT15" t="s">
        <v>81</v>
      </c>
      <c r="JU15" t="s">
        <v>81</v>
      </c>
      <c r="JV15" t="s">
        <v>81</v>
      </c>
      <c r="JW15" t="s">
        <v>81</v>
      </c>
      <c r="JX15" t="s">
        <v>81</v>
      </c>
      <c r="JY15" t="s">
        <v>81</v>
      </c>
      <c r="JZ15" t="s">
        <v>81</v>
      </c>
      <c r="KA15" t="s">
        <v>81</v>
      </c>
      <c r="KB15" t="s">
        <v>81</v>
      </c>
      <c r="KC15" t="s">
        <v>81</v>
      </c>
      <c r="KD15" t="s">
        <v>81</v>
      </c>
      <c r="KE15" t="s">
        <v>81</v>
      </c>
      <c r="KF15" t="s">
        <v>81</v>
      </c>
      <c r="KG15" t="s">
        <v>81</v>
      </c>
      <c r="KH15" t="s">
        <v>81</v>
      </c>
      <c r="KI15" t="s">
        <v>81</v>
      </c>
      <c r="KJ15" t="s">
        <v>81</v>
      </c>
      <c r="KK15" t="s">
        <v>81</v>
      </c>
      <c r="KL15" t="s">
        <v>81</v>
      </c>
      <c r="KM15" t="s">
        <v>81</v>
      </c>
      <c r="KN15" t="s">
        <v>81</v>
      </c>
      <c r="KO15" t="s">
        <v>81</v>
      </c>
      <c r="KP15" t="s">
        <v>81</v>
      </c>
      <c r="KQ15" t="s">
        <v>81</v>
      </c>
      <c r="KR15" t="s">
        <v>81</v>
      </c>
      <c r="KS15" t="s">
        <v>81</v>
      </c>
      <c r="KT15" t="s">
        <v>81</v>
      </c>
      <c r="KU15" t="s">
        <v>81</v>
      </c>
      <c r="KV15" t="s">
        <v>81</v>
      </c>
      <c r="KW15" t="s">
        <v>81</v>
      </c>
      <c r="KX15" t="s">
        <v>81</v>
      </c>
      <c r="KY15" t="s">
        <v>81</v>
      </c>
      <c r="KZ15" t="s">
        <v>81</v>
      </c>
      <c r="LA15" t="s">
        <v>81</v>
      </c>
      <c r="LB15" t="s">
        <v>81</v>
      </c>
      <c r="LC15" t="s">
        <v>81</v>
      </c>
      <c r="LD15" t="s">
        <v>81</v>
      </c>
      <c r="LE15" t="s">
        <v>81</v>
      </c>
      <c r="LF15" t="s">
        <v>81</v>
      </c>
      <c r="LG15" t="s">
        <v>81</v>
      </c>
      <c r="LH15" t="s">
        <v>81</v>
      </c>
      <c r="LI15" t="s">
        <v>81</v>
      </c>
      <c r="LJ15" t="s">
        <v>81</v>
      </c>
      <c r="LK15" t="s">
        <v>81</v>
      </c>
      <c r="LL15" t="s">
        <v>81</v>
      </c>
      <c r="LM15" t="s">
        <v>81</v>
      </c>
      <c r="LN15" t="s">
        <v>81</v>
      </c>
      <c r="LO15" t="s">
        <v>81</v>
      </c>
      <c r="LP15" t="s">
        <v>81</v>
      </c>
      <c r="LQ15" t="s">
        <v>81</v>
      </c>
      <c r="LR15" t="s">
        <v>81</v>
      </c>
      <c r="LS15" t="s">
        <v>81</v>
      </c>
      <c r="LT15" t="s">
        <v>81</v>
      </c>
      <c r="LU15" t="s">
        <v>81</v>
      </c>
      <c r="LV15" t="s">
        <v>81</v>
      </c>
      <c r="LW15" t="s">
        <v>81</v>
      </c>
      <c r="LX15" t="s">
        <v>81</v>
      </c>
      <c r="LY15" t="s">
        <v>81</v>
      </c>
      <c r="LZ15" t="s">
        <v>81</v>
      </c>
      <c r="MA15" t="s">
        <v>81</v>
      </c>
      <c r="MB15" t="s">
        <v>81</v>
      </c>
      <c r="MC15" t="s">
        <v>81</v>
      </c>
      <c r="MD15" t="s">
        <v>81</v>
      </c>
      <c r="ME15" t="s">
        <v>81</v>
      </c>
      <c r="MF15" t="s">
        <v>81</v>
      </c>
      <c r="MG15" t="s">
        <v>81</v>
      </c>
      <c r="MH15" t="s">
        <v>81</v>
      </c>
      <c r="MI15" t="s">
        <v>81</v>
      </c>
      <c r="MJ15" t="s">
        <v>81</v>
      </c>
      <c r="MK15" t="s">
        <v>81</v>
      </c>
      <c r="ML15" t="s">
        <v>81</v>
      </c>
      <c r="MM15" t="s">
        <v>81</v>
      </c>
      <c r="MN15" t="s">
        <v>81</v>
      </c>
      <c r="MO15" t="s">
        <v>81</v>
      </c>
      <c r="MP15" t="s">
        <v>81</v>
      </c>
      <c r="MQ15" t="s">
        <v>81</v>
      </c>
      <c r="MR15" t="s">
        <v>81</v>
      </c>
      <c r="MS15" t="s">
        <v>81</v>
      </c>
      <c r="MT15" t="s">
        <v>81</v>
      </c>
      <c r="MU15" t="s">
        <v>81</v>
      </c>
      <c r="MV15" t="s">
        <v>81</v>
      </c>
      <c r="MW15" t="s">
        <v>81</v>
      </c>
      <c r="MX15" t="s">
        <v>81</v>
      </c>
      <c r="MY15" t="s">
        <v>81</v>
      </c>
      <c r="MZ15" t="s">
        <v>81</v>
      </c>
      <c r="NA15" t="s">
        <v>81</v>
      </c>
      <c r="NB15" t="s">
        <v>81</v>
      </c>
      <c r="NC15" t="s">
        <v>81</v>
      </c>
      <c r="ND15" t="s">
        <v>81</v>
      </c>
      <c r="NE15" t="s">
        <v>81</v>
      </c>
      <c r="NF15" t="s">
        <v>81</v>
      </c>
      <c r="NG15" t="s">
        <v>81</v>
      </c>
      <c r="NH15" t="s">
        <v>81</v>
      </c>
      <c r="NI15" t="s">
        <v>81</v>
      </c>
      <c r="NJ15" t="s">
        <v>81</v>
      </c>
      <c r="NK15" t="s">
        <v>81</v>
      </c>
      <c r="NL15" t="s">
        <v>81</v>
      </c>
      <c r="NM15" t="s">
        <v>81</v>
      </c>
      <c r="NN15" t="s">
        <v>81</v>
      </c>
      <c r="NO15" t="s">
        <v>81</v>
      </c>
      <c r="NP15" t="s">
        <v>81</v>
      </c>
      <c r="NQ15" t="s">
        <v>81</v>
      </c>
      <c r="NR15" t="s">
        <v>81</v>
      </c>
      <c r="NS15" t="s">
        <v>81</v>
      </c>
      <c r="NT15" t="s">
        <v>81</v>
      </c>
      <c r="NU15" t="s">
        <v>81</v>
      </c>
      <c r="NV15" t="s">
        <v>81</v>
      </c>
      <c r="NW15" t="s">
        <v>81</v>
      </c>
      <c r="NX15" t="s">
        <v>81</v>
      </c>
      <c r="NY15" t="s">
        <v>81</v>
      </c>
      <c r="NZ15" t="s">
        <v>81</v>
      </c>
      <c r="OA15" t="s">
        <v>81</v>
      </c>
      <c r="OB15" t="s">
        <v>81</v>
      </c>
      <c r="OC15" t="s">
        <v>81</v>
      </c>
      <c r="OD15" t="s">
        <v>81</v>
      </c>
      <c r="OE15" t="s">
        <v>81</v>
      </c>
      <c r="OF15" t="s">
        <v>81</v>
      </c>
      <c r="OG15" t="s">
        <v>81</v>
      </c>
      <c r="OH15" t="s">
        <v>81</v>
      </c>
      <c r="OI15" t="s">
        <v>81</v>
      </c>
      <c r="OJ15" t="s">
        <v>81</v>
      </c>
      <c r="OK15" t="s">
        <v>81</v>
      </c>
      <c r="OL15" t="s">
        <v>81</v>
      </c>
      <c r="OM15" t="s">
        <v>81</v>
      </c>
      <c r="ON15" t="s">
        <v>81</v>
      </c>
      <c r="OO15" t="s">
        <v>81</v>
      </c>
      <c r="OP15" t="s">
        <v>81</v>
      </c>
      <c r="OQ15" t="s">
        <v>81</v>
      </c>
      <c r="OR15" t="s">
        <v>81</v>
      </c>
      <c r="OS15" t="s">
        <v>81</v>
      </c>
      <c r="OT15" t="s">
        <v>81</v>
      </c>
      <c r="OU15" t="s">
        <v>81</v>
      </c>
      <c r="OV15" t="s">
        <v>81</v>
      </c>
      <c r="OW15" t="s">
        <v>81</v>
      </c>
      <c r="OX15" t="s">
        <v>81</v>
      </c>
      <c r="OY15" t="s">
        <v>81</v>
      </c>
      <c r="OZ15" t="s">
        <v>81</v>
      </c>
      <c r="PA15" t="s">
        <v>81</v>
      </c>
      <c r="PB15" t="s">
        <v>81</v>
      </c>
      <c r="PC15" t="s">
        <v>81</v>
      </c>
      <c r="PD15" t="s">
        <v>81</v>
      </c>
      <c r="PE15" t="s">
        <v>81</v>
      </c>
      <c r="PF15" t="s">
        <v>81</v>
      </c>
      <c r="PG15" t="s">
        <v>81</v>
      </c>
      <c r="PH15" t="s">
        <v>81</v>
      </c>
      <c r="PI15" t="s">
        <v>81</v>
      </c>
      <c r="PJ15" t="s">
        <v>81</v>
      </c>
      <c r="PK15" t="s">
        <v>81</v>
      </c>
      <c r="PL15" t="s">
        <v>81</v>
      </c>
      <c r="PM15" t="s">
        <v>81</v>
      </c>
      <c r="PN15" t="s">
        <v>81</v>
      </c>
      <c r="PO15" t="s">
        <v>81</v>
      </c>
      <c r="PP15" t="s">
        <v>81</v>
      </c>
      <c r="PQ15" t="s">
        <v>81</v>
      </c>
      <c r="PR15" t="s">
        <v>81</v>
      </c>
      <c r="PS15" t="s">
        <v>81</v>
      </c>
      <c r="PT15" t="s">
        <v>81</v>
      </c>
      <c r="PU15" t="s">
        <v>81</v>
      </c>
      <c r="PV15" t="s">
        <v>81</v>
      </c>
      <c r="PW15" t="s">
        <v>81</v>
      </c>
      <c r="PX15" t="s">
        <v>81</v>
      </c>
      <c r="PY15" t="s">
        <v>81</v>
      </c>
      <c r="PZ15" t="s">
        <v>81</v>
      </c>
      <c r="QA15" t="s">
        <v>81</v>
      </c>
      <c r="QB15" t="s">
        <v>81</v>
      </c>
      <c r="QC15" t="s">
        <v>81</v>
      </c>
      <c r="QD15" t="s">
        <v>81</v>
      </c>
      <c r="QE15" t="s">
        <v>81</v>
      </c>
      <c r="QF15" t="s">
        <v>81</v>
      </c>
      <c r="QG15" t="s">
        <v>81</v>
      </c>
      <c r="QH15" t="s">
        <v>81</v>
      </c>
      <c r="QI15" t="s">
        <v>81</v>
      </c>
      <c r="QJ15" t="s">
        <v>81</v>
      </c>
      <c r="QK15" t="s">
        <v>81</v>
      </c>
      <c r="QL15" t="s">
        <v>81</v>
      </c>
      <c r="QM15" t="s">
        <v>81</v>
      </c>
      <c r="QN15" t="s">
        <v>81</v>
      </c>
      <c r="QO15" t="s">
        <v>81</v>
      </c>
      <c r="QP15" t="s">
        <v>81</v>
      </c>
      <c r="QQ15" t="s">
        <v>81</v>
      </c>
      <c r="QR15" t="s">
        <v>81</v>
      </c>
      <c r="QS15" t="s">
        <v>81</v>
      </c>
      <c r="QT15" t="s">
        <v>81</v>
      </c>
      <c r="QU15" t="s">
        <v>81</v>
      </c>
      <c r="QV15" t="s">
        <v>81</v>
      </c>
      <c r="QW15" t="s">
        <v>81</v>
      </c>
      <c r="QX15" t="s">
        <v>81</v>
      </c>
      <c r="QY15" t="s">
        <v>81</v>
      </c>
      <c r="QZ15" t="s">
        <v>81</v>
      </c>
      <c r="RA15" t="s">
        <v>81</v>
      </c>
      <c r="RB15" t="s">
        <v>81</v>
      </c>
      <c r="RC15" t="s">
        <v>81</v>
      </c>
      <c r="RD15" t="s">
        <v>81</v>
      </c>
      <c r="RE15" t="s">
        <v>81</v>
      </c>
      <c r="RF15" t="s">
        <v>81</v>
      </c>
      <c r="RG15" t="s">
        <v>81</v>
      </c>
      <c r="RH15" t="s">
        <v>81</v>
      </c>
      <c r="RI15" t="s">
        <v>81</v>
      </c>
      <c r="RJ15" t="s">
        <v>81</v>
      </c>
      <c r="RK15" t="s">
        <v>81</v>
      </c>
      <c r="RL15" t="s">
        <v>81</v>
      </c>
      <c r="RM15" t="s">
        <v>81</v>
      </c>
      <c r="RN15" t="s">
        <v>81</v>
      </c>
      <c r="RO15" t="s">
        <v>81</v>
      </c>
      <c r="RP15" t="s">
        <v>81</v>
      </c>
      <c r="RQ15" t="s">
        <v>81</v>
      </c>
      <c r="RR15" t="s">
        <v>81</v>
      </c>
      <c r="RS15" t="s">
        <v>81</v>
      </c>
      <c r="RT15" t="s">
        <v>81</v>
      </c>
      <c r="RU15" t="s">
        <v>81</v>
      </c>
      <c r="RV15" t="s">
        <v>81</v>
      </c>
      <c r="RW15" t="s">
        <v>81</v>
      </c>
      <c r="RX15" t="s">
        <v>81</v>
      </c>
      <c r="RY15" t="s">
        <v>81</v>
      </c>
      <c r="RZ15" t="s">
        <v>81</v>
      </c>
      <c r="SA15" t="s">
        <v>81</v>
      </c>
      <c r="SB15" t="s">
        <v>81</v>
      </c>
      <c r="SC15" t="s">
        <v>81</v>
      </c>
      <c r="SD15" t="s">
        <v>81</v>
      </c>
      <c r="SE15" t="s">
        <v>81</v>
      </c>
      <c r="SF15" t="s">
        <v>81</v>
      </c>
      <c r="SG15" t="s">
        <v>81</v>
      </c>
      <c r="SH15" t="s">
        <v>81</v>
      </c>
      <c r="SI15" t="s">
        <v>81</v>
      </c>
      <c r="SJ15" t="s">
        <v>81</v>
      </c>
      <c r="SK15" t="s">
        <v>81</v>
      </c>
      <c r="SL15" t="s">
        <v>81</v>
      </c>
      <c r="SM15" t="s">
        <v>81</v>
      </c>
      <c r="SN15" t="s">
        <v>81</v>
      </c>
      <c r="SO15" t="s">
        <v>81</v>
      </c>
      <c r="SP15" t="s">
        <v>81</v>
      </c>
      <c r="SQ15" t="s">
        <v>81</v>
      </c>
      <c r="SR15" t="s">
        <v>81</v>
      </c>
      <c r="SS15" t="s">
        <v>81</v>
      </c>
      <c r="ST15" t="s">
        <v>81</v>
      </c>
      <c r="SU15" t="s">
        <v>81</v>
      </c>
      <c r="SV15" t="s">
        <v>81</v>
      </c>
      <c r="SW15" t="s">
        <v>81</v>
      </c>
      <c r="SX15" t="s">
        <v>81</v>
      </c>
      <c r="SY15" t="s">
        <v>81</v>
      </c>
      <c r="SZ15" t="s">
        <v>81</v>
      </c>
      <c r="TA15" t="s">
        <v>81</v>
      </c>
      <c r="TB15" t="s">
        <v>81</v>
      </c>
      <c r="TC15" t="s">
        <v>81</v>
      </c>
      <c r="TD15" t="s">
        <v>81</v>
      </c>
      <c r="TE15" t="s">
        <v>81</v>
      </c>
      <c r="TF15" t="s">
        <v>81</v>
      </c>
      <c r="TG15" t="s">
        <v>81</v>
      </c>
      <c r="TH15" t="s">
        <v>81</v>
      </c>
      <c r="TI15" t="s">
        <v>81</v>
      </c>
      <c r="TJ15" t="s">
        <v>81</v>
      </c>
      <c r="TK15" t="s">
        <v>81</v>
      </c>
      <c r="TL15" t="s">
        <v>81</v>
      </c>
      <c r="TM15" t="s">
        <v>81</v>
      </c>
      <c r="TN15" t="s">
        <v>81</v>
      </c>
      <c r="TO15" t="s">
        <v>81</v>
      </c>
      <c r="TP15" t="s">
        <v>81</v>
      </c>
      <c r="TQ15" t="s">
        <v>81</v>
      </c>
      <c r="TR15" t="s">
        <v>81</v>
      </c>
      <c r="TS15" t="s">
        <v>81</v>
      </c>
      <c r="TT15" t="s">
        <v>81</v>
      </c>
      <c r="TU15" t="s">
        <v>81</v>
      </c>
      <c r="TV15" t="s">
        <v>81</v>
      </c>
      <c r="TW15" t="s">
        <v>81</v>
      </c>
      <c r="TX15" t="s">
        <v>81</v>
      </c>
      <c r="TY15" t="s">
        <v>81</v>
      </c>
      <c r="TZ15" t="s">
        <v>81</v>
      </c>
      <c r="UA15" t="s">
        <v>81</v>
      </c>
      <c r="UB15" t="s">
        <v>81</v>
      </c>
      <c r="UC15" t="s">
        <v>81</v>
      </c>
      <c r="UD15" t="s">
        <v>81</v>
      </c>
      <c r="UE15" t="s">
        <v>81</v>
      </c>
      <c r="UF15" t="s">
        <v>81</v>
      </c>
      <c r="UG15" t="s">
        <v>81</v>
      </c>
      <c r="UH15" t="s">
        <v>81</v>
      </c>
      <c r="UI15" t="s">
        <v>81</v>
      </c>
      <c r="UJ15" t="s">
        <v>81</v>
      </c>
      <c r="UK15" t="s">
        <v>81</v>
      </c>
      <c r="UL15" t="s">
        <v>81</v>
      </c>
      <c r="UM15" t="s">
        <v>81</v>
      </c>
      <c r="UN15" t="s">
        <v>81</v>
      </c>
      <c r="UO15" t="s">
        <v>81</v>
      </c>
      <c r="UP15" t="s">
        <v>81</v>
      </c>
      <c r="UQ15" t="s">
        <v>81</v>
      </c>
      <c r="UR15" t="s">
        <v>81</v>
      </c>
      <c r="US15" t="s">
        <v>81</v>
      </c>
      <c r="UT15" t="s">
        <v>81</v>
      </c>
      <c r="UU15" t="s">
        <v>81</v>
      </c>
      <c r="UV15" t="s">
        <v>81</v>
      </c>
      <c r="UW15" t="s">
        <v>81</v>
      </c>
      <c r="UX15" t="s">
        <v>81</v>
      </c>
      <c r="UY15" t="s">
        <v>81</v>
      </c>
      <c r="UZ15" t="s">
        <v>81</v>
      </c>
      <c r="VA15" t="s">
        <v>81</v>
      </c>
      <c r="VB15" t="s">
        <v>81</v>
      </c>
      <c r="VC15" t="s">
        <v>81</v>
      </c>
      <c r="VD15" t="s">
        <v>81</v>
      </c>
      <c r="VE15" t="s">
        <v>81</v>
      </c>
      <c r="VF15" t="s">
        <v>81</v>
      </c>
      <c r="VG15" t="s">
        <v>81</v>
      </c>
      <c r="VH15" t="s">
        <v>81</v>
      </c>
      <c r="VI15" t="s">
        <v>81</v>
      </c>
      <c r="VJ15" t="s">
        <v>81</v>
      </c>
      <c r="VK15" t="s">
        <v>81</v>
      </c>
      <c r="VL15" t="s">
        <v>81</v>
      </c>
      <c r="VM15" t="s">
        <v>81</v>
      </c>
      <c r="VN15" t="s">
        <v>81</v>
      </c>
      <c r="VO15" t="s">
        <v>81</v>
      </c>
      <c r="VP15" t="s">
        <v>81</v>
      </c>
      <c r="VQ15" t="s">
        <v>81</v>
      </c>
      <c r="VR15" t="s">
        <v>81</v>
      </c>
      <c r="VS15" t="s">
        <v>81</v>
      </c>
      <c r="VT15" t="s">
        <v>81</v>
      </c>
      <c r="VU15" t="s">
        <v>81</v>
      </c>
      <c r="VV15" t="s">
        <v>81</v>
      </c>
      <c r="VW15" t="s">
        <v>81</v>
      </c>
      <c r="VX15" t="s">
        <v>81</v>
      </c>
      <c r="VY15" t="s">
        <v>81</v>
      </c>
      <c r="VZ15" t="s">
        <v>81</v>
      </c>
      <c r="WA15" t="s">
        <v>81</v>
      </c>
      <c r="WB15" t="s">
        <v>81</v>
      </c>
      <c r="WC15" t="s">
        <v>81</v>
      </c>
      <c r="WD15" t="s">
        <v>81</v>
      </c>
      <c r="WE15" t="s">
        <v>81</v>
      </c>
      <c r="WF15" t="s">
        <v>81</v>
      </c>
      <c r="WG15" t="s">
        <v>81</v>
      </c>
      <c r="WH15" t="s">
        <v>81</v>
      </c>
      <c r="WI15" t="s">
        <v>81</v>
      </c>
      <c r="WJ15" t="s">
        <v>81</v>
      </c>
      <c r="WK15" t="s">
        <v>81</v>
      </c>
      <c r="WL15" t="s">
        <v>81</v>
      </c>
      <c r="WM15" t="s">
        <v>81</v>
      </c>
      <c r="WN15" t="s">
        <v>81</v>
      </c>
      <c r="WO15" t="s">
        <v>81</v>
      </c>
      <c r="WP15" t="s">
        <v>81</v>
      </c>
      <c r="WQ15" t="s">
        <v>81</v>
      </c>
      <c r="WR15" t="s">
        <v>81</v>
      </c>
      <c r="WS15" t="s">
        <v>81</v>
      </c>
      <c r="WT15" t="s">
        <v>81</v>
      </c>
      <c r="WU15" t="s">
        <v>81</v>
      </c>
      <c r="WV15" t="s">
        <v>81</v>
      </c>
      <c r="WW15" t="s">
        <v>81</v>
      </c>
      <c r="WX15" t="s">
        <v>81</v>
      </c>
      <c r="WY15" t="s">
        <v>81</v>
      </c>
      <c r="WZ15" t="s">
        <v>81</v>
      </c>
      <c r="XA15" t="s">
        <v>81</v>
      </c>
      <c r="XB15" t="s">
        <v>81</v>
      </c>
      <c r="XC15" t="s">
        <v>81</v>
      </c>
      <c r="XD15" t="s">
        <v>81</v>
      </c>
      <c r="XE15" t="s">
        <v>81</v>
      </c>
      <c r="XF15" t="s">
        <v>81</v>
      </c>
      <c r="XG15" t="s">
        <v>81</v>
      </c>
      <c r="XH15" t="s">
        <v>81</v>
      </c>
      <c r="XI15" t="s">
        <v>81</v>
      </c>
      <c r="XJ15" t="s">
        <v>81</v>
      </c>
      <c r="XK15" t="s">
        <v>81</v>
      </c>
      <c r="XL15" t="s">
        <v>81</v>
      </c>
      <c r="XM15" t="s">
        <v>81</v>
      </c>
      <c r="XN15" t="s">
        <v>81</v>
      </c>
      <c r="XO15" t="s">
        <v>81</v>
      </c>
      <c r="XP15" t="s">
        <v>81</v>
      </c>
      <c r="XQ15" t="s">
        <v>81</v>
      </c>
      <c r="XR15" t="s">
        <v>81</v>
      </c>
      <c r="XS15" t="s">
        <v>81</v>
      </c>
      <c r="XT15" t="s">
        <v>81</v>
      </c>
      <c r="XU15" t="s">
        <v>81</v>
      </c>
      <c r="XV15" t="s">
        <v>81</v>
      </c>
      <c r="XW15" t="s">
        <v>81</v>
      </c>
      <c r="XX15" t="s">
        <v>81</v>
      </c>
      <c r="XY15" t="s">
        <v>81</v>
      </c>
      <c r="XZ15" t="s">
        <v>81</v>
      </c>
      <c r="YA15" t="s">
        <v>81</v>
      </c>
      <c r="YB15" t="s">
        <v>81</v>
      </c>
      <c r="YC15" t="s">
        <v>81</v>
      </c>
      <c r="YD15" t="s">
        <v>81</v>
      </c>
      <c r="YE15" t="s">
        <v>81</v>
      </c>
      <c r="YF15" t="s">
        <v>81</v>
      </c>
      <c r="YG15" t="s">
        <v>81</v>
      </c>
      <c r="YH15" t="s">
        <v>81</v>
      </c>
      <c r="YI15" t="s">
        <v>81</v>
      </c>
      <c r="YJ15" t="s">
        <v>81</v>
      </c>
      <c r="YK15" t="s">
        <v>81</v>
      </c>
      <c r="YL15" t="s">
        <v>81</v>
      </c>
      <c r="YM15" t="s">
        <v>81</v>
      </c>
      <c r="YN15" t="s">
        <v>81</v>
      </c>
      <c r="YO15" t="s">
        <v>81</v>
      </c>
      <c r="YP15" t="s">
        <v>81</v>
      </c>
      <c r="YQ15" t="s">
        <v>81</v>
      </c>
      <c r="YR15" t="s">
        <v>81</v>
      </c>
      <c r="YS15" t="s">
        <v>81</v>
      </c>
      <c r="YT15" t="s">
        <v>81</v>
      </c>
      <c r="YU15" t="s">
        <v>81</v>
      </c>
      <c r="YV15" t="s">
        <v>81</v>
      </c>
      <c r="YW15" t="s">
        <v>81</v>
      </c>
      <c r="YX15" t="s">
        <v>81</v>
      </c>
      <c r="YY15" t="s">
        <v>81</v>
      </c>
      <c r="YZ15" t="s">
        <v>81</v>
      </c>
      <c r="ZA15" t="s">
        <v>81</v>
      </c>
      <c r="ZB15" t="s">
        <v>81</v>
      </c>
      <c r="ZC15" t="s">
        <v>81</v>
      </c>
      <c r="ZD15" t="s">
        <v>81</v>
      </c>
      <c r="ZE15" t="s">
        <v>81</v>
      </c>
      <c r="ZF15" t="s">
        <v>81</v>
      </c>
      <c r="ZG15" t="s">
        <v>81</v>
      </c>
      <c r="ZH15" t="s">
        <v>81</v>
      </c>
      <c r="ZI15" t="s">
        <v>81</v>
      </c>
      <c r="ZJ15" t="s">
        <v>81</v>
      </c>
      <c r="ZK15" t="s">
        <v>81</v>
      </c>
      <c r="ZL15" t="s">
        <v>81</v>
      </c>
      <c r="ZM15" t="s">
        <v>81</v>
      </c>
      <c r="ZN15" t="s">
        <v>81</v>
      </c>
      <c r="ZO15" t="s">
        <v>81</v>
      </c>
      <c r="ZP15" t="s">
        <v>81</v>
      </c>
      <c r="ZQ15" t="s">
        <v>81</v>
      </c>
      <c r="ZR15" t="s">
        <v>81</v>
      </c>
      <c r="ZS15" t="s">
        <v>81</v>
      </c>
      <c r="ZT15" t="s">
        <v>81</v>
      </c>
      <c r="ZU15" t="s">
        <v>81</v>
      </c>
      <c r="ZV15" t="s">
        <v>81</v>
      </c>
      <c r="ZW15" t="s">
        <v>81</v>
      </c>
      <c r="ZX15" t="s">
        <v>81</v>
      </c>
      <c r="ZY15" t="s">
        <v>81</v>
      </c>
      <c r="ZZ15" t="s">
        <v>81</v>
      </c>
      <c r="AAA15" t="s">
        <v>81</v>
      </c>
      <c r="AAB15" t="s">
        <v>81</v>
      </c>
      <c r="AAC15" t="s">
        <v>81</v>
      </c>
      <c r="AAD15" t="s">
        <v>81</v>
      </c>
      <c r="AAE15" t="s">
        <v>81</v>
      </c>
      <c r="AAF15" t="s">
        <v>81</v>
      </c>
      <c r="AAG15" t="s">
        <v>81</v>
      </c>
      <c r="AAH15" t="s">
        <v>81</v>
      </c>
      <c r="AAI15" t="s">
        <v>81</v>
      </c>
      <c r="AAJ15" t="s">
        <v>81</v>
      </c>
      <c r="AAK15" t="s">
        <v>81</v>
      </c>
      <c r="AAL15" t="s">
        <v>81</v>
      </c>
      <c r="AAM15" t="s">
        <v>81</v>
      </c>
      <c r="AAN15" t="s">
        <v>81</v>
      </c>
      <c r="AAO15" t="s">
        <v>81</v>
      </c>
      <c r="AAP15" t="s">
        <v>81</v>
      </c>
      <c r="AAQ15" t="s">
        <v>81</v>
      </c>
      <c r="AAR15" t="s">
        <v>81</v>
      </c>
      <c r="AAS15" t="s">
        <v>81</v>
      </c>
      <c r="AAT15" t="s">
        <v>81</v>
      </c>
      <c r="AAU15" t="s">
        <v>81</v>
      </c>
      <c r="AAV15" t="s">
        <v>81</v>
      </c>
      <c r="AAW15" t="s">
        <v>81</v>
      </c>
      <c r="AAX15" t="s">
        <v>81</v>
      </c>
      <c r="AAY15" t="s">
        <v>81</v>
      </c>
      <c r="AAZ15" t="s">
        <v>81</v>
      </c>
      <c r="ABA15" t="s">
        <v>81</v>
      </c>
      <c r="ABB15" t="s">
        <v>81</v>
      </c>
      <c r="ABC15" t="s">
        <v>81</v>
      </c>
      <c r="ABD15" t="s">
        <v>81</v>
      </c>
      <c r="ABE15" t="s">
        <v>81</v>
      </c>
      <c r="ABF15" t="s">
        <v>81</v>
      </c>
      <c r="ABG15" t="s">
        <v>81</v>
      </c>
      <c r="ABH15" t="s">
        <v>81</v>
      </c>
      <c r="ABI15" t="s">
        <v>81</v>
      </c>
      <c r="ABJ15" t="s">
        <v>81</v>
      </c>
      <c r="ABK15" t="s">
        <v>81</v>
      </c>
      <c r="ABL15" t="s">
        <v>81</v>
      </c>
      <c r="ABM15" t="s">
        <v>81</v>
      </c>
      <c r="ABN15" t="s">
        <v>81</v>
      </c>
      <c r="ABO15" t="s">
        <v>81</v>
      </c>
      <c r="ABP15" t="s">
        <v>81</v>
      </c>
      <c r="ABQ15" t="s">
        <v>81</v>
      </c>
      <c r="ABR15" t="s">
        <v>81</v>
      </c>
      <c r="ABS15" t="s">
        <v>81</v>
      </c>
      <c r="ABT15" t="s">
        <v>81</v>
      </c>
      <c r="ABU15" t="s">
        <v>81</v>
      </c>
      <c r="ABV15" t="s">
        <v>81</v>
      </c>
      <c r="ABW15" t="s">
        <v>81</v>
      </c>
      <c r="ABX15" t="s">
        <v>81</v>
      </c>
      <c r="ABY15" t="s">
        <v>81</v>
      </c>
      <c r="ABZ15" t="s">
        <v>81</v>
      </c>
      <c r="ACA15" t="s">
        <v>81</v>
      </c>
      <c r="ACB15" t="s">
        <v>81</v>
      </c>
      <c r="ACC15" t="s">
        <v>81</v>
      </c>
      <c r="ACD15" t="s">
        <v>81</v>
      </c>
      <c r="ACE15" t="s">
        <v>81</v>
      </c>
      <c r="ACF15" t="s">
        <v>81</v>
      </c>
      <c r="ACG15" t="s">
        <v>81</v>
      </c>
      <c r="ACH15" t="s">
        <v>81</v>
      </c>
      <c r="ACI15" t="s">
        <v>81</v>
      </c>
      <c r="ACJ15" t="s">
        <v>81</v>
      </c>
      <c r="ACK15" t="s">
        <v>81</v>
      </c>
      <c r="ACL15" t="s">
        <v>81</v>
      </c>
      <c r="ACM15" t="s">
        <v>81</v>
      </c>
      <c r="ACN15" t="s">
        <v>81</v>
      </c>
      <c r="ACO15" t="s">
        <v>81</v>
      </c>
      <c r="ACP15" t="s">
        <v>81</v>
      </c>
      <c r="ACQ15" t="s">
        <v>81</v>
      </c>
      <c r="ACR15" t="s">
        <v>81</v>
      </c>
      <c r="ACS15" t="s">
        <v>81</v>
      </c>
      <c r="ACT15" t="s">
        <v>81</v>
      </c>
      <c r="ACU15" t="s">
        <v>81</v>
      </c>
      <c r="ACV15" t="s">
        <v>81</v>
      </c>
      <c r="ACW15" t="s">
        <v>81</v>
      </c>
      <c r="ACX15" t="s">
        <v>81</v>
      </c>
      <c r="ACY15" t="s">
        <v>81</v>
      </c>
      <c r="ACZ15" t="s">
        <v>81</v>
      </c>
      <c r="ADA15" t="s">
        <v>81</v>
      </c>
      <c r="ADB15" t="s">
        <v>81</v>
      </c>
      <c r="ADC15" t="s">
        <v>81</v>
      </c>
      <c r="ADD15" t="s">
        <v>81</v>
      </c>
      <c r="ADE15" t="s">
        <v>81</v>
      </c>
      <c r="ADF15" t="s">
        <v>81</v>
      </c>
      <c r="ADG15" t="s">
        <v>81</v>
      </c>
      <c r="ADH15" t="s">
        <v>81</v>
      </c>
      <c r="ADI15" t="s">
        <v>81</v>
      </c>
      <c r="ADJ15" t="s">
        <v>81</v>
      </c>
      <c r="ADK15" t="s">
        <v>81</v>
      </c>
      <c r="ADL15" t="s">
        <v>81</v>
      </c>
      <c r="ADM15" t="s">
        <v>81</v>
      </c>
      <c r="ADN15" t="s">
        <v>81</v>
      </c>
      <c r="ADO15" t="s">
        <v>81</v>
      </c>
      <c r="ADP15" t="s">
        <v>81</v>
      </c>
      <c r="ADQ15" t="s">
        <v>81</v>
      </c>
      <c r="ADR15" t="s">
        <v>81</v>
      </c>
      <c r="ADS15" t="s">
        <v>81</v>
      </c>
      <c r="ADT15" t="s">
        <v>81</v>
      </c>
      <c r="ADU15" t="s">
        <v>81</v>
      </c>
      <c r="ADV15" t="s">
        <v>81</v>
      </c>
      <c r="ADW15" t="s">
        <v>81</v>
      </c>
      <c r="ADX15" t="s">
        <v>81</v>
      </c>
      <c r="ADY15" t="s">
        <v>81</v>
      </c>
      <c r="ADZ15" t="s">
        <v>81</v>
      </c>
      <c r="AEA15" t="s">
        <v>81</v>
      </c>
      <c r="AEB15" t="s">
        <v>81</v>
      </c>
      <c r="AEC15" t="s">
        <v>81</v>
      </c>
      <c r="AED15" t="s">
        <v>81</v>
      </c>
      <c r="AEE15" t="s">
        <v>81</v>
      </c>
      <c r="AEF15" t="s">
        <v>81</v>
      </c>
      <c r="AEG15" t="s">
        <v>81</v>
      </c>
      <c r="AEH15" t="s">
        <v>81</v>
      </c>
      <c r="AEI15" t="s">
        <v>81</v>
      </c>
      <c r="AEJ15" t="s">
        <v>81</v>
      </c>
      <c r="AEK15" t="s">
        <v>81</v>
      </c>
      <c r="AEL15" t="s">
        <v>81</v>
      </c>
      <c r="AEM15" t="s">
        <v>81</v>
      </c>
      <c r="AEN15" t="s">
        <v>81</v>
      </c>
      <c r="AEO15" t="s">
        <v>81</v>
      </c>
      <c r="AEP15" t="s">
        <v>81</v>
      </c>
      <c r="AEQ15" t="s">
        <v>81</v>
      </c>
      <c r="AER15" t="s">
        <v>81</v>
      </c>
      <c r="AES15" t="s">
        <v>81</v>
      </c>
      <c r="AET15" t="s">
        <v>81</v>
      </c>
      <c r="AEU15" t="s">
        <v>81</v>
      </c>
      <c r="AEV15" t="s">
        <v>81</v>
      </c>
      <c r="AEW15" t="s">
        <v>81</v>
      </c>
      <c r="AEX15" t="s">
        <v>81</v>
      </c>
      <c r="AEY15" t="s">
        <v>81</v>
      </c>
      <c r="AEZ15" t="s">
        <v>81</v>
      </c>
      <c r="AFA15" t="s">
        <v>81</v>
      </c>
      <c r="AFB15" t="s">
        <v>81</v>
      </c>
      <c r="AFC15" t="s">
        <v>81</v>
      </c>
      <c r="AFD15" t="s">
        <v>81</v>
      </c>
      <c r="AFE15" t="s">
        <v>81</v>
      </c>
      <c r="AFF15" t="s">
        <v>81</v>
      </c>
      <c r="AFG15" t="s">
        <v>81</v>
      </c>
      <c r="AFH15" t="s">
        <v>81</v>
      </c>
      <c r="AFI15" t="s">
        <v>81</v>
      </c>
      <c r="AFJ15" t="s">
        <v>81</v>
      </c>
      <c r="AFK15" t="s">
        <v>81</v>
      </c>
      <c r="AFL15" t="s">
        <v>81</v>
      </c>
      <c r="AFM15" t="s">
        <v>81</v>
      </c>
      <c r="AFN15" t="s">
        <v>81</v>
      </c>
      <c r="AFO15" t="s">
        <v>81</v>
      </c>
      <c r="AFP15" t="s">
        <v>81</v>
      </c>
      <c r="AFQ15" t="s">
        <v>81</v>
      </c>
      <c r="AFR15" t="s">
        <v>81</v>
      </c>
      <c r="AFS15" t="s">
        <v>81</v>
      </c>
      <c r="AFT15" t="s">
        <v>81</v>
      </c>
      <c r="AFU15" t="s">
        <v>81</v>
      </c>
      <c r="AFV15" t="s">
        <v>81</v>
      </c>
      <c r="AFW15" t="s">
        <v>81</v>
      </c>
      <c r="AFX15" t="s">
        <v>81</v>
      </c>
      <c r="AFY15" t="s">
        <v>81</v>
      </c>
      <c r="AFZ15" t="s">
        <v>81</v>
      </c>
      <c r="AGA15" t="s">
        <v>81</v>
      </c>
      <c r="AGB15" t="s">
        <v>81</v>
      </c>
      <c r="AGC15" t="s">
        <v>81</v>
      </c>
      <c r="AGD15" t="s">
        <v>81</v>
      </c>
      <c r="AGE15" t="s">
        <v>81</v>
      </c>
      <c r="AGF15" t="s">
        <v>81</v>
      </c>
      <c r="AGG15" t="s">
        <v>81</v>
      </c>
      <c r="AGH15" t="s">
        <v>81</v>
      </c>
      <c r="AGI15" t="s">
        <v>81</v>
      </c>
      <c r="AGJ15" t="s">
        <v>81</v>
      </c>
      <c r="AGK15" t="s">
        <v>81</v>
      </c>
      <c r="AGL15" t="s">
        <v>81</v>
      </c>
      <c r="AGM15" t="s">
        <v>81</v>
      </c>
      <c r="AGN15" t="s">
        <v>81</v>
      </c>
      <c r="AGO15" t="s">
        <v>81</v>
      </c>
      <c r="AGP15" t="s">
        <v>81</v>
      </c>
      <c r="AGQ15" t="s">
        <v>81</v>
      </c>
      <c r="AGR15" t="s">
        <v>81</v>
      </c>
      <c r="AGS15" t="s">
        <v>81</v>
      </c>
      <c r="AGT15" t="s">
        <v>81</v>
      </c>
      <c r="AGU15" t="s">
        <v>81</v>
      </c>
      <c r="AGV15" t="s">
        <v>81</v>
      </c>
      <c r="AGW15" t="s">
        <v>81</v>
      </c>
      <c r="AGX15" t="s">
        <v>81</v>
      </c>
      <c r="AGY15" t="s">
        <v>81</v>
      </c>
      <c r="AGZ15" t="s">
        <v>81</v>
      </c>
      <c r="AHA15" t="s">
        <v>81</v>
      </c>
      <c r="AHB15" t="s">
        <v>81</v>
      </c>
      <c r="AHC15" t="s">
        <v>81</v>
      </c>
      <c r="AHD15" t="s">
        <v>81</v>
      </c>
      <c r="AHE15" t="s">
        <v>81</v>
      </c>
      <c r="AHF15" t="s">
        <v>81</v>
      </c>
      <c r="AHG15" t="s">
        <v>81</v>
      </c>
      <c r="AHH15" t="s">
        <v>81</v>
      </c>
      <c r="AHI15" t="s">
        <v>81</v>
      </c>
      <c r="AHJ15" t="s">
        <v>81</v>
      </c>
      <c r="AHK15" t="s">
        <v>81</v>
      </c>
      <c r="AHL15" t="s">
        <v>81</v>
      </c>
      <c r="AHM15" t="s">
        <v>81</v>
      </c>
      <c r="AHN15" t="s">
        <v>81</v>
      </c>
      <c r="AHO15" t="s">
        <v>81</v>
      </c>
      <c r="AHP15" t="s">
        <v>81</v>
      </c>
      <c r="AHQ15" t="s">
        <v>81</v>
      </c>
      <c r="AHR15" t="s">
        <v>81</v>
      </c>
      <c r="AHS15" t="s">
        <v>81</v>
      </c>
      <c r="AHT15" t="s">
        <v>81</v>
      </c>
      <c r="AHU15" t="s">
        <v>81</v>
      </c>
      <c r="AHV15" t="s">
        <v>81</v>
      </c>
      <c r="AHW15" t="s">
        <v>81</v>
      </c>
      <c r="AHX15" t="s">
        <v>81</v>
      </c>
      <c r="AHY15" t="s">
        <v>81</v>
      </c>
      <c r="AHZ15" t="s">
        <v>81</v>
      </c>
      <c r="AIA15" t="s">
        <v>81</v>
      </c>
      <c r="AIB15" t="s">
        <v>81</v>
      </c>
      <c r="AIC15" t="s">
        <v>81</v>
      </c>
      <c r="AID15" t="s">
        <v>81</v>
      </c>
      <c r="AIE15" t="s">
        <v>81</v>
      </c>
      <c r="AIF15" t="s">
        <v>81</v>
      </c>
      <c r="AIG15" t="s">
        <v>81</v>
      </c>
      <c r="AIH15" t="s">
        <v>81</v>
      </c>
      <c r="AII15" t="s">
        <v>81</v>
      </c>
      <c r="AIJ15" t="s">
        <v>81</v>
      </c>
      <c r="AIK15" t="s">
        <v>81</v>
      </c>
      <c r="AIL15" t="s">
        <v>81</v>
      </c>
      <c r="AIM15" t="s">
        <v>81</v>
      </c>
      <c r="AIN15" t="s">
        <v>81</v>
      </c>
      <c r="AIO15" t="s">
        <v>81</v>
      </c>
      <c r="AIP15" t="s">
        <v>81</v>
      </c>
      <c r="AIQ15" t="s">
        <v>81</v>
      </c>
      <c r="AIR15" t="s">
        <v>81</v>
      </c>
      <c r="AIS15" t="s">
        <v>81</v>
      </c>
      <c r="AIT15" t="s">
        <v>81</v>
      </c>
      <c r="AIU15" t="s">
        <v>81</v>
      </c>
      <c r="AIV15" t="s">
        <v>81</v>
      </c>
      <c r="AIW15" t="s">
        <v>81</v>
      </c>
      <c r="AIX15" t="s">
        <v>81</v>
      </c>
      <c r="AIY15" t="s">
        <v>81</v>
      </c>
      <c r="AIZ15" t="s">
        <v>81</v>
      </c>
      <c r="AJA15" t="s">
        <v>81</v>
      </c>
      <c r="AJB15" t="s">
        <v>81</v>
      </c>
      <c r="AJC15" t="s">
        <v>81</v>
      </c>
      <c r="AJD15" t="s">
        <v>81</v>
      </c>
      <c r="AJE15" t="s">
        <v>81</v>
      </c>
      <c r="AJF15" t="s">
        <v>81</v>
      </c>
      <c r="AJG15" t="s">
        <v>81</v>
      </c>
      <c r="AJH15" t="s">
        <v>81</v>
      </c>
      <c r="AJI15" t="s">
        <v>81</v>
      </c>
      <c r="AJJ15" t="s">
        <v>81</v>
      </c>
      <c r="AJK15" t="s">
        <v>81</v>
      </c>
      <c r="AJL15" t="s">
        <v>81</v>
      </c>
      <c r="AJM15" t="s">
        <v>81</v>
      </c>
      <c r="AJN15" t="s">
        <v>81</v>
      </c>
      <c r="AJO15" t="s">
        <v>81</v>
      </c>
      <c r="AJP15" t="s">
        <v>81</v>
      </c>
      <c r="AJQ15" t="s">
        <v>81</v>
      </c>
      <c r="AJR15" t="s">
        <v>450</v>
      </c>
      <c r="AJS15" t="s">
        <v>450</v>
      </c>
      <c r="AJT15" t="s">
        <v>450</v>
      </c>
      <c r="AJU15" t="s">
        <v>450</v>
      </c>
      <c r="AJV15" t="s">
        <v>450</v>
      </c>
      <c r="AJW15" t="s">
        <v>450</v>
      </c>
      <c r="AJX15" t="s">
        <v>450</v>
      </c>
      <c r="AJY15" t="s">
        <v>450</v>
      </c>
      <c r="AJZ15" t="s">
        <v>450</v>
      </c>
      <c r="AKA15" t="s">
        <v>450</v>
      </c>
      <c r="AKB15" t="s">
        <v>450</v>
      </c>
      <c r="AKC15" t="s">
        <v>450</v>
      </c>
      <c r="AKD15" t="s">
        <v>450</v>
      </c>
      <c r="AKE15" t="s">
        <v>450</v>
      </c>
      <c r="AKF15" t="s">
        <v>450</v>
      </c>
      <c r="AKG15" t="s">
        <v>450</v>
      </c>
      <c r="AKH15" t="s">
        <v>450</v>
      </c>
      <c r="AKI15" t="s">
        <v>450</v>
      </c>
      <c r="AKJ15" t="s">
        <v>52</v>
      </c>
      <c r="AKK15" t="s">
        <v>52</v>
      </c>
      <c r="AKL15" t="s">
        <v>52</v>
      </c>
      <c r="AKM15" t="s">
        <v>52</v>
      </c>
      <c r="AKN15" t="s">
        <v>450</v>
      </c>
      <c r="AKO15" t="s">
        <v>450</v>
      </c>
      <c r="AKP15" t="s">
        <v>450</v>
      </c>
      <c r="AKQ15" t="s">
        <v>450</v>
      </c>
      <c r="AKR15" t="s">
        <v>450</v>
      </c>
      <c r="AKS15" t="s">
        <v>52</v>
      </c>
      <c r="AKT15" t="s">
        <v>52</v>
      </c>
      <c r="AKU15" t="s">
        <v>590</v>
      </c>
      <c r="AKV15" t="s">
        <v>590</v>
      </c>
      <c r="AKW15" t="s">
        <v>590</v>
      </c>
    </row>
    <row r="16" spans="1:985" ht="14.4" customHeight="1" x14ac:dyDescent="0.55000000000000004">
      <c r="A16" t="s">
        <v>58</v>
      </c>
      <c r="B16" t="s">
        <v>521</v>
      </c>
      <c r="C16" s="1" t="s">
        <v>700</v>
      </c>
      <c r="D16" t="s">
        <v>60</v>
      </c>
      <c r="E16" t="s">
        <v>60</v>
      </c>
      <c r="F16" t="s">
        <v>60</v>
      </c>
      <c r="G16" t="s">
        <v>60</v>
      </c>
      <c r="H16" t="s">
        <v>60</v>
      </c>
      <c r="I16" t="s">
        <v>60</v>
      </c>
      <c r="J16" t="s">
        <v>60</v>
      </c>
      <c r="K16" t="s">
        <v>60</v>
      </c>
      <c r="L16" t="s">
        <v>60</v>
      </c>
      <c r="M16" t="s">
        <v>60</v>
      </c>
      <c r="N16" t="s">
        <v>60</v>
      </c>
      <c r="O16" t="s">
        <v>60</v>
      </c>
      <c r="P16" t="s">
        <v>60</v>
      </c>
      <c r="Q16" t="s">
        <v>60</v>
      </c>
      <c r="R16" t="s">
        <v>60</v>
      </c>
      <c r="S16" t="s">
        <v>60</v>
      </c>
      <c r="T16" t="s">
        <v>60</v>
      </c>
      <c r="U16" t="s">
        <v>60</v>
      </c>
      <c r="V16" t="s">
        <v>60</v>
      </c>
      <c r="W16" t="s">
        <v>60</v>
      </c>
      <c r="X16" t="s">
        <v>60</v>
      </c>
      <c r="Y16" t="s">
        <v>60</v>
      </c>
      <c r="Z16" t="s">
        <v>60</v>
      </c>
      <c r="AA16" t="s">
        <v>60</v>
      </c>
      <c r="AB16" t="s">
        <v>60</v>
      </c>
      <c r="AC16" t="s">
        <v>60</v>
      </c>
      <c r="AD16" t="s">
        <v>60</v>
      </c>
      <c r="AE16" t="s">
        <v>60</v>
      </c>
      <c r="AF16" t="s">
        <v>60</v>
      </c>
      <c r="AG16" t="s">
        <v>60</v>
      </c>
      <c r="AH16" t="s">
        <v>60</v>
      </c>
      <c r="AI16" t="s">
        <v>60</v>
      </c>
      <c r="AJ16" t="s">
        <v>60</v>
      </c>
      <c r="AK16" t="s">
        <v>60</v>
      </c>
      <c r="AL16" t="s">
        <v>60</v>
      </c>
      <c r="AM16" t="s">
        <v>60</v>
      </c>
      <c r="AN16" t="s">
        <v>60</v>
      </c>
      <c r="AO16" t="s">
        <v>60</v>
      </c>
      <c r="AP16" t="s">
        <v>60</v>
      </c>
      <c r="AQ16" t="s">
        <v>60</v>
      </c>
      <c r="AR16" t="s">
        <v>60</v>
      </c>
      <c r="AS16" t="s">
        <v>60</v>
      </c>
      <c r="AT16" t="s">
        <v>60</v>
      </c>
      <c r="AU16" t="s">
        <v>60</v>
      </c>
      <c r="AV16" t="s">
        <v>60</v>
      </c>
      <c r="AW16" t="s">
        <v>60</v>
      </c>
      <c r="AX16" t="s">
        <v>60</v>
      </c>
      <c r="AY16" t="s">
        <v>60</v>
      </c>
      <c r="AZ16" t="s">
        <v>60</v>
      </c>
      <c r="BA16" t="s">
        <v>60</v>
      </c>
      <c r="BB16" t="s">
        <v>60</v>
      </c>
      <c r="BC16" t="s">
        <v>60</v>
      </c>
      <c r="BD16" t="s">
        <v>60</v>
      </c>
      <c r="BE16" t="s">
        <v>60</v>
      </c>
      <c r="BF16" t="s">
        <v>60</v>
      </c>
      <c r="BG16" t="s">
        <v>60</v>
      </c>
      <c r="BH16" t="s">
        <v>60</v>
      </c>
      <c r="BI16" t="s">
        <v>60</v>
      </c>
      <c r="BJ16" t="s">
        <v>60</v>
      </c>
      <c r="BK16" t="s">
        <v>60</v>
      </c>
      <c r="BL16" t="s">
        <v>60</v>
      </c>
      <c r="BM16" t="s">
        <v>60</v>
      </c>
      <c r="BN16" t="s">
        <v>60</v>
      </c>
      <c r="BO16" t="s">
        <v>60</v>
      </c>
      <c r="BP16" t="s">
        <v>60</v>
      </c>
      <c r="BQ16" t="s">
        <v>60</v>
      </c>
      <c r="BR16" t="s">
        <v>60</v>
      </c>
      <c r="BS16" t="s">
        <v>60</v>
      </c>
      <c r="BT16" t="s">
        <v>60</v>
      </c>
      <c r="BU16" t="s">
        <v>60</v>
      </c>
      <c r="BV16" t="s">
        <v>60</v>
      </c>
      <c r="BW16" t="s">
        <v>60</v>
      </c>
      <c r="BX16" t="s">
        <v>60</v>
      </c>
      <c r="BY16" t="s">
        <v>60</v>
      </c>
      <c r="BZ16" t="s">
        <v>60</v>
      </c>
      <c r="CA16" t="s">
        <v>82</v>
      </c>
      <c r="CB16" t="s">
        <v>82</v>
      </c>
      <c r="CC16" t="s">
        <v>82</v>
      </c>
      <c r="CD16" t="s">
        <v>82</v>
      </c>
      <c r="CE16" t="s">
        <v>82</v>
      </c>
      <c r="CF16" t="s">
        <v>82</v>
      </c>
      <c r="CG16" t="s">
        <v>82</v>
      </c>
      <c r="CH16" t="s">
        <v>82</v>
      </c>
      <c r="CI16" t="s">
        <v>82</v>
      </c>
      <c r="CJ16" t="s">
        <v>82</v>
      </c>
      <c r="CK16" t="s">
        <v>82</v>
      </c>
      <c r="CL16" t="s">
        <v>82</v>
      </c>
      <c r="CM16" t="s">
        <v>82</v>
      </c>
      <c r="CN16" t="s">
        <v>82</v>
      </c>
      <c r="CO16" t="s">
        <v>82</v>
      </c>
      <c r="CP16" t="s">
        <v>82</v>
      </c>
      <c r="CQ16" t="s">
        <v>82</v>
      </c>
      <c r="CR16" t="s">
        <v>82</v>
      </c>
      <c r="CS16" t="s">
        <v>82</v>
      </c>
      <c r="CT16" t="s">
        <v>82</v>
      </c>
      <c r="CU16" t="s">
        <v>82</v>
      </c>
      <c r="CV16" t="s">
        <v>82</v>
      </c>
      <c r="CW16" t="s">
        <v>82</v>
      </c>
      <c r="CX16" t="s">
        <v>82</v>
      </c>
      <c r="CY16" t="s">
        <v>82</v>
      </c>
      <c r="CZ16" t="s">
        <v>82</v>
      </c>
      <c r="DA16" t="s">
        <v>82</v>
      </c>
      <c r="DB16" t="s">
        <v>82</v>
      </c>
      <c r="DC16" t="s">
        <v>82</v>
      </c>
      <c r="DD16" t="s">
        <v>82</v>
      </c>
      <c r="DE16" t="s">
        <v>82</v>
      </c>
      <c r="DF16" t="s">
        <v>82</v>
      </c>
      <c r="DG16" t="s">
        <v>82</v>
      </c>
      <c r="DH16" t="s">
        <v>82</v>
      </c>
      <c r="DI16" t="s">
        <v>82</v>
      </c>
      <c r="DJ16" t="s">
        <v>82</v>
      </c>
      <c r="DK16" t="s">
        <v>82</v>
      </c>
      <c r="DL16" t="s">
        <v>82</v>
      </c>
      <c r="DM16" t="s">
        <v>82</v>
      </c>
      <c r="DN16" t="s">
        <v>82</v>
      </c>
      <c r="DO16" t="s">
        <v>82</v>
      </c>
      <c r="DP16" t="s">
        <v>82</v>
      </c>
      <c r="DQ16" t="s">
        <v>82</v>
      </c>
      <c r="DR16" t="s">
        <v>82</v>
      </c>
      <c r="DS16" t="s">
        <v>82</v>
      </c>
      <c r="DT16" t="s">
        <v>82</v>
      </c>
      <c r="DU16" t="s">
        <v>82</v>
      </c>
      <c r="DV16" t="s">
        <v>82</v>
      </c>
      <c r="DW16" t="s">
        <v>82</v>
      </c>
      <c r="DX16" t="s">
        <v>82</v>
      </c>
      <c r="DY16" t="s">
        <v>82</v>
      </c>
      <c r="DZ16" t="s">
        <v>82</v>
      </c>
      <c r="EA16" t="s">
        <v>82</v>
      </c>
      <c r="EB16" t="s">
        <v>82</v>
      </c>
      <c r="EC16" t="s">
        <v>82</v>
      </c>
      <c r="ED16" t="s">
        <v>82</v>
      </c>
      <c r="EE16" t="s">
        <v>82</v>
      </c>
      <c r="EF16" t="s">
        <v>82</v>
      </c>
      <c r="EG16" t="s">
        <v>82</v>
      </c>
      <c r="EH16" t="s">
        <v>82</v>
      </c>
      <c r="EI16" t="s">
        <v>82</v>
      </c>
      <c r="EJ16" t="s">
        <v>82</v>
      </c>
      <c r="EK16" t="s">
        <v>82</v>
      </c>
      <c r="EL16" t="s">
        <v>82</v>
      </c>
      <c r="EM16" t="s">
        <v>82</v>
      </c>
      <c r="EN16" t="s">
        <v>82</v>
      </c>
      <c r="EO16" t="s">
        <v>82</v>
      </c>
      <c r="EP16" t="s">
        <v>82</v>
      </c>
      <c r="EQ16" t="s">
        <v>82</v>
      </c>
      <c r="ER16" t="s">
        <v>82</v>
      </c>
      <c r="ES16" t="s">
        <v>82</v>
      </c>
      <c r="ET16" t="s">
        <v>82</v>
      </c>
      <c r="EU16" t="s">
        <v>82</v>
      </c>
      <c r="EV16" t="s">
        <v>82</v>
      </c>
      <c r="EW16" t="s">
        <v>82</v>
      </c>
      <c r="EX16" t="s">
        <v>82</v>
      </c>
      <c r="EY16" t="s">
        <v>82</v>
      </c>
      <c r="EZ16" t="s">
        <v>82</v>
      </c>
      <c r="FA16" t="s">
        <v>82</v>
      </c>
      <c r="FB16" t="s">
        <v>82</v>
      </c>
      <c r="FC16" t="s">
        <v>82</v>
      </c>
      <c r="FD16" t="s">
        <v>82</v>
      </c>
      <c r="FE16" t="s">
        <v>82</v>
      </c>
      <c r="FF16" t="s">
        <v>82</v>
      </c>
      <c r="FG16" t="s">
        <v>82</v>
      </c>
      <c r="FH16" t="s">
        <v>82</v>
      </c>
      <c r="FI16" t="s">
        <v>82</v>
      </c>
      <c r="FJ16" t="s">
        <v>82</v>
      </c>
      <c r="FK16" t="s">
        <v>82</v>
      </c>
      <c r="FL16" t="s">
        <v>82</v>
      </c>
      <c r="FM16" t="s">
        <v>82</v>
      </c>
      <c r="FN16" t="s">
        <v>82</v>
      </c>
      <c r="FO16" t="s">
        <v>82</v>
      </c>
      <c r="FP16" t="s">
        <v>82</v>
      </c>
      <c r="FQ16" t="s">
        <v>82</v>
      </c>
      <c r="FR16" t="s">
        <v>82</v>
      </c>
      <c r="FS16" t="s">
        <v>82</v>
      </c>
      <c r="FT16" t="s">
        <v>82</v>
      </c>
      <c r="FU16" t="s">
        <v>82</v>
      </c>
      <c r="FV16" t="s">
        <v>82</v>
      </c>
      <c r="FW16" t="s">
        <v>82</v>
      </c>
      <c r="FX16" t="s">
        <v>82</v>
      </c>
      <c r="FY16" t="s">
        <v>82</v>
      </c>
      <c r="FZ16" t="s">
        <v>82</v>
      </c>
      <c r="GA16" t="s">
        <v>82</v>
      </c>
      <c r="GB16" t="s">
        <v>82</v>
      </c>
      <c r="GC16" t="s">
        <v>82</v>
      </c>
      <c r="GD16" t="s">
        <v>82</v>
      </c>
      <c r="GE16" t="s">
        <v>82</v>
      </c>
      <c r="GF16" t="s">
        <v>82</v>
      </c>
      <c r="GG16" t="s">
        <v>82</v>
      </c>
      <c r="GH16" t="s">
        <v>82</v>
      </c>
      <c r="GI16" t="s">
        <v>82</v>
      </c>
      <c r="GJ16" t="s">
        <v>82</v>
      </c>
      <c r="GK16" t="s">
        <v>82</v>
      </c>
      <c r="GL16" t="s">
        <v>82</v>
      </c>
      <c r="GM16" t="s">
        <v>82</v>
      </c>
      <c r="GN16" t="s">
        <v>82</v>
      </c>
      <c r="GO16" t="s">
        <v>82</v>
      </c>
      <c r="GP16" t="s">
        <v>82</v>
      </c>
      <c r="GQ16" t="s">
        <v>82</v>
      </c>
      <c r="GR16" t="s">
        <v>82</v>
      </c>
      <c r="GS16" t="s">
        <v>82</v>
      </c>
      <c r="GT16" t="s">
        <v>82</v>
      </c>
      <c r="GU16" t="s">
        <v>82</v>
      </c>
      <c r="GV16" t="s">
        <v>82</v>
      </c>
      <c r="GW16" t="s">
        <v>82</v>
      </c>
      <c r="GX16" t="s">
        <v>82</v>
      </c>
      <c r="GY16" t="s">
        <v>82</v>
      </c>
      <c r="GZ16" t="s">
        <v>82</v>
      </c>
      <c r="HA16" t="s">
        <v>82</v>
      </c>
      <c r="HB16" t="s">
        <v>82</v>
      </c>
      <c r="HC16" t="s">
        <v>82</v>
      </c>
      <c r="HD16" t="s">
        <v>82</v>
      </c>
      <c r="HE16" t="s">
        <v>82</v>
      </c>
      <c r="HF16" t="s">
        <v>82</v>
      </c>
      <c r="HG16" t="s">
        <v>82</v>
      </c>
      <c r="HH16" t="s">
        <v>82</v>
      </c>
      <c r="HI16" t="s">
        <v>82</v>
      </c>
      <c r="HJ16" t="s">
        <v>82</v>
      </c>
      <c r="HK16" t="s">
        <v>82</v>
      </c>
      <c r="HL16" t="s">
        <v>82</v>
      </c>
      <c r="HM16" t="s">
        <v>82</v>
      </c>
      <c r="HN16" t="s">
        <v>82</v>
      </c>
      <c r="HO16" t="s">
        <v>82</v>
      </c>
      <c r="HP16" t="s">
        <v>82</v>
      </c>
      <c r="HQ16" t="s">
        <v>82</v>
      </c>
      <c r="HR16" t="s">
        <v>82</v>
      </c>
      <c r="HS16" t="s">
        <v>82</v>
      </c>
      <c r="HT16" t="s">
        <v>82</v>
      </c>
      <c r="HU16" t="s">
        <v>82</v>
      </c>
      <c r="HV16" t="s">
        <v>82</v>
      </c>
      <c r="HW16" t="s">
        <v>82</v>
      </c>
      <c r="HX16" t="s">
        <v>82</v>
      </c>
      <c r="HY16" t="s">
        <v>82</v>
      </c>
      <c r="HZ16" t="s">
        <v>82</v>
      </c>
      <c r="IA16" t="s">
        <v>82</v>
      </c>
      <c r="IB16" t="s">
        <v>82</v>
      </c>
      <c r="IC16" t="s">
        <v>82</v>
      </c>
      <c r="ID16" t="s">
        <v>82</v>
      </c>
      <c r="IE16" t="s">
        <v>82</v>
      </c>
      <c r="IF16" t="s">
        <v>82</v>
      </c>
      <c r="IG16" t="s">
        <v>82</v>
      </c>
      <c r="IH16" t="s">
        <v>82</v>
      </c>
      <c r="II16" t="s">
        <v>82</v>
      </c>
      <c r="IJ16" t="s">
        <v>82</v>
      </c>
      <c r="IK16" t="s">
        <v>82</v>
      </c>
      <c r="IL16" t="s">
        <v>82</v>
      </c>
      <c r="IM16" t="s">
        <v>82</v>
      </c>
      <c r="IN16" t="s">
        <v>82</v>
      </c>
      <c r="IO16" t="s">
        <v>82</v>
      </c>
      <c r="IP16" t="s">
        <v>82</v>
      </c>
      <c r="IQ16" t="s">
        <v>82</v>
      </c>
      <c r="IR16" t="s">
        <v>82</v>
      </c>
      <c r="IS16" t="s">
        <v>82</v>
      </c>
      <c r="IT16" t="s">
        <v>82</v>
      </c>
      <c r="IU16" t="s">
        <v>82</v>
      </c>
      <c r="IV16" t="s">
        <v>82</v>
      </c>
      <c r="IW16" t="s">
        <v>82</v>
      </c>
      <c r="IX16" t="s">
        <v>82</v>
      </c>
      <c r="IY16" t="s">
        <v>82</v>
      </c>
      <c r="IZ16" t="s">
        <v>82</v>
      </c>
      <c r="JA16" t="s">
        <v>82</v>
      </c>
      <c r="JB16" t="s">
        <v>82</v>
      </c>
      <c r="JC16" t="s">
        <v>82</v>
      </c>
      <c r="JD16" t="s">
        <v>82</v>
      </c>
      <c r="JE16" t="s">
        <v>82</v>
      </c>
      <c r="JF16" t="s">
        <v>82</v>
      </c>
      <c r="JG16" t="s">
        <v>82</v>
      </c>
      <c r="JH16" t="s">
        <v>82</v>
      </c>
      <c r="JI16" t="s">
        <v>82</v>
      </c>
      <c r="JJ16" t="s">
        <v>82</v>
      </c>
      <c r="JK16" t="s">
        <v>82</v>
      </c>
      <c r="JL16" t="s">
        <v>82</v>
      </c>
      <c r="JM16" t="s">
        <v>82</v>
      </c>
      <c r="JN16" t="s">
        <v>82</v>
      </c>
      <c r="JO16" t="s">
        <v>82</v>
      </c>
      <c r="JP16" t="s">
        <v>82</v>
      </c>
      <c r="JQ16" t="s">
        <v>82</v>
      </c>
      <c r="JR16" t="s">
        <v>82</v>
      </c>
      <c r="JS16" t="s">
        <v>82</v>
      </c>
      <c r="JT16" t="s">
        <v>82</v>
      </c>
      <c r="JU16" t="s">
        <v>82</v>
      </c>
      <c r="JV16" t="s">
        <v>82</v>
      </c>
      <c r="JW16" t="s">
        <v>82</v>
      </c>
      <c r="JX16" t="s">
        <v>82</v>
      </c>
      <c r="JY16" t="s">
        <v>82</v>
      </c>
      <c r="JZ16" t="s">
        <v>82</v>
      </c>
      <c r="KA16" t="s">
        <v>82</v>
      </c>
      <c r="KB16" t="s">
        <v>82</v>
      </c>
      <c r="KC16" t="s">
        <v>82</v>
      </c>
      <c r="KD16" t="s">
        <v>82</v>
      </c>
      <c r="KE16" t="s">
        <v>82</v>
      </c>
      <c r="KF16" t="s">
        <v>82</v>
      </c>
      <c r="KG16" t="s">
        <v>82</v>
      </c>
      <c r="KH16" t="s">
        <v>82</v>
      </c>
      <c r="KI16" t="s">
        <v>82</v>
      </c>
      <c r="KJ16" t="s">
        <v>82</v>
      </c>
      <c r="KK16" t="s">
        <v>82</v>
      </c>
      <c r="KL16" t="s">
        <v>82</v>
      </c>
      <c r="KM16" t="s">
        <v>82</v>
      </c>
      <c r="KN16" t="s">
        <v>82</v>
      </c>
      <c r="KO16" t="s">
        <v>82</v>
      </c>
      <c r="KP16" t="s">
        <v>82</v>
      </c>
      <c r="KQ16" t="s">
        <v>82</v>
      </c>
      <c r="KR16" t="s">
        <v>82</v>
      </c>
      <c r="KS16" t="s">
        <v>82</v>
      </c>
      <c r="KT16" t="s">
        <v>82</v>
      </c>
      <c r="KU16" t="s">
        <v>82</v>
      </c>
      <c r="KV16" t="s">
        <v>82</v>
      </c>
      <c r="KW16" t="s">
        <v>82</v>
      </c>
      <c r="KX16" t="s">
        <v>82</v>
      </c>
      <c r="KY16" t="s">
        <v>82</v>
      </c>
      <c r="KZ16" t="s">
        <v>82</v>
      </c>
      <c r="LA16" t="s">
        <v>82</v>
      </c>
      <c r="LB16" t="s">
        <v>82</v>
      </c>
      <c r="LC16" t="s">
        <v>82</v>
      </c>
      <c r="LD16" t="s">
        <v>82</v>
      </c>
      <c r="LE16" t="s">
        <v>82</v>
      </c>
      <c r="LF16" t="s">
        <v>82</v>
      </c>
      <c r="LG16" t="s">
        <v>82</v>
      </c>
      <c r="LH16" t="s">
        <v>82</v>
      </c>
      <c r="LI16" t="s">
        <v>82</v>
      </c>
      <c r="LJ16" t="s">
        <v>82</v>
      </c>
      <c r="LK16" t="s">
        <v>82</v>
      </c>
      <c r="LL16" t="s">
        <v>82</v>
      </c>
      <c r="LM16" t="s">
        <v>82</v>
      </c>
      <c r="LN16" t="s">
        <v>82</v>
      </c>
      <c r="LO16" t="s">
        <v>82</v>
      </c>
      <c r="LP16" t="s">
        <v>82</v>
      </c>
      <c r="LQ16" t="s">
        <v>82</v>
      </c>
      <c r="LR16" t="s">
        <v>82</v>
      </c>
      <c r="LS16" t="s">
        <v>82</v>
      </c>
      <c r="LT16" t="s">
        <v>82</v>
      </c>
      <c r="LU16" t="s">
        <v>82</v>
      </c>
      <c r="LV16" t="s">
        <v>82</v>
      </c>
      <c r="LW16" t="s">
        <v>82</v>
      </c>
      <c r="LX16" t="s">
        <v>82</v>
      </c>
      <c r="LY16" t="s">
        <v>82</v>
      </c>
      <c r="LZ16" t="s">
        <v>82</v>
      </c>
      <c r="MA16" t="s">
        <v>82</v>
      </c>
      <c r="MB16" t="s">
        <v>82</v>
      </c>
      <c r="MC16" t="s">
        <v>82</v>
      </c>
      <c r="MD16" t="s">
        <v>82</v>
      </c>
      <c r="ME16" t="s">
        <v>82</v>
      </c>
      <c r="MF16" t="s">
        <v>82</v>
      </c>
      <c r="MG16" t="s">
        <v>82</v>
      </c>
      <c r="MH16" t="s">
        <v>82</v>
      </c>
      <c r="MI16" t="s">
        <v>82</v>
      </c>
      <c r="MJ16" t="s">
        <v>82</v>
      </c>
      <c r="MK16" t="s">
        <v>82</v>
      </c>
      <c r="ML16" t="s">
        <v>82</v>
      </c>
      <c r="MM16" t="s">
        <v>82</v>
      </c>
      <c r="MN16" t="s">
        <v>82</v>
      </c>
      <c r="MO16" t="s">
        <v>82</v>
      </c>
      <c r="MP16" t="s">
        <v>82</v>
      </c>
      <c r="MQ16" t="s">
        <v>82</v>
      </c>
      <c r="MR16" t="s">
        <v>82</v>
      </c>
      <c r="MS16" t="s">
        <v>82</v>
      </c>
      <c r="MT16" t="s">
        <v>82</v>
      </c>
      <c r="MU16" t="s">
        <v>82</v>
      </c>
      <c r="MV16" t="s">
        <v>82</v>
      </c>
      <c r="MW16" t="s">
        <v>82</v>
      </c>
      <c r="MX16" t="s">
        <v>82</v>
      </c>
      <c r="MY16" t="s">
        <v>82</v>
      </c>
      <c r="MZ16" t="s">
        <v>82</v>
      </c>
      <c r="NA16" t="s">
        <v>82</v>
      </c>
      <c r="NB16" t="s">
        <v>82</v>
      </c>
      <c r="NC16" t="s">
        <v>82</v>
      </c>
      <c r="ND16" t="s">
        <v>82</v>
      </c>
      <c r="NE16" t="s">
        <v>82</v>
      </c>
      <c r="NF16" t="s">
        <v>82</v>
      </c>
      <c r="NG16" t="s">
        <v>82</v>
      </c>
      <c r="NH16" t="s">
        <v>82</v>
      </c>
      <c r="NI16" t="s">
        <v>82</v>
      </c>
      <c r="NJ16" t="s">
        <v>82</v>
      </c>
      <c r="NK16" t="s">
        <v>82</v>
      </c>
      <c r="NL16" t="s">
        <v>82</v>
      </c>
      <c r="NM16" t="s">
        <v>82</v>
      </c>
      <c r="NN16" t="s">
        <v>82</v>
      </c>
      <c r="NO16" t="s">
        <v>82</v>
      </c>
      <c r="NP16" t="s">
        <v>82</v>
      </c>
      <c r="NQ16" t="s">
        <v>82</v>
      </c>
      <c r="NR16" t="s">
        <v>82</v>
      </c>
      <c r="NS16" t="s">
        <v>82</v>
      </c>
      <c r="NT16" t="s">
        <v>82</v>
      </c>
      <c r="NU16" t="s">
        <v>82</v>
      </c>
      <c r="NV16" t="s">
        <v>82</v>
      </c>
      <c r="NW16" t="s">
        <v>82</v>
      </c>
      <c r="NX16" t="s">
        <v>82</v>
      </c>
      <c r="NY16" t="s">
        <v>82</v>
      </c>
      <c r="NZ16" t="s">
        <v>82</v>
      </c>
      <c r="OA16" t="s">
        <v>82</v>
      </c>
      <c r="OB16" t="s">
        <v>82</v>
      </c>
      <c r="OC16" t="s">
        <v>82</v>
      </c>
      <c r="OD16" t="s">
        <v>82</v>
      </c>
      <c r="OE16" t="s">
        <v>82</v>
      </c>
      <c r="OF16" t="s">
        <v>82</v>
      </c>
      <c r="OG16" t="s">
        <v>82</v>
      </c>
      <c r="OH16" t="s">
        <v>82</v>
      </c>
      <c r="OI16" t="s">
        <v>82</v>
      </c>
      <c r="OJ16" t="s">
        <v>82</v>
      </c>
      <c r="OK16" t="s">
        <v>82</v>
      </c>
      <c r="OL16" t="s">
        <v>82</v>
      </c>
      <c r="OM16" t="s">
        <v>82</v>
      </c>
      <c r="ON16" t="s">
        <v>82</v>
      </c>
      <c r="OO16" t="s">
        <v>82</v>
      </c>
      <c r="OP16" t="s">
        <v>82</v>
      </c>
      <c r="OQ16" t="s">
        <v>82</v>
      </c>
      <c r="OR16" t="s">
        <v>82</v>
      </c>
      <c r="OS16" t="s">
        <v>82</v>
      </c>
      <c r="OT16" t="s">
        <v>82</v>
      </c>
      <c r="OU16" t="s">
        <v>82</v>
      </c>
      <c r="OV16" t="s">
        <v>82</v>
      </c>
      <c r="OW16" t="s">
        <v>82</v>
      </c>
      <c r="OX16" t="s">
        <v>82</v>
      </c>
      <c r="OY16" t="s">
        <v>82</v>
      </c>
      <c r="OZ16" t="s">
        <v>82</v>
      </c>
      <c r="PA16" t="s">
        <v>82</v>
      </c>
      <c r="PB16" t="s">
        <v>82</v>
      </c>
      <c r="PC16" t="s">
        <v>82</v>
      </c>
      <c r="PD16" t="s">
        <v>82</v>
      </c>
      <c r="PE16" t="s">
        <v>82</v>
      </c>
      <c r="PF16" t="s">
        <v>82</v>
      </c>
      <c r="PG16" t="s">
        <v>82</v>
      </c>
      <c r="PH16" t="s">
        <v>82</v>
      </c>
      <c r="PI16" t="s">
        <v>82</v>
      </c>
      <c r="PJ16" t="s">
        <v>82</v>
      </c>
      <c r="PK16" t="s">
        <v>82</v>
      </c>
      <c r="PL16" t="s">
        <v>82</v>
      </c>
      <c r="PM16" t="s">
        <v>82</v>
      </c>
      <c r="PN16" t="s">
        <v>82</v>
      </c>
      <c r="PO16" t="s">
        <v>82</v>
      </c>
      <c r="PP16" t="s">
        <v>82</v>
      </c>
      <c r="PQ16" t="s">
        <v>82</v>
      </c>
      <c r="PR16" t="s">
        <v>82</v>
      </c>
      <c r="PS16" t="s">
        <v>82</v>
      </c>
      <c r="PT16" t="s">
        <v>82</v>
      </c>
      <c r="PU16" t="s">
        <v>82</v>
      </c>
      <c r="PV16" t="s">
        <v>82</v>
      </c>
      <c r="PW16" t="s">
        <v>82</v>
      </c>
      <c r="PX16" t="s">
        <v>82</v>
      </c>
      <c r="PY16" t="s">
        <v>82</v>
      </c>
      <c r="PZ16" t="s">
        <v>82</v>
      </c>
      <c r="QA16" t="s">
        <v>82</v>
      </c>
      <c r="QB16" t="s">
        <v>82</v>
      </c>
      <c r="QC16" t="s">
        <v>82</v>
      </c>
      <c r="QD16" t="s">
        <v>82</v>
      </c>
      <c r="QE16" t="s">
        <v>82</v>
      </c>
      <c r="QF16" t="s">
        <v>82</v>
      </c>
      <c r="QG16" t="s">
        <v>82</v>
      </c>
      <c r="QH16" t="s">
        <v>82</v>
      </c>
      <c r="QI16" t="s">
        <v>82</v>
      </c>
      <c r="QJ16" t="s">
        <v>82</v>
      </c>
      <c r="QK16" t="s">
        <v>82</v>
      </c>
      <c r="QL16" t="s">
        <v>82</v>
      </c>
      <c r="QM16" t="s">
        <v>82</v>
      </c>
      <c r="QN16" t="s">
        <v>82</v>
      </c>
      <c r="QO16" t="s">
        <v>82</v>
      </c>
      <c r="QP16" t="s">
        <v>82</v>
      </c>
      <c r="QQ16" t="s">
        <v>82</v>
      </c>
      <c r="QR16" t="s">
        <v>82</v>
      </c>
      <c r="QS16" t="s">
        <v>82</v>
      </c>
      <c r="QT16" t="s">
        <v>82</v>
      </c>
      <c r="QU16" t="s">
        <v>82</v>
      </c>
      <c r="QV16" t="s">
        <v>82</v>
      </c>
      <c r="QW16" t="s">
        <v>82</v>
      </c>
      <c r="QX16" t="s">
        <v>82</v>
      </c>
      <c r="QY16" t="s">
        <v>82</v>
      </c>
      <c r="QZ16" t="s">
        <v>82</v>
      </c>
      <c r="RA16" t="s">
        <v>82</v>
      </c>
      <c r="RB16" t="s">
        <v>82</v>
      </c>
      <c r="RC16" t="s">
        <v>82</v>
      </c>
      <c r="RD16" t="s">
        <v>82</v>
      </c>
      <c r="RE16" t="s">
        <v>82</v>
      </c>
      <c r="RF16" t="s">
        <v>82</v>
      </c>
      <c r="RG16" t="s">
        <v>82</v>
      </c>
      <c r="RH16" t="s">
        <v>82</v>
      </c>
      <c r="RI16" t="s">
        <v>82</v>
      </c>
      <c r="RJ16" t="s">
        <v>82</v>
      </c>
      <c r="RK16" t="s">
        <v>82</v>
      </c>
      <c r="RL16" t="s">
        <v>82</v>
      </c>
      <c r="RM16" t="s">
        <v>82</v>
      </c>
      <c r="RN16" t="s">
        <v>82</v>
      </c>
      <c r="RO16" t="s">
        <v>82</v>
      </c>
      <c r="RP16" t="s">
        <v>82</v>
      </c>
      <c r="RQ16" t="s">
        <v>82</v>
      </c>
      <c r="RR16" t="s">
        <v>82</v>
      </c>
      <c r="RS16" t="s">
        <v>82</v>
      </c>
      <c r="RT16" t="s">
        <v>82</v>
      </c>
      <c r="RU16" t="s">
        <v>82</v>
      </c>
      <c r="RV16" t="s">
        <v>82</v>
      </c>
      <c r="RW16" t="s">
        <v>82</v>
      </c>
      <c r="RX16" t="s">
        <v>82</v>
      </c>
      <c r="RY16" t="s">
        <v>82</v>
      </c>
      <c r="RZ16" t="s">
        <v>82</v>
      </c>
      <c r="SA16" t="s">
        <v>82</v>
      </c>
      <c r="SB16" t="s">
        <v>82</v>
      </c>
      <c r="SC16" t="s">
        <v>82</v>
      </c>
      <c r="SD16" t="s">
        <v>82</v>
      </c>
      <c r="SE16" t="s">
        <v>82</v>
      </c>
      <c r="SF16" t="s">
        <v>82</v>
      </c>
      <c r="SG16" t="s">
        <v>82</v>
      </c>
      <c r="SH16" t="s">
        <v>82</v>
      </c>
      <c r="SI16" t="s">
        <v>82</v>
      </c>
      <c r="SJ16" t="s">
        <v>82</v>
      </c>
      <c r="SK16" t="s">
        <v>82</v>
      </c>
      <c r="SL16" t="s">
        <v>82</v>
      </c>
      <c r="SM16" t="s">
        <v>82</v>
      </c>
      <c r="SN16" t="s">
        <v>82</v>
      </c>
      <c r="SO16" t="s">
        <v>82</v>
      </c>
      <c r="SP16" t="s">
        <v>82</v>
      </c>
      <c r="SQ16" t="s">
        <v>82</v>
      </c>
      <c r="SR16" t="s">
        <v>82</v>
      </c>
      <c r="SS16" t="s">
        <v>82</v>
      </c>
      <c r="ST16" t="s">
        <v>82</v>
      </c>
      <c r="SU16" t="s">
        <v>82</v>
      </c>
      <c r="SV16" t="s">
        <v>82</v>
      </c>
      <c r="SW16" t="s">
        <v>82</v>
      </c>
      <c r="SX16" t="s">
        <v>82</v>
      </c>
      <c r="SY16" t="s">
        <v>82</v>
      </c>
      <c r="SZ16" t="s">
        <v>82</v>
      </c>
      <c r="TA16" t="s">
        <v>82</v>
      </c>
      <c r="TB16" t="s">
        <v>82</v>
      </c>
      <c r="TC16" t="s">
        <v>82</v>
      </c>
      <c r="TD16" t="s">
        <v>82</v>
      </c>
      <c r="TE16" t="s">
        <v>82</v>
      </c>
      <c r="TF16" t="s">
        <v>82</v>
      </c>
      <c r="TG16" t="s">
        <v>82</v>
      </c>
      <c r="TH16" t="s">
        <v>82</v>
      </c>
      <c r="TI16" t="s">
        <v>82</v>
      </c>
      <c r="TJ16" t="s">
        <v>82</v>
      </c>
      <c r="TK16" t="s">
        <v>82</v>
      </c>
      <c r="TL16" t="s">
        <v>82</v>
      </c>
      <c r="TM16" t="s">
        <v>82</v>
      </c>
      <c r="TN16" t="s">
        <v>82</v>
      </c>
      <c r="TO16" t="s">
        <v>82</v>
      </c>
      <c r="TP16" t="s">
        <v>82</v>
      </c>
      <c r="TQ16" t="s">
        <v>82</v>
      </c>
      <c r="TR16" t="s">
        <v>82</v>
      </c>
      <c r="TS16" t="s">
        <v>82</v>
      </c>
      <c r="TT16" t="s">
        <v>82</v>
      </c>
      <c r="TU16" t="s">
        <v>82</v>
      </c>
      <c r="TV16" t="s">
        <v>82</v>
      </c>
      <c r="TW16" t="s">
        <v>82</v>
      </c>
      <c r="TX16" t="s">
        <v>82</v>
      </c>
      <c r="TY16" t="s">
        <v>82</v>
      </c>
      <c r="TZ16" t="s">
        <v>82</v>
      </c>
      <c r="UA16" t="s">
        <v>82</v>
      </c>
      <c r="UB16" t="s">
        <v>82</v>
      </c>
      <c r="UC16" t="s">
        <v>82</v>
      </c>
      <c r="UD16" t="s">
        <v>82</v>
      </c>
      <c r="UE16" t="s">
        <v>82</v>
      </c>
      <c r="UF16" t="s">
        <v>82</v>
      </c>
      <c r="UG16" t="s">
        <v>82</v>
      </c>
      <c r="UH16" t="s">
        <v>82</v>
      </c>
      <c r="UI16" t="s">
        <v>82</v>
      </c>
      <c r="UJ16" t="s">
        <v>82</v>
      </c>
      <c r="UK16" t="s">
        <v>82</v>
      </c>
      <c r="UL16" t="s">
        <v>82</v>
      </c>
      <c r="UM16" t="s">
        <v>82</v>
      </c>
      <c r="UN16" t="s">
        <v>82</v>
      </c>
      <c r="UO16" t="s">
        <v>82</v>
      </c>
      <c r="UP16" t="s">
        <v>82</v>
      </c>
      <c r="UQ16" t="s">
        <v>82</v>
      </c>
      <c r="UR16" t="s">
        <v>82</v>
      </c>
      <c r="US16" t="s">
        <v>82</v>
      </c>
      <c r="UT16" t="s">
        <v>82</v>
      </c>
      <c r="UU16" t="s">
        <v>82</v>
      </c>
      <c r="UV16" t="s">
        <v>82</v>
      </c>
      <c r="UW16" t="s">
        <v>82</v>
      </c>
      <c r="UX16" t="s">
        <v>82</v>
      </c>
      <c r="UY16" t="s">
        <v>82</v>
      </c>
      <c r="UZ16" t="s">
        <v>82</v>
      </c>
      <c r="VA16" t="s">
        <v>82</v>
      </c>
      <c r="VB16" t="s">
        <v>82</v>
      </c>
      <c r="VC16" t="s">
        <v>82</v>
      </c>
      <c r="VD16" t="s">
        <v>82</v>
      </c>
      <c r="VE16" t="s">
        <v>82</v>
      </c>
      <c r="VF16" t="s">
        <v>82</v>
      </c>
      <c r="VG16" t="s">
        <v>82</v>
      </c>
      <c r="VH16" t="s">
        <v>82</v>
      </c>
      <c r="VI16" t="s">
        <v>82</v>
      </c>
      <c r="VJ16" t="s">
        <v>82</v>
      </c>
      <c r="VK16" t="s">
        <v>82</v>
      </c>
      <c r="VL16" t="s">
        <v>82</v>
      </c>
      <c r="VM16" t="s">
        <v>82</v>
      </c>
      <c r="VN16" t="s">
        <v>82</v>
      </c>
      <c r="VO16" t="s">
        <v>82</v>
      </c>
      <c r="VP16" t="s">
        <v>82</v>
      </c>
      <c r="VQ16" t="s">
        <v>82</v>
      </c>
      <c r="VR16" t="s">
        <v>82</v>
      </c>
      <c r="VS16" t="s">
        <v>82</v>
      </c>
      <c r="VT16" t="s">
        <v>82</v>
      </c>
      <c r="VU16" t="s">
        <v>82</v>
      </c>
      <c r="VV16" t="s">
        <v>82</v>
      </c>
      <c r="VW16" t="s">
        <v>82</v>
      </c>
      <c r="VX16" t="s">
        <v>82</v>
      </c>
      <c r="VY16" t="s">
        <v>82</v>
      </c>
      <c r="VZ16" t="s">
        <v>82</v>
      </c>
      <c r="WA16" t="s">
        <v>82</v>
      </c>
      <c r="WB16" t="s">
        <v>82</v>
      </c>
      <c r="WC16" t="s">
        <v>82</v>
      </c>
      <c r="WD16" t="s">
        <v>82</v>
      </c>
      <c r="WE16" t="s">
        <v>82</v>
      </c>
      <c r="WF16" t="s">
        <v>82</v>
      </c>
      <c r="WG16" t="s">
        <v>82</v>
      </c>
      <c r="WH16" t="s">
        <v>82</v>
      </c>
      <c r="WI16" t="s">
        <v>82</v>
      </c>
      <c r="WJ16" t="s">
        <v>82</v>
      </c>
      <c r="WK16" t="s">
        <v>82</v>
      </c>
      <c r="WL16" t="s">
        <v>82</v>
      </c>
      <c r="WM16" t="s">
        <v>82</v>
      </c>
      <c r="WN16" t="s">
        <v>82</v>
      </c>
      <c r="WO16" t="s">
        <v>82</v>
      </c>
      <c r="WP16" t="s">
        <v>82</v>
      </c>
      <c r="WQ16" t="s">
        <v>82</v>
      </c>
      <c r="WR16" t="s">
        <v>82</v>
      </c>
      <c r="WS16" t="s">
        <v>82</v>
      </c>
      <c r="WT16" t="s">
        <v>82</v>
      </c>
      <c r="WU16" t="s">
        <v>82</v>
      </c>
      <c r="WV16" t="s">
        <v>82</v>
      </c>
      <c r="WW16" t="s">
        <v>82</v>
      </c>
      <c r="WX16" t="s">
        <v>82</v>
      </c>
      <c r="WY16" t="s">
        <v>82</v>
      </c>
      <c r="WZ16" t="s">
        <v>82</v>
      </c>
      <c r="XA16" t="s">
        <v>82</v>
      </c>
      <c r="XB16" t="s">
        <v>82</v>
      </c>
      <c r="XC16" t="s">
        <v>82</v>
      </c>
      <c r="XD16" t="s">
        <v>82</v>
      </c>
      <c r="XE16" t="s">
        <v>82</v>
      </c>
      <c r="XF16" t="s">
        <v>82</v>
      </c>
      <c r="XG16" t="s">
        <v>82</v>
      </c>
      <c r="XH16" t="s">
        <v>82</v>
      </c>
      <c r="XI16" t="s">
        <v>82</v>
      </c>
      <c r="XJ16" t="s">
        <v>82</v>
      </c>
      <c r="XK16" t="s">
        <v>82</v>
      </c>
      <c r="XL16" t="s">
        <v>82</v>
      </c>
      <c r="XM16" t="s">
        <v>82</v>
      </c>
      <c r="XN16" t="s">
        <v>82</v>
      </c>
      <c r="XO16" t="s">
        <v>82</v>
      </c>
      <c r="XP16" t="s">
        <v>82</v>
      </c>
      <c r="XQ16" t="s">
        <v>82</v>
      </c>
      <c r="XR16" t="s">
        <v>82</v>
      </c>
      <c r="XS16" t="s">
        <v>82</v>
      </c>
      <c r="XT16" t="s">
        <v>82</v>
      </c>
      <c r="XU16" t="s">
        <v>82</v>
      </c>
      <c r="XV16" t="s">
        <v>82</v>
      </c>
      <c r="XW16" t="s">
        <v>82</v>
      </c>
      <c r="XX16" t="s">
        <v>82</v>
      </c>
      <c r="XY16" t="s">
        <v>82</v>
      </c>
      <c r="XZ16" t="s">
        <v>82</v>
      </c>
      <c r="YA16" t="s">
        <v>82</v>
      </c>
      <c r="YB16" t="s">
        <v>82</v>
      </c>
      <c r="YC16" t="s">
        <v>82</v>
      </c>
      <c r="YD16" t="s">
        <v>82</v>
      </c>
      <c r="YE16" t="s">
        <v>82</v>
      </c>
      <c r="YF16" t="s">
        <v>82</v>
      </c>
      <c r="YG16" t="s">
        <v>82</v>
      </c>
      <c r="YH16" t="s">
        <v>82</v>
      </c>
      <c r="YI16" t="s">
        <v>82</v>
      </c>
      <c r="YJ16" t="s">
        <v>82</v>
      </c>
      <c r="YK16" t="s">
        <v>82</v>
      </c>
      <c r="YL16" t="s">
        <v>82</v>
      </c>
      <c r="YM16" t="s">
        <v>82</v>
      </c>
      <c r="YN16" t="s">
        <v>82</v>
      </c>
      <c r="YO16" t="s">
        <v>82</v>
      </c>
      <c r="YP16" t="s">
        <v>82</v>
      </c>
      <c r="YQ16" t="s">
        <v>82</v>
      </c>
      <c r="YR16" t="s">
        <v>82</v>
      </c>
      <c r="YS16" t="s">
        <v>82</v>
      </c>
      <c r="YT16" t="s">
        <v>82</v>
      </c>
      <c r="YU16" t="s">
        <v>82</v>
      </c>
      <c r="YV16" t="s">
        <v>82</v>
      </c>
      <c r="YW16" t="s">
        <v>82</v>
      </c>
      <c r="YX16" t="s">
        <v>82</v>
      </c>
      <c r="YY16" t="s">
        <v>82</v>
      </c>
      <c r="YZ16" t="s">
        <v>82</v>
      </c>
      <c r="ZA16" t="s">
        <v>82</v>
      </c>
      <c r="ZB16" t="s">
        <v>82</v>
      </c>
      <c r="ZC16" t="s">
        <v>82</v>
      </c>
      <c r="ZD16" t="s">
        <v>82</v>
      </c>
      <c r="ZE16" t="s">
        <v>82</v>
      </c>
      <c r="ZF16" t="s">
        <v>82</v>
      </c>
      <c r="ZG16" t="s">
        <v>82</v>
      </c>
      <c r="ZH16" t="s">
        <v>82</v>
      </c>
      <c r="ZI16" t="s">
        <v>82</v>
      </c>
      <c r="ZJ16" t="s">
        <v>82</v>
      </c>
      <c r="ZK16" t="s">
        <v>82</v>
      </c>
      <c r="ZL16" t="s">
        <v>82</v>
      </c>
      <c r="ZM16" t="s">
        <v>82</v>
      </c>
      <c r="ZN16" t="s">
        <v>82</v>
      </c>
      <c r="ZO16" t="s">
        <v>82</v>
      </c>
      <c r="ZP16" t="s">
        <v>82</v>
      </c>
      <c r="ZQ16" t="s">
        <v>82</v>
      </c>
      <c r="ZR16" t="s">
        <v>82</v>
      </c>
      <c r="ZS16" t="s">
        <v>82</v>
      </c>
      <c r="ZT16" t="s">
        <v>82</v>
      </c>
      <c r="ZU16" t="s">
        <v>82</v>
      </c>
      <c r="ZV16" t="s">
        <v>82</v>
      </c>
      <c r="ZW16" t="s">
        <v>82</v>
      </c>
      <c r="ZX16" t="s">
        <v>82</v>
      </c>
      <c r="ZY16" t="s">
        <v>82</v>
      </c>
      <c r="ZZ16" t="s">
        <v>82</v>
      </c>
      <c r="AAA16" t="s">
        <v>82</v>
      </c>
      <c r="AAB16" t="s">
        <v>82</v>
      </c>
      <c r="AAC16" t="s">
        <v>82</v>
      </c>
      <c r="AAD16" t="s">
        <v>82</v>
      </c>
      <c r="AAE16" t="s">
        <v>82</v>
      </c>
      <c r="AAF16" t="s">
        <v>82</v>
      </c>
      <c r="AAG16" t="s">
        <v>82</v>
      </c>
      <c r="AAH16" t="s">
        <v>82</v>
      </c>
      <c r="AAI16" t="s">
        <v>82</v>
      </c>
      <c r="AAJ16" t="s">
        <v>82</v>
      </c>
      <c r="AAK16" t="s">
        <v>82</v>
      </c>
      <c r="AAL16" t="s">
        <v>82</v>
      </c>
      <c r="AAM16" t="s">
        <v>82</v>
      </c>
      <c r="AAN16" t="s">
        <v>82</v>
      </c>
      <c r="AAO16" t="s">
        <v>82</v>
      </c>
      <c r="AAP16" t="s">
        <v>82</v>
      </c>
      <c r="AAQ16" t="s">
        <v>82</v>
      </c>
      <c r="AAR16" t="s">
        <v>82</v>
      </c>
      <c r="AAS16" t="s">
        <v>82</v>
      </c>
      <c r="AAT16" t="s">
        <v>82</v>
      </c>
      <c r="AAU16" t="s">
        <v>82</v>
      </c>
      <c r="AAV16" t="s">
        <v>82</v>
      </c>
      <c r="AAW16" t="s">
        <v>82</v>
      </c>
      <c r="AAX16" t="s">
        <v>82</v>
      </c>
      <c r="AAY16" t="s">
        <v>82</v>
      </c>
      <c r="AAZ16" t="s">
        <v>82</v>
      </c>
      <c r="ABA16" t="s">
        <v>82</v>
      </c>
      <c r="ABB16" t="s">
        <v>82</v>
      </c>
      <c r="ABC16" t="s">
        <v>82</v>
      </c>
      <c r="ABD16" t="s">
        <v>82</v>
      </c>
      <c r="ABE16" t="s">
        <v>82</v>
      </c>
      <c r="ABF16" t="s">
        <v>82</v>
      </c>
      <c r="ABG16" t="s">
        <v>82</v>
      </c>
      <c r="ABH16" t="s">
        <v>82</v>
      </c>
      <c r="ABI16" t="s">
        <v>82</v>
      </c>
      <c r="ABJ16" t="s">
        <v>82</v>
      </c>
      <c r="ABK16" t="s">
        <v>82</v>
      </c>
      <c r="ABL16" t="s">
        <v>82</v>
      </c>
      <c r="ABM16" t="s">
        <v>82</v>
      </c>
      <c r="ABN16" t="s">
        <v>82</v>
      </c>
      <c r="ABO16" t="s">
        <v>82</v>
      </c>
      <c r="ABP16" t="s">
        <v>82</v>
      </c>
      <c r="ABQ16" t="s">
        <v>82</v>
      </c>
      <c r="ABR16" t="s">
        <v>82</v>
      </c>
      <c r="ABS16" t="s">
        <v>82</v>
      </c>
      <c r="ABT16" t="s">
        <v>82</v>
      </c>
      <c r="ABU16" t="s">
        <v>82</v>
      </c>
      <c r="ABV16" t="s">
        <v>82</v>
      </c>
      <c r="ABW16" t="s">
        <v>82</v>
      </c>
      <c r="ABX16" t="s">
        <v>82</v>
      </c>
      <c r="ABY16" t="s">
        <v>82</v>
      </c>
      <c r="ABZ16" t="s">
        <v>82</v>
      </c>
      <c r="ACA16" t="s">
        <v>82</v>
      </c>
      <c r="ACB16" t="s">
        <v>82</v>
      </c>
      <c r="ACC16" t="s">
        <v>82</v>
      </c>
      <c r="ACD16" t="s">
        <v>82</v>
      </c>
      <c r="ACE16" t="s">
        <v>82</v>
      </c>
      <c r="ACF16" t="s">
        <v>82</v>
      </c>
      <c r="ACG16" t="s">
        <v>82</v>
      </c>
      <c r="ACH16" t="s">
        <v>82</v>
      </c>
      <c r="ACI16" t="s">
        <v>82</v>
      </c>
      <c r="ACJ16" t="s">
        <v>82</v>
      </c>
      <c r="ACK16" t="s">
        <v>82</v>
      </c>
      <c r="ACL16" t="s">
        <v>82</v>
      </c>
      <c r="ACM16" t="s">
        <v>82</v>
      </c>
      <c r="ACN16" t="s">
        <v>82</v>
      </c>
      <c r="ACO16" t="s">
        <v>82</v>
      </c>
      <c r="ACP16" t="s">
        <v>82</v>
      </c>
      <c r="ACQ16" t="s">
        <v>82</v>
      </c>
      <c r="ACR16" t="s">
        <v>82</v>
      </c>
      <c r="ACS16" t="s">
        <v>82</v>
      </c>
      <c r="ACT16" t="s">
        <v>82</v>
      </c>
      <c r="ACU16" t="s">
        <v>82</v>
      </c>
      <c r="ACV16" t="s">
        <v>82</v>
      </c>
      <c r="ACW16" t="s">
        <v>82</v>
      </c>
      <c r="ACX16" t="s">
        <v>82</v>
      </c>
      <c r="ACY16" t="s">
        <v>82</v>
      </c>
      <c r="ACZ16" t="s">
        <v>82</v>
      </c>
      <c r="ADA16" t="s">
        <v>82</v>
      </c>
      <c r="ADB16" t="s">
        <v>82</v>
      </c>
      <c r="ADC16" t="s">
        <v>82</v>
      </c>
      <c r="ADD16" t="s">
        <v>82</v>
      </c>
      <c r="ADE16" t="s">
        <v>82</v>
      </c>
      <c r="ADF16" t="s">
        <v>82</v>
      </c>
      <c r="ADG16" t="s">
        <v>82</v>
      </c>
      <c r="ADH16" t="s">
        <v>82</v>
      </c>
      <c r="ADI16" t="s">
        <v>82</v>
      </c>
      <c r="ADJ16" t="s">
        <v>82</v>
      </c>
      <c r="ADK16" t="s">
        <v>82</v>
      </c>
      <c r="ADL16" t="s">
        <v>82</v>
      </c>
      <c r="ADM16" t="s">
        <v>82</v>
      </c>
      <c r="ADN16" t="s">
        <v>82</v>
      </c>
      <c r="ADO16" t="s">
        <v>82</v>
      </c>
      <c r="ADP16" t="s">
        <v>82</v>
      </c>
      <c r="ADQ16" t="s">
        <v>82</v>
      </c>
      <c r="ADR16" t="s">
        <v>82</v>
      </c>
      <c r="ADS16" t="s">
        <v>82</v>
      </c>
      <c r="ADT16" t="s">
        <v>82</v>
      </c>
      <c r="ADU16" t="s">
        <v>82</v>
      </c>
      <c r="ADV16" t="s">
        <v>82</v>
      </c>
      <c r="ADW16" t="s">
        <v>82</v>
      </c>
      <c r="ADX16" t="s">
        <v>82</v>
      </c>
      <c r="ADY16" t="s">
        <v>82</v>
      </c>
      <c r="ADZ16" t="s">
        <v>82</v>
      </c>
      <c r="AEA16" t="s">
        <v>82</v>
      </c>
      <c r="AEB16" t="s">
        <v>82</v>
      </c>
      <c r="AEC16" t="s">
        <v>82</v>
      </c>
      <c r="AED16" t="s">
        <v>82</v>
      </c>
      <c r="AEE16" t="s">
        <v>82</v>
      </c>
      <c r="AEF16" t="s">
        <v>82</v>
      </c>
      <c r="AEG16" t="s">
        <v>82</v>
      </c>
      <c r="AEH16" t="s">
        <v>82</v>
      </c>
      <c r="AEI16" t="s">
        <v>82</v>
      </c>
      <c r="AEJ16" t="s">
        <v>82</v>
      </c>
      <c r="AEK16" t="s">
        <v>82</v>
      </c>
      <c r="AEL16" t="s">
        <v>82</v>
      </c>
      <c r="AEM16" t="s">
        <v>82</v>
      </c>
      <c r="AEN16" t="s">
        <v>82</v>
      </c>
      <c r="AEO16" t="s">
        <v>82</v>
      </c>
      <c r="AEP16" t="s">
        <v>82</v>
      </c>
      <c r="AEQ16" t="s">
        <v>82</v>
      </c>
      <c r="AER16" t="s">
        <v>82</v>
      </c>
      <c r="AES16" t="s">
        <v>82</v>
      </c>
      <c r="AET16" t="s">
        <v>82</v>
      </c>
      <c r="AEU16" t="s">
        <v>82</v>
      </c>
      <c r="AEV16" t="s">
        <v>82</v>
      </c>
      <c r="AEW16" t="s">
        <v>82</v>
      </c>
      <c r="AEX16" t="s">
        <v>82</v>
      </c>
      <c r="AEY16" t="s">
        <v>82</v>
      </c>
      <c r="AEZ16" t="s">
        <v>82</v>
      </c>
      <c r="AFA16" t="s">
        <v>82</v>
      </c>
      <c r="AFB16" t="s">
        <v>82</v>
      </c>
      <c r="AFC16" t="s">
        <v>82</v>
      </c>
      <c r="AFD16" t="s">
        <v>82</v>
      </c>
      <c r="AFE16" t="s">
        <v>82</v>
      </c>
      <c r="AFF16" t="s">
        <v>82</v>
      </c>
      <c r="AFG16" t="s">
        <v>82</v>
      </c>
      <c r="AFH16" t="s">
        <v>82</v>
      </c>
      <c r="AFI16" t="s">
        <v>82</v>
      </c>
      <c r="AFJ16" t="s">
        <v>82</v>
      </c>
      <c r="AFK16" t="s">
        <v>82</v>
      </c>
      <c r="AFL16" t="s">
        <v>82</v>
      </c>
      <c r="AFM16" t="s">
        <v>82</v>
      </c>
      <c r="AFN16" t="s">
        <v>82</v>
      </c>
      <c r="AFO16" t="s">
        <v>82</v>
      </c>
      <c r="AFP16" t="s">
        <v>82</v>
      </c>
      <c r="AFQ16" t="s">
        <v>82</v>
      </c>
      <c r="AFR16" t="s">
        <v>82</v>
      </c>
      <c r="AFS16" t="s">
        <v>82</v>
      </c>
      <c r="AFT16" t="s">
        <v>82</v>
      </c>
      <c r="AFU16" t="s">
        <v>82</v>
      </c>
      <c r="AFV16" t="s">
        <v>82</v>
      </c>
      <c r="AFW16" t="s">
        <v>82</v>
      </c>
      <c r="AFX16" t="s">
        <v>82</v>
      </c>
      <c r="AFY16" t="s">
        <v>82</v>
      </c>
      <c r="AFZ16" t="s">
        <v>82</v>
      </c>
      <c r="AGA16" t="s">
        <v>82</v>
      </c>
      <c r="AGB16" t="s">
        <v>82</v>
      </c>
      <c r="AGC16" t="s">
        <v>82</v>
      </c>
      <c r="AGD16" t="s">
        <v>82</v>
      </c>
      <c r="AGE16" t="s">
        <v>82</v>
      </c>
      <c r="AGF16" t="s">
        <v>82</v>
      </c>
      <c r="AGG16" t="s">
        <v>82</v>
      </c>
      <c r="AGH16" t="s">
        <v>82</v>
      </c>
      <c r="AGI16" t="s">
        <v>82</v>
      </c>
      <c r="AGJ16" t="s">
        <v>82</v>
      </c>
      <c r="AGK16" t="s">
        <v>82</v>
      </c>
      <c r="AGL16" t="s">
        <v>82</v>
      </c>
      <c r="AGM16" t="s">
        <v>82</v>
      </c>
      <c r="AGN16" t="s">
        <v>82</v>
      </c>
      <c r="AGO16" t="s">
        <v>82</v>
      </c>
      <c r="AGP16" t="s">
        <v>82</v>
      </c>
      <c r="AGQ16" t="s">
        <v>82</v>
      </c>
      <c r="AGR16" t="s">
        <v>82</v>
      </c>
      <c r="AGS16" t="s">
        <v>82</v>
      </c>
      <c r="AGT16" t="s">
        <v>82</v>
      </c>
      <c r="AGU16" t="s">
        <v>82</v>
      </c>
      <c r="AGV16" t="s">
        <v>82</v>
      </c>
      <c r="AGW16" t="s">
        <v>82</v>
      </c>
      <c r="AGX16" t="s">
        <v>82</v>
      </c>
      <c r="AGY16" t="s">
        <v>82</v>
      </c>
      <c r="AGZ16" t="s">
        <v>82</v>
      </c>
      <c r="AHA16" t="s">
        <v>82</v>
      </c>
      <c r="AHB16" t="s">
        <v>82</v>
      </c>
      <c r="AHC16" t="s">
        <v>82</v>
      </c>
      <c r="AHD16" t="s">
        <v>82</v>
      </c>
      <c r="AHE16" t="s">
        <v>82</v>
      </c>
      <c r="AHF16" t="s">
        <v>82</v>
      </c>
      <c r="AHG16" t="s">
        <v>82</v>
      </c>
      <c r="AHH16" t="s">
        <v>82</v>
      </c>
      <c r="AHI16" t="s">
        <v>82</v>
      </c>
      <c r="AHJ16" t="s">
        <v>82</v>
      </c>
      <c r="AHK16" t="s">
        <v>82</v>
      </c>
      <c r="AHL16" t="s">
        <v>82</v>
      </c>
      <c r="AHM16" t="s">
        <v>82</v>
      </c>
      <c r="AHN16" t="s">
        <v>82</v>
      </c>
      <c r="AHO16" t="s">
        <v>82</v>
      </c>
      <c r="AHP16" t="s">
        <v>82</v>
      </c>
      <c r="AHQ16" t="s">
        <v>82</v>
      </c>
      <c r="AHR16" t="s">
        <v>82</v>
      </c>
      <c r="AHS16" t="s">
        <v>82</v>
      </c>
      <c r="AHT16" t="s">
        <v>82</v>
      </c>
      <c r="AHU16" t="s">
        <v>82</v>
      </c>
      <c r="AHV16" t="s">
        <v>82</v>
      </c>
      <c r="AHW16" t="s">
        <v>82</v>
      </c>
      <c r="AHX16" t="s">
        <v>82</v>
      </c>
      <c r="AHY16" t="s">
        <v>82</v>
      </c>
      <c r="AHZ16" t="s">
        <v>82</v>
      </c>
      <c r="AIA16" t="s">
        <v>82</v>
      </c>
      <c r="AIB16" t="s">
        <v>82</v>
      </c>
      <c r="AIC16" t="s">
        <v>82</v>
      </c>
      <c r="AID16" t="s">
        <v>82</v>
      </c>
      <c r="AIE16" t="s">
        <v>82</v>
      </c>
      <c r="AIF16" t="s">
        <v>82</v>
      </c>
      <c r="AIG16" t="s">
        <v>82</v>
      </c>
      <c r="AIH16" t="s">
        <v>82</v>
      </c>
      <c r="AII16" t="s">
        <v>82</v>
      </c>
      <c r="AIJ16" t="s">
        <v>82</v>
      </c>
      <c r="AIK16" t="s">
        <v>82</v>
      </c>
      <c r="AIL16" t="s">
        <v>82</v>
      </c>
      <c r="AIM16" t="s">
        <v>82</v>
      </c>
      <c r="AIN16" t="s">
        <v>82</v>
      </c>
      <c r="AIO16" t="s">
        <v>82</v>
      </c>
      <c r="AIP16" t="s">
        <v>82</v>
      </c>
      <c r="AIQ16" t="s">
        <v>82</v>
      </c>
      <c r="AIR16" t="s">
        <v>82</v>
      </c>
      <c r="AIS16" t="s">
        <v>82</v>
      </c>
      <c r="AIT16" t="s">
        <v>82</v>
      </c>
      <c r="AIU16" t="s">
        <v>82</v>
      </c>
      <c r="AIV16" t="s">
        <v>82</v>
      </c>
      <c r="AIW16" t="s">
        <v>82</v>
      </c>
      <c r="AIX16" t="s">
        <v>82</v>
      </c>
      <c r="AIY16" t="s">
        <v>82</v>
      </c>
      <c r="AIZ16" t="s">
        <v>82</v>
      </c>
      <c r="AJA16" t="s">
        <v>82</v>
      </c>
      <c r="AJB16" t="s">
        <v>82</v>
      </c>
      <c r="AJC16" t="s">
        <v>82</v>
      </c>
      <c r="AJD16" t="s">
        <v>82</v>
      </c>
      <c r="AJE16" t="s">
        <v>82</v>
      </c>
      <c r="AJF16" t="s">
        <v>82</v>
      </c>
      <c r="AJG16" t="s">
        <v>82</v>
      </c>
      <c r="AJH16" t="s">
        <v>82</v>
      </c>
      <c r="AJI16" t="s">
        <v>82</v>
      </c>
      <c r="AJJ16" t="s">
        <v>82</v>
      </c>
      <c r="AJK16" t="s">
        <v>82</v>
      </c>
      <c r="AJL16" t="s">
        <v>82</v>
      </c>
      <c r="AJM16" t="s">
        <v>82</v>
      </c>
      <c r="AJN16" t="s">
        <v>82</v>
      </c>
      <c r="AJO16" t="s">
        <v>82</v>
      </c>
      <c r="AJP16" t="s">
        <v>82</v>
      </c>
      <c r="AJQ16" t="s">
        <v>82</v>
      </c>
      <c r="AJR16" t="s">
        <v>60</v>
      </c>
      <c r="AJS16" t="s">
        <v>60</v>
      </c>
      <c r="AJT16" t="s">
        <v>60</v>
      </c>
      <c r="AJU16" t="s">
        <v>60</v>
      </c>
      <c r="AJV16" t="s">
        <v>60</v>
      </c>
      <c r="AJW16" t="s">
        <v>60</v>
      </c>
      <c r="AJX16" t="s">
        <v>60</v>
      </c>
      <c r="AJY16" t="s">
        <v>60</v>
      </c>
      <c r="AJZ16" t="s">
        <v>60</v>
      </c>
      <c r="AKA16" t="s">
        <v>60</v>
      </c>
      <c r="AKB16" t="s">
        <v>60</v>
      </c>
      <c r="AKC16" t="s">
        <v>60</v>
      </c>
      <c r="AKD16" t="s">
        <v>60</v>
      </c>
      <c r="AKE16" t="s">
        <v>60</v>
      </c>
      <c r="AKF16" t="s">
        <v>60</v>
      </c>
      <c r="AKG16" t="s">
        <v>60</v>
      </c>
      <c r="AKH16" t="s">
        <v>82</v>
      </c>
      <c r="AKI16" t="s">
        <v>82</v>
      </c>
      <c r="AKJ16" t="s">
        <v>82</v>
      </c>
      <c r="AKK16" t="s">
        <v>82</v>
      </c>
      <c r="AKL16" t="s">
        <v>82</v>
      </c>
      <c r="AKM16" t="s">
        <v>82</v>
      </c>
      <c r="AKN16" t="s">
        <v>82</v>
      </c>
      <c r="AKO16" t="s">
        <v>82</v>
      </c>
      <c r="AKP16" t="s">
        <v>82</v>
      </c>
      <c r="AKQ16" t="s">
        <v>82</v>
      </c>
      <c r="AKR16" t="s">
        <v>82</v>
      </c>
      <c r="AKS16" t="s">
        <v>82</v>
      </c>
      <c r="AKT16" t="s">
        <v>82</v>
      </c>
      <c r="AKU16" t="s">
        <v>82</v>
      </c>
      <c r="AKV16" t="s">
        <v>82</v>
      </c>
      <c r="AKW16" t="s">
        <v>82</v>
      </c>
    </row>
    <row r="17" spans="1:985" ht="14.4" customHeight="1" x14ac:dyDescent="0.55000000000000004">
      <c r="A17" t="s">
        <v>59</v>
      </c>
      <c r="B17" t="s">
        <v>521</v>
      </c>
      <c r="C17" s="1" t="s">
        <v>701</v>
      </c>
      <c r="D17" t="s">
        <v>61</v>
      </c>
      <c r="E17" t="s">
        <v>61</v>
      </c>
      <c r="F17" t="s">
        <v>61</v>
      </c>
      <c r="G17" t="s">
        <v>61</v>
      </c>
      <c r="H17" t="s">
        <v>61</v>
      </c>
      <c r="I17" t="s">
        <v>61</v>
      </c>
      <c r="J17" t="s">
        <v>61</v>
      </c>
      <c r="K17" t="s">
        <v>61</v>
      </c>
      <c r="L17" t="s">
        <v>61</v>
      </c>
      <c r="M17" t="s">
        <v>61</v>
      </c>
      <c r="N17" t="s">
        <v>61</v>
      </c>
      <c r="O17" t="s">
        <v>61</v>
      </c>
      <c r="P17" t="s">
        <v>61</v>
      </c>
      <c r="Q17" t="s">
        <v>61</v>
      </c>
      <c r="R17" t="s">
        <v>61</v>
      </c>
      <c r="S17" t="s">
        <v>61</v>
      </c>
      <c r="T17" t="s">
        <v>61</v>
      </c>
      <c r="U17" t="s">
        <v>61</v>
      </c>
      <c r="V17" t="s">
        <v>61</v>
      </c>
      <c r="W17" t="s">
        <v>61</v>
      </c>
      <c r="X17" t="s">
        <v>61</v>
      </c>
      <c r="Y17" t="s">
        <v>61</v>
      </c>
      <c r="Z17" t="s">
        <v>61</v>
      </c>
      <c r="AA17" t="s">
        <v>61</v>
      </c>
      <c r="AB17" t="s">
        <v>61</v>
      </c>
      <c r="AC17" t="s">
        <v>61</v>
      </c>
      <c r="AD17" t="s">
        <v>61</v>
      </c>
      <c r="AE17" t="s">
        <v>61</v>
      </c>
      <c r="AF17" t="s">
        <v>61</v>
      </c>
      <c r="AG17" t="s">
        <v>61</v>
      </c>
      <c r="AH17" t="s">
        <v>61</v>
      </c>
      <c r="AI17" t="s">
        <v>61</v>
      </c>
      <c r="AJ17" t="s">
        <v>61</v>
      </c>
      <c r="AK17" t="s">
        <v>61</v>
      </c>
      <c r="AL17" t="s">
        <v>61</v>
      </c>
      <c r="AM17" t="s">
        <v>61</v>
      </c>
      <c r="AN17" t="s">
        <v>61</v>
      </c>
      <c r="AO17" t="s">
        <v>61</v>
      </c>
      <c r="AP17" t="s">
        <v>61</v>
      </c>
      <c r="AQ17" t="s">
        <v>61</v>
      </c>
      <c r="AR17" t="s">
        <v>61</v>
      </c>
      <c r="AS17" t="s">
        <v>61</v>
      </c>
      <c r="AT17" t="s">
        <v>61</v>
      </c>
      <c r="AU17" t="s">
        <v>61</v>
      </c>
      <c r="AV17" t="s">
        <v>61</v>
      </c>
      <c r="AW17" t="s">
        <v>61</v>
      </c>
      <c r="AX17" t="s">
        <v>61</v>
      </c>
      <c r="AY17" t="s">
        <v>61</v>
      </c>
      <c r="AZ17" t="s">
        <v>61</v>
      </c>
      <c r="BA17" t="s">
        <v>61</v>
      </c>
      <c r="BB17" t="s">
        <v>61</v>
      </c>
      <c r="BC17" t="s">
        <v>61</v>
      </c>
      <c r="BD17" t="s">
        <v>61</v>
      </c>
      <c r="BE17" t="s">
        <v>61</v>
      </c>
      <c r="BF17" t="s">
        <v>61</v>
      </c>
      <c r="BG17" t="s">
        <v>61</v>
      </c>
      <c r="BH17" t="s">
        <v>61</v>
      </c>
      <c r="BI17" t="s">
        <v>61</v>
      </c>
      <c r="BJ17" t="s">
        <v>61</v>
      </c>
      <c r="BK17" t="s">
        <v>61</v>
      </c>
      <c r="BL17" t="s">
        <v>61</v>
      </c>
      <c r="BM17" t="s">
        <v>61</v>
      </c>
      <c r="BN17" t="s">
        <v>61</v>
      </c>
      <c r="BO17" t="s">
        <v>61</v>
      </c>
      <c r="BP17" t="s">
        <v>61</v>
      </c>
      <c r="BQ17" t="s">
        <v>61</v>
      </c>
      <c r="BR17" t="s">
        <v>61</v>
      </c>
      <c r="BS17" t="s">
        <v>61</v>
      </c>
      <c r="BT17" t="s">
        <v>61</v>
      </c>
      <c r="BU17" t="s">
        <v>61</v>
      </c>
      <c r="BV17" t="s">
        <v>61</v>
      </c>
      <c r="BW17" t="s">
        <v>61</v>
      </c>
      <c r="BX17" t="s">
        <v>61</v>
      </c>
      <c r="BY17" t="s">
        <v>61</v>
      </c>
      <c r="BZ17" t="s">
        <v>61</v>
      </c>
      <c r="CA17" t="s">
        <v>83</v>
      </c>
      <c r="CB17" t="s">
        <v>83</v>
      </c>
      <c r="CC17" t="s">
        <v>83</v>
      </c>
      <c r="CD17" t="s">
        <v>83</v>
      </c>
      <c r="CE17" t="s">
        <v>83</v>
      </c>
      <c r="CF17" t="s">
        <v>83</v>
      </c>
      <c r="CG17" t="s">
        <v>83</v>
      </c>
      <c r="CH17" t="s">
        <v>83</v>
      </c>
      <c r="CI17" t="s">
        <v>83</v>
      </c>
      <c r="CJ17" t="s">
        <v>83</v>
      </c>
      <c r="CK17" t="s">
        <v>83</v>
      </c>
      <c r="CL17" t="s">
        <v>83</v>
      </c>
      <c r="CM17" t="s">
        <v>83</v>
      </c>
      <c r="CN17" t="s">
        <v>83</v>
      </c>
      <c r="CO17" t="s">
        <v>83</v>
      </c>
      <c r="CP17" t="s">
        <v>83</v>
      </c>
      <c r="CQ17" t="s">
        <v>83</v>
      </c>
      <c r="CR17" t="s">
        <v>83</v>
      </c>
      <c r="CS17" t="s">
        <v>83</v>
      </c>
      <c r="CT17" t="s">
        <v>83</v>
      </c>
      <c r="CU17" t="s">
        <v>83</v>
      </c>
      <c r="CV17" t="s">
        <v>83</v>
      </c>
      <c r="CW17" t="s">
        <v>83</v>
      </c>
      <c r="CX17" t="s">
        <v>83</v>
      </c>
      <c r="CY17" t="s">
        <v>83</v>
      </c>
      <c r="CZ17" t="s">
        <v>83</v>
      </c>
      <c r="DA17" t="s">
        <v>83</v>
      </c>
      <c r="DB17" t="s">
        <v>83</v>
      </c>
      <c r="DC17" t="s">
        <v>83</v>
      </c>
      <c r="DD17" t="s">
        <v>83</v>
      </c>
      <c r="DE17" t="s">
        <v>83</v>
      </c>
      <c r="DF17" t="s">
        <v>83</v>
      </c>
      <c r="DG17" t="s">
        <v>83</v>
      </c>
      <c r="DH17" t="s">
        <v>83</v>
      </c>
      <c r="DI17" t="s">
        <v>83</v>
      </c>
      <c r="DJ17" t="s">
        <v>83</v>
      </c>
      <c r="DK17" t="s">
        <v>83</v>
      </c>
      <c r="DL17" t="s">
        <v>83</v>
      </c>
      <c r="DM17" t="s">
        <v>83</v>
      </c>
      <c r="DN17" t="s">
        <v>83</v>
      </c>
      <c r="DO17" t="s">
        <v>83</v>
      </c>
      <c r="DP17" t="s">
        <v>83</v>
      </c>
      <c r="DQ17" t="s">
        <v>83</v>
      </c>
      <c r="DR17" t="s">
        <v>83</v>
      </c>
      <c r="DS17" t="s">
        <v>83</v>
      </c>
      <c r="DT17" t="s">
        <v>83</v>
      </c>
      <c r="DU17" t="s">
        <v>83</v>
      </c>
      <c r="DV17" t="s">
        <v>83</v>
      </c>
      <c r="DW17" t="s">
        <v>83</v>
      </c>
      <c r="DX17" t="s">
        <v>83</v>
      </c>
      <c r="DY17" t="s">
        <v>83</v>
      </c>
      <c r="DZ17" t="s">
        <v>83</v>
      </c>
      <c r="EA17" t="s">
        <v>83</v>
      </c>
      <c r="EB17" t="s">
        <v>83</v>
      </c>
      <c r="EC17" t="s">
        <v>83</v>
      </c>
      <c r="ED17" t="s">
        <v>83</v>
      </c>
      <c r="EE17" t="s">
        <v>83</v>
      </c>
      <c r="EF17" t="s">
        <v>83</v>
      </c>
      <c r="EG17" t="s">
        <v>83</v>
      </c>
      <c r="EH17" t="s">
        <v>83</v>
      </c>
      <c r="EI17" t="s">
        <v>83</v>
      </c>
      <c r="EJ17" t="s">
        <v>83</v>
      </c>
      <c r="EK17" t="s">
        <v>83</v>
      </c>
      <c r="EL17" t="s">
        <v>83</v>
      </c>
      <c r="EM17" t="s">
        <v>83</v>
      </c>
      <c r="EN17" t="s">
        <v>83</v>
      </c>
      <c r="EO17" t="s">
        <v>83</v>
      </c>
      <c r="EP17" t="s">
        <v>83</v>
      </c>
      <c r="EQ17" t="s">
        <v>83</v>
      </c>
      <c r="ER17" t="s">
        <v>83</v>
      </c>
      <c r="ES17" t="s">
        <v>83</v>
      </c>
      <c r="ET17" t="s">
        <v>83</v>
      </c>
      <c r="EU17" t="s">
        <v>83</v>
      </c>
      <c r="EV17" t="s">
        <v>83</v>
      </c>
      <c r="EW17" t="s">
        <v>83</v>
      </c>
      <c r="EX17" t="s">
        <v>83</v>
      </c>
      <c r="EY17" t="s">
        <v>83</v>
      </c>
      <c r="EZ17" t="s">
        <v>83</v>
      </c>
      <c r="FA17" t="s">
        <v>83</v>
      </c>
      <c r="FB17" t="s">
        <v>83</v>
      </c>
      <c r="FC17" t="s">
        <v>83</v>
      </c>
      <c r="FD17" t="s">
        <v>83</v>
      </c>
      <c r="FE17" t="s">
        <v>83</v>
      </c>
      <c r="FF17" t="s">
        <v>83</v>
      </c>
      <c r="FG17" t="s">
        <v>83</v>
      </c>
      <c r="FH17" t="s">
        <v>83</v>
      </c>
      <c r="FI17" t="s">
        <v>83</v>
      </c>
      <c r="FJ17" t="s">
        <v>83</v>
      </c>
      <c r="FK17" t="s">
        <v>83</v>
      </c>
      <c r="FL17" t="s">
        <v>83</v>
      </c>
      <c r="FM17" t="s">
        <v>83</v>
      </c>
      <c r="FN17" t="s">
        <v>83</v>
      </c>
      <c r="FO17" t="s">
        <v>83</v>
      </c>
      <c r="FP17" t="s">
        <v>83</v>
      </c>
      <c r="FQ17" t="s">
        <v>83</v>
      </c>
      <c r="FR17" t="s">
        <v>83</v>
      </c>
      <c r="FS17" t="s">
        <v>83</v>
      </c>
      <c r="FT17" t="s">
        <v>83</v>
      </c>
      <c r="FU17" t="s">
        <v>83</v>
      </c>
      <c r="FV17" t="s">
        <v>83</v>
      </c>
      <c r="FW17" t="s">
        <v>83</v>
      </c>
      <c r="FX17" t="s">
        <v>83</v>
      </c>
      <c r="FY17" t="s">
        <v>83</v>
      </c>
      <c r="FZ17" t="s">
        <v>83</v>
      </c>
      <c r="GA17" t="s">
        <v>83</v>
      </c>
      <c r="GB17" t="s">
        <v>83</v>
      </c>
      <c r="GC17" t="s">
        <v>83</v>
      </c>
      <c r="GD17" t="s">
        <v>83</v>
      </c>
      <c r="GE17" t="s">
        <v>83</v>
      </c>
      <c r="GF17" t="s">
        <v>83</v>
      </c>
      <c r="GG17" t="s">
        <v>83</v>
      </c>
      <c r="GH17" t="s">
        <v>83</v>
      </c>
      <c r="GI17" t="s">
        <v>83</v>
      </c>
      <c r="GJ17" t="s">
        <v>83</v>
      </c>
      <c r="GK17" t="s">
        <v>83</v>
      </c>
      <c r="GL17" t="s">
        <v>83</v>
      </c>
      <c r="GM17" t="s">
        <v>83</v>
      </c>
      <c r="GN17" t="s">
        <v>83</v>
      </c>
      <c r="GO17" t="s">
        <v>83</v>
      </c>
      <c r="GP17" t="s">
        <v>83</v>
      </c>
      <c r="GQ17" t="s">
        <v>83</v>
      </c>
      <c r="GR17" t="s">
        <v>83</v>
      </c>
      <c r="GS17" t="s">
        <v>83</v>
      </c>
      <c r="GT17" t="s">
        <v>83</v>
      </c>
      <c r="GU17" t="s">
        <v>83</v>
      </c>
      <c r="GV17" t="s">
        <v>83</v>
      </c>
      <c r="GW17" t="s">
        <v>83</v>
      </c>
      <c r="GX17" t="s">
        <v>83</v>
      </c>
      <c r="GY17" t="s">
        <v>83</v>
      </c>
      <c r="GZ17" t="s">
        <v>83</v>
      </c>
      <c r="HA17" t="s">
        <v>83</v>
      </c>
      <c r="HB17" t="s">
        <v>83</v>
      </c>
      <c r="HC17" t="s">
        <v>83</v>
      </c>
      <c r="HD17" t="s">
        <v>83</v>
      </c>
      <c r="HE17" t="s">
        <v>83</v>
      </c>
      <c r="HF17" t="s">
        <v>83</v>
      </c>
      <c r="HG17" t="s">
        <v>83</v>
      </c>
      <c r="HH17" t="s">
        <v>83</v>
      </c>
      <c r="HI17" t="s">
        <v>83</v>
      </c>
      <c r="HJ17" t="s">
        <v>83</v>
      </c>
      <c r="HK17" t="s">
        <v>83</v>
      </c>
      <c r="HL17" t="s">
        <v>83</v>
      </c>
      <c r="HM17" t="s">
        <v>83</v>
      </c>
      <c r="HN17" t="s">
        <v>83</v>
      </c>
      <c r="HO17" t="s">
        <v>83</v>
      </c>
      <c r="HP17" t="s">
        <v>83</v>
      </c>
      <c r="HQ17" t="s">
        <v>83</v>
      </c>
      <c r="HR17" t="s">
        <v>83</v>
      </c>
      <c r="HS17" t="s">
        <v>83</v>
      </c>
      <c r="HT17" t="s">
        <v>83</v>
      </c>
      <c r="HU17" t="s">
        <v>83</v>
      </c>
      <c r="HV17" t="s">
        <v>83</v>
      </c>
      <c r="HW17" t="s">
        <v>83</v>
      </c>
      <c r="HX17" t="s">
        <v>83</v>
      </c>
      <c r="HY17" t="s">
        <v>83</v>
      </c>
      <c r="HZ17" t="s">
        <v>83</v>
      </c>
      <c r="IA17" t="s">
        <v>83</v>
      </c>
      <c r="IB17" t="s">
        <v>83</v>
      </c>
      <c r="IC17" t="s">
        <v>83</v>
      </c>
      <c r="ID17" t="s">
        <v>83</v>
      </c>
      <c r="IE17" t="s">
        <v>83</v>
      </c>
      <c r="IF17" t="s">
        <v>83</v>
      </c>
      <c r="IG17" t="s">
        <v>83</v>
      </c>
      <c r="IH17" t="s">
        <v>83</v>
      </c>
      <c r="II17" t="s">
        <v>83</v>
      </c>
      <c r="IJ17" t="s">
        <v>83</v>
      </c>
      <c r="IK17" t="s">
        <v>83</v>
      </c>
      <c r="IL17" t="s">
        <v>83</v>
      </c>
      <c r="IM17" t="s">
        <v>83</v>
      </c>
      <c r="IN17" t="s">
        <v>83</v>
      </c>
      <c r="IO17" t="s">
        <v>83</v>
      </c>
      <c r="IP17" t="s">
        <v>83</v>
      </c>
      <c r="IQ17" t="s">
        <v>83</v>
      </c>
      <c r="IR17" t="s">
        <v>83</v>
      </c>
      <c r="IS17" t="s">
        <v>83</v>
      </c>
      <c r="IT17" t="s">
        <v>83</v>
      </c>
      <c r="IU17" t="s">
        <v>83</v>
      </c>
      <c r="IV17" t="s">
        <v>83</v>
      </c>
      <c r="IW17" t="s">
        <v>83</v>
      </c>
      <c r="IX17" t="s">
        <v>83</v>
      </c>
      <c r="IY17" t="s">
        <v>83</v>
      </c>
      <c r="IZ17" t="s">
        <v>83</v>
      </c>
      <c r="JA17" t="s">
        <v>83</v>
      </c>
      <c r="JB17" t="s">
        <v>83</v>
      </c>
      <c r="JC17" t="s">
        <v>83</v>
      </c>
      <c r="JD17" t="s">
        <v>83</v>
      </c>
      <c r="JE17" t="s">
        <v>83</v>
      </c>
      <c r="JF17" t="s">
        <v>83</v>
      </c>
      <c r="JG17" t="s">
        <v>83</v>
      </c>
      <c r="JH17" t="s">
        <v>83</v>
      </c>
      <c r="JI17" t="s">
        <v>83</v>
      </c>
      <c r="JJ17" t="s">
        <v>83</v>
      </c>
      <c r="JK17" t="s">
        <v>83</v>
      </c>
      <c r="JL17" t="s">
        <v>83</v>
      </c>
      <c r="JM17" t="s">
        <v>83</v>
      </c>
      <c r="JN17" t="s">
        <v>83</v>
      </c>
      <c r="JO17" t="s">
        <v>83</v>
      </c>
      <c r="JP17" t="s">
        <v>83</v>
      </c>
      <c r="JQ17" t="s">
        <v>83</v>
      </c>
      <c r="JR17" t="s">
        <v>83</v>
      </c>
      <c r="JS17" t="s">
        <v>83</v>
      </c>
      <c r="JT17" t="s">
        <v>83</v>
      </c>
      <c r="JU17" t="s">
        <v>83</v>
      </c>
      <c r="JV17" t="s">
        <v>83</v>
      </c>
      <c r="JW17" t="s">
        <v>83</v>
      </c>
      <c r="JX17" t="s">
        <v>83</v>
      </c>
      <c r="JY17" t="s">
        <v>83</v>
      </c>
      <c r="JZ17" t="s">
        <v>83</v>
      </c>
      <c r="KA17" t="s">
        <v>83</v>
      </c>
      <c r="KB17" t="s">
        <v>83</v>
      </c>
      <c r="KC17" t="s">
        <v>83</v>
      </c>
      <c r="KD17" t="s">
        <v>83</v>
      </c>
      <c r="KE17" t="s">
        <v>83</v>
      </c>
      <c r="KF17" t="s">
        <v>83</v>
      </c>
      <c r="KG17" t="s">
        <v>83</v>
      </c>
      <c r="KH17" t="s">
        <v>83</v>
      </c>
      <c r="KI17" t="s">
        <v>83</v>
      </c>
      <c r="KJ17" t="s">
        <v>83</v>
      </c>
      <c r="KK17" t="s">
        <v>83</v>
      </c>
      <c r="KL17" t="s">
        <v>83</v>
      </c>
      <c r="KM17" t="s">
        <v>83</v>
      </c>
      <c r="KN17" t="s">
        <v>83</v>
      </c>
      <c r="KO17" t="s">
        <v>83</v>
      </c>
      <c r="KP17" t="s">
        <v>83</v>
      </c>
      <c r="KQ17" t="s">
        <v>83</v>
      </c>
      <c r="KR17" t="s">
        <v>83</v>
      </c>
      <c r="KS17" t="s">
        <v>83</v>
      </c>
      <c r="KT17" t="s">
        <v>83</v>
      </c>
      <c r="KU17" t="s">
        <v>83</v>
      </c>
      <c r="KV17" t="s">
        <v>83</v>
      </c>
      <c r="KW17" t="s">
        <v>83</v>
      </c>
      <c r="KX17" t="s">
        <v>83</v>
      </c>
      <c r="KY17" t="s">
        <v>83</v>
      </c>
      <c r="KZ17" t="s">
        <v>83</v>
      </c>
      <c r="LA17" t="s">
        <v>83</v>
      </c>
      <c r="LB17" t="s">
        <v>83</v>
      </c>
      <c r="LC17" t="s">
        <v>83</v>
      </c>
      <c r="LD17" t="s">
        <v>83</v>
      </c>
      <c r="LE17" t="s">
        <v>83</v>
      </c>
      <c r="LF17" t="s">
        <v>83</v>
      </c>
      <c r="LG17" t="s">
        <v>83</v>
      </c>
      <c r="LH17" t="s">
        <v>83</v>
      </c>
      <c r="LI17" t="s">
        <v>83</v>
      </c>
      <c r="LJ17" t="s">
        <v>83</v>
      </c>
      <c r="LK17" t="s">
        <v>83</v>
      </c>
      <c r="LL17" t="s">
        <v>83</v>
      </c>
      <c r="LM17" t="s">
        <v>83</v>
      </c>
      <c r="LN17" t="s">
        <v>83</v>
      </c>
      <c r="LO17" t="s">
        <v>83</v>
      </c>
      <c r="LP17" t="s">
        <v>83</v>
      </c>
      <c r="LQ17" t="s">
        <v>83</v>
      </c>
      <c r="LR17" t="s">
        <v>83</v>
      </c>
      <c r="LS17" t="s">
        <v>83</v>
      </c>
      <c r="LT17" t="s">
        <v>83</v>
      </c>
      <c r="LU17" t="s">
        <v>83</v>
      </c>
      <c r="LV17" t="s">
        <v>83</v>
      </c>
      <c r="LW17" t="s">
        <v>83</v>
      </c>
      <c r="LX17" t="s">
        <v>83</v>
      </c>
      <c r="LY17" t="s">
        <v>83</v>
      </c>
      <c r="LZ17" t="s">
        <v>83</v>
      </c>
      <c r="MA17" t="s">
        <v>83</v>
      </c>
      <c r="MB17" t="s">
        <v>83</v>
      </c>
      <c r="MC17" t="s">
        <v>83</v>
      </c>
      <c r="MD17" t="s">
        <v>83</v>
      </c>
      <c r="ME17" t="s">
        <v>83</v>
      </c>
      <c r="MF17" t="s">
        <v>83</v>
      </c>
      <c r="MG17" t="s">
        <v>83</v>
      </c>
      <c r="MH17" t="s">
        <v>83</v>
      </c>
      <c r="MI17" t="s">
        <v>83</v>
      </c>
      <c r="MJ17" t="s">
        <v>83</v>
      </c>
      <c r="MK17" t="s">
        <v>83</v>
      </c>
      <c r="ML17" t="s">
        <v>83</v>
      </c>
      <c r="MM17" t="s">
        <v>83</v>
      </c>
      <c r="MN17" t="s">
        <v>83</v>
      </c>
      <c r="MO17" t="s">
        <v>83</v>
      </c>
      <c r="MP17" t="s">
        <v>83</v>
      </c>
      <c r="MQ17" t="s">
        <v>83</v>
      </c>
      <c r="MR17" t="s">
        <v>83</v>
      </c>
      <c r="MS17" t="s">
        <v>83</v>
      </c>
      <c r="MT17" t="s">
        <v>83</v>
      </c>
      <c r="MU17" t="s">
        <v>83</v>
      </c>
      <c r="MV17" t="s">
        <v>83</v>
      </c>
      <c r="MW17" t="s">
        <v>83</v>
      </c>
      <c r="MX17" t="s">
        <v>83</v>
      </c>
      <c r="MY17" t="s">
        <v>83</v>
      </c>
      <c r="MZ17" t="s">
        <v>83</v>
      </c>
      <c r="NA17" t="s">
        <v>83</v>
      </c>
      <c r="NB17" t="s">
        <v>83</v>
      </c>
      <c r="NC17" t="s">
        <v>83</v>
      </c>
      <c r="ND17" t="s">
        <v>83</v>
      </c>
      <c r="NE17" t="s">
        <v>83</v>
      </c>
      <c r="NF17" t="s">
        <v>83</v>
      </c>
      <c r="NG17" t="s">
        <v>83</v>
      </c>
      <c r="NH17" t="s">
        <v>83</v>
      </c>
      <c r="NI17" t="s">
        <v>83</v>
      </c>
      <c r="NJ17" t="s">
        <v>83</v>
      </c>
      <c r="NK17" t="s">
        <v>83</v>
      </c>
      <c r="NL17" t="s">
        <v>83</v>
      </c>
      <c r="NM17" t="s">
        <v>83</v>
      </c>
      <c r="NN17" t="s">
        <v>83</v>
      </c>
      <c r="NO17" t="s">
        <v>83</v>
      </c>
      <c r="NP17" t="s">
        <v>83</v>
      </c>
      <c r="NQ17" t="s">
        <v>83</v>
      </c>
      <c r="NR17" t="s">
        <v>83</v>
      </c>
      <c r="NS17" t="s">
        <v>83</v>
      </c>
      <c r="NT17" t="s">
        <v>83</v>
      </c>
      <c r="NU17" t="s">
        <v>83</v>
      </c>
      <c r="NV17" t="s">
        <v>83</v>
      </c>
      <c r="NW17" t="s">
        <v>83</v>
      </c>
      <c r="NX17" t="s">
        <v>83</v>
      </c>
      <c r="NY17" t="s">
        <v>83</v>
      </c>
      <c r="NZ17" t="s">
        <v>83</v>
      </c>
      <c r="OA17" t="s">
        <v>83</v>
      </c>
      <c r="OB17" t="s">
        <v>83</v>
      </c>
      <c r="OC17" t="s">
        <v>83</v>
      </c>
      <c r="OD17" t="s">
        <v>83</v>
      </c>
      <c r="OE17" t="s">
        <v>83</v>
      </c>
      <c r="OF17" t="s">
        <v>83</v>
      </c>
      <c r="OG17" t="s">
        <v>83</v>
      </c>
      <c r="OH17" t="s">
        <v>83</v>
      </c>
      <c r="OI17" t="s">
        <v>83</v>
      </c>
      <c r="OJ17" t="s">
        <v>83</v>
      </c>
      <c r="OK17" t="s">
        <v>83</v>
      </c>
      <c r="OL17" t="s">
        <v>83</v>
      </c>
      <c r="OM17" t="s">
        <v>83</v>
      </c>
      <c r="ON17" t="s">
        <v>83</v>
      </c>
      <c r="OO17" t="s">
        <v>83</v>
      </c>
      <c r="OP17" t="s">
        <v>83</v>
      </c>
      <c r="OQ17" t="s">
        <v>83</v>
      </c>
      <c r="OR17" t="s">
        <v>83</v>
      </c>
      <c r="OS17" t="s">
        <v>83</v>
      </c>
      <c r="OT17" t="s">
        <v>83</v>
      </c>
      <c r="OU17" t="s">
        <v>83</v>
      </c>
      <c r="OV17" t="s">
        <v>83</v>
      </c>
      <c r="OW17" t="s">
        <v>83</v>
      </c>
      <c r="OX17" t="s">
        <v>83</v>
      </c>
      <c r="OY17" t="s">
        <v>83</v>
      </c>
      <c r="OZ17" t="s">
        <v>83</v>
      </c>
      <c r="PA17" t="s">
        <v>83</v>
      </c>
      <c r="PB17" t="s">
        <v>83</v>
      </c>
      <c r="PC17" t="s">
        <v>83</v>
      </c>
      <c r="PD17" t="s">
        <v>83</v>
      </c>
      <c r="PE17" t="s">
        <v>83</v>
      </c>
      <c r="PF17" t="s">
        <v>83</v>
      </c>
      <c r="PG17" t="s">
        <v>83</v>
      </c>
      <c r="PH17" t="s">
        <v>83</v>
      </c>
      <c r="PI17" t="s">
        <v>83</v>
      </c>
      <c r="PJ17" t="s">
        <v>83</v>
      </c>
      <c r="PK17" t="s">
        <v>83</v>
      </c>
      <c r="PL17" t="s">
        <v>83</v>
      </c>
      <c r="PM17" t="s">
        <v>83</v>
      </c>
      <c r="PN17" t="s">
        <v>83</v>
      </c>
      <c r="PO17" t="s">
        <v>83</v>
      </c>
      <c r="PP17" t="s">
        <v>83</v>
      </c>
      <c r="PQ17" t="s">
        <v>83</v>
      </c>
      <c r="PR17" t="s">
        <v>83</v>
      </c>
      <c r="PS17" t="s">
        <v>83</v>
      </c>
      <c r="PT17" t="s">
        <v>83</v>
      </c>
      <c r="PU17" t="s">
        <v>83</v>
      </c>
      <c r="PV17" t="s">
        <v>83</v>
      </c>
      <c r="PW17" t="s">
        <v>83</v>
      </c>
      <c r="PX17" t="s">
        <v>83</v>
      </c>
      <c r="PY17" t="s">
        <v>83</v>
      </c>
      <c r="PZ17" t="s">
        <v>83</v>
      </c>
      <c r="QA17" t="s">
        <v>83</v>
      </c>
      <c r="QB17" t="s">
        <v>83</v>
      </c>
      <c r="QC17" t="s">
        <v>83</v>
      </c>
      <c r="QD17" t="s">
        <v>83</v>
      </c>
      <c r="QE17" t="s">
        <v>83</v>
      </c>
      <c r="QF17" t="s">
        <v>83</v>
      </c>
      <c r="QG17" t="s">
        <v>83</v>
      </c>
      <c r="QH17" t="s">
        <v>83</v>
      </c>
      <c r="QI17" t="s">
        <v>83</v>
      </c>
      <c r="QJ17" t="s">
        <v>83</v>
      </c>
      <c r="QK17" t="s">
        <v>83</v>
      </c>
      <c r="QL17" t="s">
        <v>83</v>
      </c>
      <c r="QM17" t="s">
        <v>83</v>
      </c>
      <c r="QN17" t="s">
        <v>83</v>
      </c>
      <c r="QO17" t="s">
        <v>83</v>
      </c>
      <c r="QP17" t="s">
        <v>83</v>
      </c>
      <c r="QQ17" t="s">
        <v>83</v>
      </c>
      <c r="QR17" t="s">
        <v>83</v>
      </c>
      <c r="QS17" t="s">
        <v>83</v>
      </c>
      <c r="QT17" t="s">
        <v>83</v>
      </c>
      <c r="QU17" t="s">
        <v>83</v>
      </c>
      <c r="QV17" t="s">
        <v>83</v>
      </c>
      <c r="QW17" t="s">
        <v>83</v>
      </c>
      <c r="QX17" t="s">
        <v>83</v>
      </c>
      <c r="QY17" t="s">
        <v>83</v>
      </c>
      <c r="QZ17" t="s">
        <v>83</v>
      </c>
      <c r="RA17" t="s">
        <v>83</v>
      </c>
      <c r="RB17" t="s">
        <v>83</v>
      </c>
      <c r="RC17" t="s">
        <v>83</v>
      </c>
      <c r="RD17" t="s">
        <v>83</v>
      </c>
      <c r="RE17" t="s">
        <v>83</v>
      </c>
      <c r="RF17" t="s">
        <v>83</v>
      </c>
      <c r="RG17" t="s">
        <v>83</v>
      </c>
      <c r="RH17" t="s">
        <v>83</v>
      </c>
      <c r="RI17" t="s">
        <v>83</v>
      </c>
      <c r="RJ17" t="s">
        <v>83</v>
      </c>
      <c r="RK17" t="s">
        <v>83</v>
      </c>
      <c r="RL17" t="s">
        <v>83</v>
      </c>
      <c r="RM17" t="s">
        <v>83</v>
      </c>
      <c r="RN17" t="s">
        <v>83</v>
      </c>
      <c r="RO17" t="s">
        <v>83</v>
      </c>
      <c r="RP17" t="s">
        <v>83</v>
      </c>
      <c r="RQ17" t="s">
        <v>83</v>
      </c>
      <c r="RR17" t="s">
        <v>83</v>
      </c>
      <c r="RS17" t="s">
        <v>83</v>
      </c>
      <c r="RT17" t="s">
        <v>83</v>
      </c>
      <c r="RU17" t="s">
        <v>83</v>
      </c>
      <c r="RV17" t="s">
        <v>83</v>
      </c>
      <c r="RW17" t="s">
        <v>83</v>
      </c>
      <c r="RX17" t="s">
        <v>83</v>
      </c>
      <c r="RY17" t="s">
        <v>83</v>
      </c>
      <c r="RZ17" t="s">
        <v>83</v>
      </c>
      <c r="SA17" t="s">
        <v>83</v>
      </c>
      <c r="SB17" t="s">
        <v>83</v>
      </c>
      <c r="SC17" t="s">
        <v>83</v>
      </c>
      <c r="SD17" t="s">
        <v>83</v>
      </c>
      <c r="SE17" t="s">
        <v>83</v>
      </c>
      <c r="SF17" t="s">
        <v>83</v>
      </c>
      <c r="SG17" t="s">
        <v>83</v>
      </c>
      <c r="SH17" t="s">
        <v>83</v>
      </c>
      <c r="SI17" t="s">
        <v>83</v>
      </c>
      <c r="SJ17" t="s">
        <v>83</v>
      </c>
      <c r="SK17" t="s">
        <v>83</v>
      </c>
      <c r="SL17" t="s">
        <v>83</v>
      </c>
      <c r="SM17" t="s">
        <v>83</v>
      </c>
      <c r="SN17" t="s">
        <v>83</v>
      </c>
      <c r="SO17" t="s">
        <v>83</v>
      </c>
      <c r="SP17" t="s">
        <v>83</v>
      </c>
      <c r="SQ17" t="s">
        <v>83</v>
      </c>
      <c r="SR17" t="s">
        <v>83</v>
      </c>
      <c r="SS17" t="s">
        <v>83</v>
      </c>
      <c r="ST17" t="s">
        <v>83</v>
      </c>
      <c r="SU17" t="s">
        <v>83</v>
      </c>
      <c r="SV17" t="s">
        <v>83</v>
      </c>
      <c r="SW17" t="s">
        <v>83</v>
      </c>
      <c r="SX17" t="s">
        <v>83</v>
      </c>
      <c r="SY17" t="s">
        <v>83</v>
      </c>
      <c r="SZ17" t="s">
        <v>83</v>
      </c>
      <c r="TA17" t="s">
        <v>83</v>
      </c>
      <c r="TB17" t="s">
        <v>83</v>
      </c>
      <c r="TC17" t="s">
        <v>83</v>
      </c>
      <c r="TD17" t="s">
        <v>83</v>
      </c>
      <c r="TE17" t="s">
        <v>83</v>
      </c>
      <c r="TF17" t="s">
        <v>83</v>
      </c>
      <c r="TG17" t="s">
        <v>83</v>
      </c>
      <c r="TH17" t="s">
        <v>83</v>
      </c>
      <c r="TI17" t="s">
        <v>83</v>
      </c>
      <c r="TJ17" t="s">
        <v>83</v>
      </c>
      <c r="TK17" t="s">
        <v>83</v>
      </c>
      <c r="TL17" t="s">
        <v>83</v>
      </c>
      <c r="TM17" t="s">
        <v>83</v>
      </c>
      <c r="TN17" t="s">
        <v>83</v>
      </c>
      <c r="TO17" t="s">
        <v>83</v>
      </c>
      <c r="TP17" t="s">
        <v>83</v>
      </c>
      <c r="TQ17" t="s">
        <v>83</v>
      </c>
      <c r="TR17" t="s">
        <v>83</v>
      </c>
      <c r="TS17" t="s">
        <v>83</v>
      </c>
      <c r="TT17" t="s">
        <v>83</v>
      </c>
      <c r="TU17" t="s">
        <v>83</v>
      </c>
      <c r="TV17" t="s">
        <v>83</v>
      </c>
      <c r="TW17" t="s">
        <v>83</v>
      </c>
      <c r="TX17" t="s">
        <v>83</v>
      </c>
      <c r="TY17" t="s">
        <v>83</v>
      </c>
      <c r="TZ17" t="s">
        <v>83</v>
      </c>
      <c r="UA17" t="s">
        <v>83</v>
      </c>
      <c r="UB17" t="s">
        <v>83</v>
      </c>
      <c r="UC17" t="s">
        <v>83</v>
      </c>
      <c r="UD17" t="s">
        <v>83</v>
      </c>
      <c r="UE17" t="s">
        <v>83</v>
      </c>
      <c r="UF17" t="s">
        <v>83</v>
      </c>
      <c r="UG17" t="s">
        <v>83</v>
      </c>
      <c r="UH17" t="s">
        <v>83</v>
      </c>
      <c r="UI17" t="s">
        <v>83</v>
      </c>
      <c r="UJ17" t="s">
        <v>83</v>
      </c>
      <c r="UK17" t="s">
        <v>83</v>
      </c>
      <c r="UL17" t="s">
        <v>83</v>
      </c>
      <c r="UM17" t="s">
        <v>83</v>
      </c>
      <c r="UN17" t="s">
        <v>83</v>
      </c>
      <c r="UO17" t="s">
        <v>83</v>
      </c>
      <c r="UP17" t="s">
        <v>83</v>
      </c>
      <c r="UQ17" t="s">
        <v>83</v>
      </c>
      <c r="UR17" t="s">
        <v>83</v>
      </c>
      <c r="US17" t="s">
        <v>83</v>
      </c>
      <c r="UT17" t="s">
        <v>83</v>
      </c>
      <c r="UU17" t="s">
        <v>83</v>
      </c>
      <c r="UV17" t="s">
        <v>83</v>
      </c>
      <c r="UW17" t="s">
        <v>83</v>
      </c>
      <c r="UX17" t="s">
        <v>83</v>
      </c>
      <c r="UY17" t="s">
        <v>83</v>
      </c>
      <c r="UZ17" t="s">
        <v>83</v>
      </c>
      <c r="VA17" t="s">
        <v>83</v>
      </c>
      <c r="VB17" t="s">
        <v>83</v>
      </c>
      <c r="VC17" t="s">
        <v>83</v>
      </c>
      <c r="VD17" t="s">
        <v>83</v>
      </c>
      <c r="VE17" t="s">
        <v>83</v>
      </c>
      <c r="VF17" t="s">
        <v>83</v>
      </c>
      <c r="VG17" t="s">
        <v>83</v>
      </c>
      <c r="VH17" t="s">
        <v>83</v>
      </c>
      <c r="VI17" t="s">
        <v>83</v>
      </c>
      <c r="VJ17" t="s">
        <v>83</v>
      </c>
      <c r="VK17" t="s">
        <v>83</v>
      </c>
      <c r="VL17" t="s">
        <v>83</v>
      </c>
      <c r="VM17" t="s">
        <v>83</v>
      </c>
      <c r="VN17" t="s">
        <v>83</v>
      </c>
      <c r="VO17" t="s">
        <v>83</v>
      </c>
      <c r="VP17" t="s">
        <v>83</v>
      </c>
      <c r="VQ17" t="s">
        <v>83</v>
      </c>
      <c r="VR17" t="s">
        <v>83</v>
      </c>
      <c r="VS17" t="s">
        <v>83</v>
      </c>
      <c r="VT17" t="s">
        <v>83</v>
      </c>
      <c r="VU17" t="s">
        <v>83</v>
      </c>
      <c r="VV17" t="s">
        <v>83</v>
      </c>
      <c r="VW17" t="s">
        <v>83</v>
      </c>
      <c r="VX17" t="s">
        <v>83</v>
      </c>
      <c r="VY17" t="s">
        <v>83</v>
      </c>
      <c r="VZ17" t="s">
        <v>83</v>
      </c>
      <c r="WA17" t="s">
        <v>83</v>
      </c>
      <c r="WB17" t="s">
        <v>83</v>
      </c>
      <c r="WC17" t="s">
        <v>83</v>
      </c>
      <c r="WD17" t="s">
        <v>83</v>
      </c>
      <c r="WE17" t="s">
        <v>83</v>
      </c>
      <c r="WF17" t="s">
        <v>83</v>
      </c>
      <c r="WG17" t="s">
        <v>83</v>
      </c>
      <c r="WH17" t="s">
        <v>83</v>
      </c>
      <c r="WI17" t="s">
        <v>83</v>
      </c>
      <c r="WJ17" t="s">
        <v>83</v>
      </c>
      <c r="WK17" t="s">
        <v>83</v>
      </c>
      <c r="WL17" t="s">
        <v>83</v>
      </c>
      <c r="WM17" t="s">
        <v>83</v>
      </c>
      <c r="WN17" t="s">
        <v>83</v>
      </c>
      <c r="WO17" t="s">
        <v>83</v>
      </c>
      <c r="WP17" t="s">
        <v>83</v>
      </c>
      <c r="WQ17" t="s">
        <v>83</v>
      </c>
      <c r="WR17" t="s">
        <v>83</v>
      </c>
      <c r="WS17" t="s">
        <v>83</v>
      </c>
      <c r="WT17" t="s">
        <v>83</v>
      </c>
      <c r="WU17" t="s">
        <v>83</v>
      </c>
      <c r="WV17" t="s">
        <v>83</v>
      </c>
      <c r="WW17" t="s">
        <v>83</v>
      </c>
      <c r="WX17" t="s">
        <v>83</v>
      </c>
      <c r="WY17" t="s">
        <v>83</v>
      </c>
      <c r="WZ17" t="s">
        <v>83</v>
      </c>
      <c r="XA17" t="s">
        <v>83</v>
      </c>
      <c r="XB17" t="s">
        <v>83</v>
      </c>
      <c r="XC17" t="s">
        <v>83</v>
      </c>
      <c r="XD17" t="s">
        <v>83</v>
      </c>
      <c r="XE17" t="s">
        <v>83</v>
      </c>
      <c r="XF17" t="s">
        <v>83</v>
      </c>
      <c r="XG17" t="s">
        <v>83</v>
      </c>
      <c r="XH17" t="s">
        <v>83</v>
      </c>
      <c r="XI17" t="s">
        <v>83</v>
      </c>
      <c r="XJ17" t="s">
        <v>83</v>
      </c>
      <c r="XK17" t="s">
        <v>83</v>
      </c>
      <c r="XL17" t="s">
        <v>83</v>
      </c>
      <c r="XM17" t="s">
        <v>83</v>
      </c>
      <c r="XN17" t="s">
        <v>83</v>
      </c>
      <c r="XO17" t="s">
        <v>83</v>
      </c>
      <c r="XP17" t="s">
        <v>83</v>
      </c>
      <c r="XQ17" t="s">
        <v>83</v>
      </c>
      <c r="XR17" t="s">
        <v>83</v>
      </c>
      <c r="XS17" t="s">
        <v>83</v>
      </c>
      <c r="XT17" t="s">
        <v>83</v>
      </c>
      <c r="XU17" t="s">
        <v>83</v>
      </c>
      <c r="XV17" t="s">
        <v>83</v>
      </c>
      <c r="XW17" t="s">
        <v>83</v>
      </c>
      <c r="XX17" t="s">
        <v>83</v>
      </c>
      <c r="XY17" t="s">
        <v>83</v>
      </c>
      <c r="XZ17" t="s">
        <v>83</v>
      </c>
      <c r="YA17" t="s">
        <v>83</v>
      </c>
      <c r="YB17" t="s">
        <v>83</v>
      </c>
      <c r="YC17" t="s">
        <v>83</v>
      </c>
      <c r="YD17" t="s">
        <v>83</v>
      </c>
      <c r="YE17" t="s">
        <v>83</v>
      </c>
      <c r="YF17" t="s">
        <v>83</v>
      </c>
      <c r="YG17" t="s">
        <v>83</v>
      </c>
      <c r="YH17" t="s">
        <v>83</v>
      </c>
      <c r="YI17" t="s">
        <v>83</v>
      </c>
      <c r="YJ17" t="s">
        <v>83</v>
      </c>
      <c r="YK17" t="s">
        <v>83</v>
      </c>
      <c r="YL17" t="s">
        <v>83</v>
      </c>
      <c r="YM17" t="s">
        <v>83</v>
      </c>
      <c r="YN17" t="s">
        <v>83</v>
      </c>
      <c r="YO17" t="s">
        <v>83</v>
      </c>
      <c r="YP17" t="s">
        <v>83</v>
      </c>
      <c r="YQ17" t="s">
        <v>83</v>
      </c>
      <c r="YR17" t="s">
        <v>83</v>
      </c>
      <c r="YS17" t="s">
        <v>83</v>
      </c>
      <c r="YT17" t="s">
        <v>83</v>
      </c>
      <c r="YU17" t="s">
        <v>83</v>
      </c>
      <c r="YV17" t="s">
        <v>83</v>
      </c>
      <c r="YW17" t="s">
        <v>83</v>
      </c>
      <c r="YX17" t="s">
        <v>83</v>
      </c>
      <c r="YY17" t="s">
        <v>83</v>
      </c>
      <c r="YZ17" t="s">
        <v>83</v>
      </c>
      <c r="ZA17" t="s">
        <v>83</v>
      </c>
      <c r="ZB17" t="s">
        <v>83</v>
      </c>
      <c r="ZC17" t="s">
        <v>83</v>
      </c>
      <c r="ZD17" t="s">
        <v>83</v>
      </c>
      <c r="ZE17" t="s">
        <v>83</v>
      </c>
      <c r="ZF17" t="s">
        <v>83</v>
      </c>
      <c r="ZG17" t="s">
        <v>83</v>
      </c>
      <c r="ZH17" t="s">
        <v>83</v>
      </c>
      <c r="ZI17" t="s">
        <v>83</v>
      </c>
      <c r="ZJ17" t="s">
        <v>83</v>
      </c>
      <c r="ZK17" t="s">
        <v>83</v>
      </c>
      <c r="ZL17" t="s">
        <v>83</v>
      </c>
      <c r="ZM17" t="s">
        <v>83</v>
      </c>
      <c r="ZN17" t="s">
        <v>83</v>
      </c>
      <c r="ZO17" t="s">
        <v>83</v>
      </c>
      <c r="ZP17" t="s">
        <v>83</v>
      </c>
      <c r="ZQ17" t="s">
        <v>83</v>
      </c>
      <c r="ZR17" t="s">
        <v>83</v>
      </c>
      <c r="ZS17" t="s">
        <v>83</v>
      </c>
      <c r="ZT17" t="s">
        <v>83</v>
      </c>
      <c r="ZU17" t="s">
        <v>83</v>
      </c>
      <c r="ZV17" t="s">
        <v>83</v>
      </c>
      <c r="ZW17" t="s">
        <v>83</v>
      </c>
      <c r="ZX17" t="s">
        <v>83</v>
      </c>
      <c r="ZY17" t="s">
        <v>83</v>
      </c>
      <c r="ZZ17" t="s">
        <v>83</v>
      </c>
      <c r="AAA17" t="s">
        <v>83</v>
      </c>
      <c r="AAB17" t="s">
        <v>83</v>
      </c>
      <c r="AAC17" t="s">
        <v>83</v>
      </c>
      <c r="AAD17" t="s">
        <v>83</v>
      </c>
      <c r="AAE17" t="s">
        <v>83</v>
      </c>
      <c r="AAF17" t="s">
        <v>83</v>
      </c>
      <c r="AAG17" t="s">
        <v>83</v>
      </c>
      <c r="AAH17" t="s">
        <v>83</v>
      </c>
      <c r="AAI17" t="s">
        <v>83</v>
      </c>
      <c r="AAJ17" t="s">
        <v>83</v>
      </c>
      <c r="AAK17" t="s">
        <v>83</v>
      </c>
      <c r="AAL17" t="s">
        <v>83</v>
      </c>
      <c r="AAM17" t="s">
        <v>83</v>
      </c>
      <c r="AAN17" t="s">
        <v>83</v>
      </c>
      <c r="AAO17" t="s">
        <v>83</v>
      </c>
      <c r="AAP17" t="s">
        <v>83</v>
      </c>
      <c r="AAQ17" t="s">
        <v>83</v>
      </c>
      <c r="AAR17" t="s">
        <v>83</v>
      </c>
      <c r="AAS17" t="s">
        <v>83</v>
      </c>
      <c r="AAT17" t="s">
        <v>83</v>
      </c>
      <c r="AAU17" t="s">
        <v>83</v>
      </c>
      <c r="AAV17" t="s">
        <v>83</v>
      </c>
      <c r="AAW17" t="s">
        <v>83</v>
      </c>
      <c r="AAX17" t="s">
        <v>83</v>
      </c>
      <c r="AAY17" t="s">
        <v>83</v>
      </c>
      <c r="AAZ17" t="s">
        <v>83</v>
      </c>
      <c r="ABA17" t="s">
        <v>83</v>
      </c>
      <c r="ABB17" t="s">
        <v>83</v>
      </c>
      <c r="ABC17" t="s">
        <v>83</v>
      </c>
      <c r="ABD17" t="s">
        <v>83</v>
      </c>
      <c r="ABE17" t="s">
        <v>83</v>
      </c>
      <c r="ABF17" t="s">
        <v>83</v>
      </c>
      <c r="ABG17" t="s">
        <v>83</v>
      </c>
      <c r="ABH17" t="s">
        <v>83</v>
      </c>
      <c r="ABI17" t="s">
        <v>83</v>
      </c>
      <c r="ABJ17" t="s">
        <v>83</v>
      </c>
      <c r="ABK17" t="s">
        <v>83</v>
      </c>
      <c r="ABL17" t="s">
        <v>83</v>
      </c>
      <c r="ABM17" t="s">
        <v>83</v>
      </c>
      <c r="ABN17" t="s">
        <v>83</v>
      </c>
      <c r="ABO17" t="s">
        <v>83</v>
      </c>
      <c r="ABP17" t="s">
        <v>83</v>
      </c>
      <c r="ABQ17" t="s">
        <v>83</v>
      </c>
      <c r="ABR17" t="s">
        <v>83</v>
      </c>
      <c r="ABS17" t="s">
        <v>83</v>
      </c>
      <c r="ABT17" t="s">
        <v>83</v>
      </c>
      <c r="ABU17" t="s">
        <v>83</v>
      </c>
      <c r="ABV17" t="s">
        <v>83</v>
      </c>
      <c r="ABW17" t="s">
        <v>83</v>
      </c>
      <c r="ABX17" t="s">
        <v>83</v>
      </c>
      <c r="ABY17" t="s">
        <v>83</v>
      </c>
      <c r="ABZ17" t="s">
        <v>83</v>
      </c>
      <c r="ACA17" t="s">
        <v>83</v>
      </c>
      <c r="ACB17" t="s">
        <v>83</v>
      </c>
      <c r="ACC17" t="s">
        <v>83</v>
      </c>
      <c r="ACD17" t="s">
        <v>83</v>
      </c>
      <c r="ACE17" t="s">
        <v>83</v>
      </c>
      <c r="ACF17" t="s">
        <v>83</v>
      </c>
      <c r="ACG17" t="s">
        <v>83</v>
      </c>
      <c r="ACH17" t="s">
        <v>83</v>
      </c>
      <c r="ACI17" t="s">
        <v>83</v>
      </c>
      <c r="ACJ17" t="s">
        <v>83</v>
      </c>
      <c r="ACK17" t="s">
        <v>83</v>
      </c>
      <c r="ACL17" t="s">
        <v>83</v>
      </c>
      <c r="ACM17" t="s">
        <v>83</v>
      </c>
      <c r="ACN17" t="s">
        <v>83</v>
      </c>
      <c r="ACO17" t="s">
        <v>83</v>
      </c>
      <c r="ACP17" t="s">
        <v>83</v>
      </c>
      <c r="ACQ17" t="s">
        <v>83</v>
      </c>
      <c r="ACR17" t="s">
        <v>83</v>
      </c>
      <c r="ACS17" t="s">
        <v>83</v>
      </c>
      <c r="ACT17" t="s">
        <v>83</v>
      </c>
      <c r="ACU17" t="s">
        <v>83</v>
      </c>
      <c r="ACV17" t="s">
        <v>83</v>
      </c>
      <c r="ACW17" t="s">
        <v>83</v>
      </c>
      <c r="ACX17" t="s">
        <v>83</v>
      </c>
      <c r="ACY17" t="s">
        <v>83</v>
      </c>
      <c r="ACZ17" t="s">
        <v>83</v>
      </c>
      <c r="ADA17" t="s">
        <v>83</v>
      </c>
      <c r="ADB17" t="s">
        <v>83</v>
      </c>
      <c r="ADC17" t="s">
        <v>83</v>
      </c>
      <c r="ADD17" t="s">
        <v>83</v>
      </c>
      <c r="ADE17" t="s">
        <v>83</v>
      </c>
      <c r="ADF17" t="s">
        <v>83</v>
      </c>
      <c r="ADG17" t="s">
        <v>83</v>
      </c>
      <c r="ADH17" t="s">
        <v>83</v>
      </c>
      <c r="ADI17" t="s">
        <v>83</v>
      </c>
      <c r="ADJ17" t="s">
        <v>83</v>
      </c>
      <c r="ADK17" t="s">
        <v>83</v>
      </c>
      <c r="ADL17" t="s">
        <v>83</v>
      </c>
      <c r="ADM17" t="s">
        <v>83</v>
      </c>
      <c r="ADN17" t="s">
        <v>83</v>
      </c>
      <c r="ADO17" t="s">
        <v>83</v>
      </c>
      <c r="ADP17" t="s">
        <v>83</v>
      </c>
      <c r="ADQ17" t="s">
        <v>83</v>
      </c>
      <c r="ADR17" t="s">
        <v>83</v>
      </c>
      <c r="ADS17" t="s">
        <v>83</v>
      </c>
      <c r="ADT17" t="s">
        <v>83</v>
      </c>
      <c r="ADU17" t="s">
        <v>83</v>
      </c>
      <c r="ADV17" t="s">
        <v>83</v>
      </c>
      <c r="ADW17" t="s">
        <v>83</v>
      </c>
      <c r="ADX17" t="s">
        <v>83</v>
      </c>
      <c r="ADY17" t="s">
        <v>83</v>
      </c>
      <c r="ADZ17" t="s">
        <v>83</v>
      </c>
      <c r="AEA17" t="s">
        <v>83</v>
      </c>
      <c r="AEB17" t="s">
        <v>83</v>
      </c>
      <c r="AEC17" t="s">
        <v>83</v>
      </c>
      <c r="AED17" t="s">
        <v>83</v>
      </c>
      <c r="AEE17" t="s">
        <v>83</v>
      </c>
      <c r="AEF17" t="s">
        <v>83</v>
      </c>
      <c r="AEG17" t="s">
        <v>83</v>
      </c>
      <c r="AEH17" t="s">
        <v>83</v>
      </c>
      <c r="AEI17" t="s">
        <v>83</v>
      </c>
      <c r="AEJ17" t="s">
        <v>83</v>
      </c>
      <c r="AEK17" t="s">
        <v>83</v>
      </c>
      <c r="AEL17" t="s">
        <v>83</v>
      </c>
      <c r="AEM17" t="s">
        <v>83</v>
      </c>
      <c r="AEN17" t="s">
        <v>83</v>
      </c>
      <c r="AEO17" t="s">
        <v>83</v>
      </c>
      <c r="AEP17" t="s">
        <v>83</v>
      </c>
      <c r="AEQ17" t="s">
        <v>83</v>
      </c>
      <c r="AER17" t="s">
        <v>83</v>
      </c>
      <c r="AES17" t="s">
        <v>83</v>
      </c>
      <c r="AET17" t="s">
        <v>83</v>
      </c>
      <c r="AEU17" t="s">
        <v>83</v>
      </c>
      <c r="AEV17" t="s">
        <v>83</v>
      </c>
      <c r="AEW17" t="s">
        <v>83</v>
      </c>
      <c r="AEX17" t="s">
        <v>83</v>
      </c>
      <c r="AEY17" t="s">
        <v>83</v>
      </c>
      <c r="AEZ17" t="s">
        <v>83</v>
      </c>
      <c r="AFA17" t="s">
        <v>83</v>
      </c>
      <c r="AFB17" t="s">
        <v>83</v>
      </c>
      <c r="AFC17" t="s">
        <v>83</v>
      </c>
      <c r="AFD17" t="s">
        <v>83</v>
      </c>
      <c r="AFE17" t="s">
        <v>83</v>
      </c>
      <c r="AFF17" t="s">
        <v>83</v>
      </c>
      <c r="AFG17" t="s">
        <v>83</v>
      </c>
      <c r="AFH17" t="s">
        <v>83</v>
      </c>
      <c r="AFI17" t="s">
        <v>83</v>
      </c>
      <c r="AFJ17" t="s">
        <v>83</v>
      </c>
      <c r="AFK17" t="s">
        <v>83</v>
      </c>
      <c r="AFL17" t="s">
        <v>83</v>
      </c>
      <c r="AFM17" t="s">
        <v>83</v>
      </c>
      <c r="AFN17" t="s">
        <v>83</v>
      </c>
      <c r="AFO17" t="s">
        <v>83</v>
      </c>
      <c r="AFP17" t="s">
        <v>83</v>
      </c>
      <c r="AFQ17" t="s">
        <v>83</v>
      </c>
      <c r="AFR17" t="s">
        <v>83</v>
      </c>
      <c r="AFS17" t="s">
        <v>83</v>
      </c>
      <c r="AFT17" t="s">
        <v>83</v>
      </c>
      <c r="AFU17" t="s">
        <v>83</v>
      </c>
      <c r="AFV17" t="s">
        <v>83</v>
      </c>
      <c r="AFW17" t="s">
        <v>83</v>
      </c>
      <c r="AFX17" t="s">
        <v>83</v>
      </c>
      <c r="AFY17" t="s">
        <v>83</v>
      </c>
      <c r="AFZ17" t="s">
        <v>83</v>
      </c>
      <c r="AGA17" t="s">
        <v>83</v>
      </c>
      <c r="AGB17" t="s">
        <v>83</v>
      </c>
      <c r="AGC17" t="s">
        <v>83</v>
      </c>
      <c r="AGD17" t="s">
        <v>83</v>
      </c>
      <c r="AGE17" t="s">
        <v>83</v>
      </c>
      <c r="AGF17" t="s">
        <v>83</v>
      </c>
      <c r="AGG17" t="s">
        <v>83</v>
      </c>
      <c r="AGH17" t="s">
        <v>83</v>
      </c>
      <c r="AGI17" t="s">
        <v>83</v>
      </c>
      <c r="AGJ17" t="s">
        <v>83</v>
      </c>
      <c r="AGK17" t="s">
        <v>83</v>
      </c>
      <c r="AGL17" t="s">
        <v>83</v>
      </c>
      <c r="AGM17" t="s">
        <v>83</v>
      </c>
      <c r="AGN17" t="s">
        <v>83</v>
      </c>
      <c r="AGO17" t="s">
        <v>83</v>
      </c>
      <c r="AGP17" t="s">
        <v>83</v>
      </c>
      <c r="AGQ17" t="s">
        <v>83</v>
      </c>
      <c r="AGR17" t="s">
        <v>83</v>
      </c>
      <c r="AGS17" t="s">
        <v>83</v>
      </c>
      <c r="AGT17" t="s">
        <v>83</v>
      </c>
      <c r="AGU17" t="s">
        <v>83</v>
      </c>
      <c r="AGV17" t="s">
        <v>83</v>
      </c>
      <c r="AGW17" t="s">
        <v>83</v>
      </c>
      <c r="AGX17" t="s">
        <v>83</v>
      </c>
      <c r="AGY17" t="s">
        <v>83</v>
      </c>
      <c r="AGZ17" t="s">
        <v>83</v>
      </c>
      <c r="AHA17" t="s">
        <v>83</v>
      </c>
      <c r="AHB17" t="s">
        <v>83</v>
      </c>
      <c r="AHC17" t="s">
        <v>83</v>
      </c>
      <c r="AHD17" t="s">
        <v>83</v>
      </c>
      <c r="AHE17" t="s">
        <v>83</v>
      </c>
      <c r="AHF17" t="s">
        <v>83</v>
      </c>
      <c r="AHG17" t="s">
        <v>83</v>
      </c>
      <c r="AHH17" t="s">
        <v>83</v>
      </c>
      <c r="AHI17" t="s">
        <v>83</v>
      </c>
      <c r="AHJ17" t="s">
        <v>83</v>
      </c>
      <c r="AHK17" t="s">
        <v>83</v>
      </c>
      <c r="AHL17" t="s">
        <v>83</v>
      </c>
      <c r="AHM17" t="s">
        <v>83</v>
      </c>
      <c r="AHN17" t="s">
        <v>83</v>
      </c>
      <c r="AHO17" t="s">
        <v>83</v>
      </c>
      <c r="AHP17" t="s">
        <v>83</v>
      </c>
      <c r="AHQ17" t="s">
        <v>83</v>
      </c>
      <c r="AHR17" t="s">
        <v>83</v>
      </c>
      <c r="AHS17" t="s">
        <v>83</v>
      </c>
      <c r="AHT17" t="s">
        <v>83</v>
      </c>
      <c r="AHU17" t="s">
        <v>83</v>
      </c>
      <c r="AHV17" t="s">
        <v>83</v>
      </c>
      <c r="AHW17" t="s">
        <v>83</v>
      </c>
      <c r="AHX17" t="s">
        <v>83</v>
      </c>
      <c r="AHY17" t="s">
        <v>83</v>
      </c>
      <c r="AHZ17" t="s">
        <v>83</v>
      </c>
      <c r="AIA17" t="s">
        <v>83</v>
      </c>
      <c r="AIB17" t="s">
        <v>83</v>
      </c>
      <c r="AIC17" t="s">
        <v>83</v>
      </c>
      <c r="AID17" t="s">
        <v>83</v>
      </c>
      <c r="AIE17" t="s">
        <v>83</v>
      </c>
      <c r="AIF17" t="s">
        <v>83</v>
      </c>
      <c r="AIG17" t="s">
        <v>83</v>
      </c>
      <c r="AIH17" t="s">
        <v>83</v>
      </c>
      <c r="AII17" t="s">
        <v>83</v>
      </c>
      <c r="AIJ17" t="s">
        <v>83</v>
      </c>
      <c r="AIK17" t="s">
        <v>83</v>
      </c>
      <c r="AIL17" t="s">
        <v>83</v>
      </c>
      <c r="AIM17" t="s">
        <v>83</v>
      </c>
      <c r="AIN17" t="s">
        <v>83</v>
      </c>
      <c r="AIO17" t="s">
        <v>83</v>
      </c>
      <c r="AIP17" t="s">
        <v>83</v>
      </c>
      <c r="AIQ17" t="s">
        <v>83</v>
      </c>
      <c r="AIR17" t="s">
        <v>83</v>
      </c>
      <c r="AIS17" t="s">
        <v>83</v>
      </c>
      <c r="AIT17" t="s">
        <v>83</v>
      </c>
      <c r="AIU17" t="s">
        <v>83</v>
      </c>
      <c r="AIV17" t="s">
        <v>83</v>
      </c>
      <c r="AIW17" t="s">
        <v>83</v>
      </c>
      <c r="AIX17" t="s">
        <v>83</v>
      </c>
      <c r="AIY17" t="s">
        <v>83</v>
      </c>
      <c r="AIZ17" t="s">
        <v>83</v>
      </c>
      <c r="AJA17" t="s">
        <v>83</v>
      </c>
      <c r="AJB17" t="s">
        <v>83</v>
      </c>
      <c r="AJC17" t="s">
        <v>83</v>
      </c>
      <c r="AJD17" t="s">
        <v>83</v>
      </c>
      <c r="AJE17" t="s">
        <v>83</v>
      </c>
      <c r="AJF17" t="s">
        <v>83</v>
      </c>
      <c r="AJG17" t="s">
        <v>83</v>
      </c>
      <c r="AJH17" t="s">
        <v>83</v>
      </c>
      <c r="AJI17" t="s">
        <v>83</v>
      </c>
      <c r="AJJ17" t="s">
        <v>83</v>
      </c>
      <c r="AJK17" t="s">
        <v>83</v>
      </c>
      <c r="AJL17" t="s">
        <v>83</v>
      </c>
      <c r="AJM17" t="s">
        <v>83</v>
      </c>
      <c r="AJN17" t="s">
        <v>83</v>
      </c>
      <c r="AJO17" t="s">
        <v>83</v>
      </c>
      <c r="AJP17" t="s">
        <v>83</v>
      </c>
      <c r="AJQ17" t="s">
        <v>83</v>
      </c>
      <c r="AJR17" t="s">
        <v>451</v>
      </c>
      <c r="AJS17" t="s">
        <v>451</v>
      </c>
      <c r="AJT17" t="s">
        <v>451</v>
      </c>
      <c r="AJU17" t="s">
        <v>451</v>
      </c>
      <c r="AJV17" t="s">
        <v>451</v>
      </c>
      <c r="AJW17" t="s">
        <v>451</v>
      </c>
      <c r="AJX17" t="s">
        <v>451</v>
      </c>
      <c r="AJY17" t="s">
        <v>451</v>
      </c>
      <c r="AJZ17" t="s">
        <v>451</v>
      </c>
      <c r="AKA17" t="s">
        <v>61</v>
      </c>
      <c r="AKB17" t="s">
        <v>61</v>
      </c>
      <c r="AKC17" t="s">
        <v>61</v>
      </c>
      <c r="AKD17" t="s">
        <v>61</v>
      </c>
      <c r="AKE17" t="s">
        <v>61</v>
      </c>
      <c r="AKF17" t="s">
        <v>61</v>
      </c>
      <c r="AKG17" t="s">
        <v>61</v>
      </c>
      <c r="AKH17" t="s">
        <v>502</v>
      </c>
      <c r="AKI17" t="s">
        <v>502</v>
      </c>
      <c r="AKJ17" t="s">
        <v>502</v>
      </c>
      <c r="AKK17" t="s">
        <v>502</v>
      </c>
      <c r="AKL17" t="s">
        <v>502</v>
      </c>
      <c r="AKM17" t="s">
        <v>502</v>
      </c>
      <c r="AKN17" t="s">
        <v>502</v>
      </c>
      <c r="AKO17" t="s">
        <v>502</v>
      </c>
      <c r="AKP17" t="s">
        <v>502</v>
      </c>
      <c r="AKQ17" t="s">
        <v>502</v>
      </c>
      <c r="AKR17" t="s">
        <v>502</v>
      </c>
      <c r="AKS17" t="s">
        <v>502</v>
      </c>
      <c r="AKT17" t="s">
        <v>502</v>
      </c>
      <c r="AKU17" t="s">
        <v>502</v>
      </c>
      <c r="AKV17" t="s">
        <v>502</v>
      </c>
      <c r="AKW17" t="s">
        <v>502</v>
      </c>
    </row>
    <row r="18" spans="1:985" ht="14.4" customHeight="1" x14ac:dyDescent="0.55000000000000004">
      <c r="A18" t="s">
        <v>85</v>
      </c>
      <c r="B18" t="s">
        <v>521</v>
      </c>
      <c r="C18" s="1" t="s">
        <v>702</v>
      </c>
      <c r="CA18" t="s">
        <v>86</v>
      </c>
      <c r="CB18" t="s">
        <v>86</v>
      </c>
      <c r="CC18" t="s">
        <v>86</v>
      </c>
      <c r="CD18" t="s">
        <v>86</v>
      </c>
      <c r="CE18" t="s">
        <v>86</v>
      </c>
      <c r="CF18" t="s">
        <v>86</v>
      </c>
      <c r="CG18" t="s">
        <v>86</v>
      </c>
      <c r="CH18" t="s">
        <v>86</v>
      </c>
      <c r="CI18" t="s">
        <v>86</v>
      </c>
      <c r="CJ18" t="s">
        <v>86</v>
      </c>
      <c r="CK18" t="s">
        <v>86</v>
      </c>
      <c r="CL18" t="s">
        <v>86</v>
      </c>
      <c r="CM18" t="s">
        <v>86</v>
      </c>
      <c r="CN18" t="s">
        <v>86</v>
      </c>
      <c r="CO18" t="s">
        <v>86</v>
      </c>
      <c r="CP18" t="s">
        <v>86</v>
      </c>
      <c r="CQ18" t="s">
        <v>86</v>
      </c>
      <c r="CR18" t="s">
        <v>86</v>
      </c>
      <c r="CS18" t="s">
        <v>86</v>
      </c>
      <c r="CT18" t="s">
        <v>86</v>
      </c>
      <c r="CU18" t="s">
        <v>86</v>
      </c>
      <c r="CV18" t="s">
        <v>86</v>
      </c>
      <c r="CW18" t="s">
        <v>86</v>
      </c>
      <c r="CX18" t="s">
        <v>86</v>
      </c>
      <c r="CY18" t="s">
        <v>86</v>
      </c>
      <c r="CZ18" t="s">
        <v>86</v>
      </c>
      <c r="DA18" t="s">
        <v>86</v>
      </c>
      <c r="DB18" t="s">
        <v>86</v>
      </c>
      <c r="DC18" t="s">
        <v>86</v>
      </c>
      <c r="DD18" t="s">
        <v>86</v>
      </c>
      <c r="DE18" t="s">
        <v>86</v>
      </c>
      <c r="DF18" t="s">
        <v>86</v>
      </c>
      <c r="DG18" t="s">
        <v>86</v>
      </c>
      <c r="DH18" t="s">
        <v>86</v>
      </c>
      <c r="DI18" t="s">
        <v>86</v>
      </c>
      <c r="DJ18" t="s">
        <v>86</v>
      </c>
      <c r="DK18" t="s">
        <v>86</v>
      </c>
      <c r="DL18" t="s">
        <v>86</v>
      </c>
      <c r="DM18" t="s">
        <v>86</v>
      </c>
      <c r="DN18" t="s">
        <v>86</v>
      </c>
      <c r="DO18" t="s">
        <v>86</v>
      </c>
      <c r="DP18" t="s">
        <v>86</v>
      </c>
      <c r="DQ18" t="s">
        <v>86</v>
      </c>
      <c r="DR18" t="s">
        <v>86</v>
      </c>
      <c r="DS18" t="s">
        <v>86</v>
      </c>
      <c r="DT18" t="s">
        <v>86</v>
      </c>
      <c r="DU18" t="s">
        <v>86</v>
      </c>
      <c r="DV18" t="s">
        <v>86</v>
      </c>
      <c r="DW18" t="s">
        <v>86</v>
      </c>
      <c r="DX18" t="s">
        <v>86</v>
      </c>
      <c r="DY18" t="s">
        <v>86</v>
      </c>
      <c r="DZ18" t="s">
        <v>86</v>
      </c>
      <c r="EA18" t="s">
        <v>86</v>
      </c>
      <c r="EB18" t="s">
        <v>86</v>
      </c>
      <c r="EC18" t="s">
        <v>86</v>
      </c>
      <c r="ED18" t="s">
        <v>86</v>
      </c>
      <c r="EE18" t="s">
        <v>86</v>
      </c>
      <c r="EF18" t="s">
        <v>86</v>
      </c>
      <c r="EG18" t="s">
        <v>86</v>
      </c>
      <c r="EH18" t="s">
        <v>86</v>
      </c>
      <c r="EI18" t="s">
        <v>86</v>
      </c>
      <c r="EJ18" t="s">
        <v>86</v>
      </c>
      <c r="EK18" t="s">
        <v>86</v>
      </c>
      <c r="EL18" t="s">
        <v>86</v>
      </c>
      <c r="EM18" t="s">
        <v>86</v>
      </c>
      <c r="EN18" t="s">
        <v>86</v>
      </c>
      <c r="EO18" t="s">
        <v>86</v>
      </c>
      <c r="EP18" t="s">
        <v>86</v>
      </c>
      <c r="EQ18" t="s">
        <v>86</v>
      </c>
      <c r="ER18" t="s">
        <v>86</v>
      </c>
      <c r="ES18" t="s">
        <v>86</v>
      </c>
      <c r="ET18" t="s">
        <v>86</v>
      </c>
      <c r="EU18" t="s">
        <v>86</v>
      </c>
      <c r="EV18" t="s">
        <v>86</v>
      </c>
      <c r="EW18" t="s">
        <v>86</v>
      </c>
      <c r="EX18" t="s">
        <v>86</v>
      </c>
      <c r="EY18" t="s">
        <v>86</v>
      </c>
      <c r="EZ18" t="s">
        <v>86</v>
      </c>
      <c r="FA18" t="s">
        <v>86</v>
      </c>
      <c r="FB18" t="s">
        <v>86</v>
      </c>
      <c r="FC18" t="s">
        <v>86</v>
      </c>
      <c r="FD18" t="s">
        <v>86</v>
      </c>
      <c r="FE18" t="s">
        <v>86</v>
      </c>
      <c r="FF18" t="s">
        <v>86</v>
      </c>
      <c r="FG18" t="s">
        <v>86</v>
      </c>
      <c r="FH18" t="s">
        <v>86</v>
      </c>
      <c r="FI18" t="s">
        <v>86</v>
      </c>
      <c r="FJ18" t="s">
        <v>86</v>
      </c>
      <c r="FK18" t="s">
        <v>86</v>
      </c>
      <c r="FL18" t="s">
        <v>86</v>
      </c>
      <c r="FM18" t="s">
        <v>86</v>
      </c>
      <c r="FN18" t="s">
        <v>86</v>
      </c>
      <c r="FO18" t="s">
        <v>86</v>
      </c>
      <c r="FP18" t="s">
        <v>86</v>
      </c>
      <c r="FQ18" t="s">
        <v>86</v>
      </c>
      <c r="FR18" t="s">
        <v>86</v>
      </c>
      <c r="FS18" t="s">
        <v>86</v>
      </c>
      <c r="FT18" t="s">
        <v>86</v>
      </c>
      <c r="FU18" t="s">
        <v>86</v>
      </c>
      <c r="FV18" t="s">
        <v>86</v>
      </c>
      <c r="FW18" t="s">
        <v>86</v>
      </c>
      <c r="FX18" t="s">
        <v>86</v>
      </c>
      <c r="FY18" t="s">
        <v>86</v>
      </c>
      <c r="FZ18" t="s">
        <v>86</v>
      </c>
      <c r="GA18" t="s">
        <v>86</v>
      </c>
      <c r="GB18" t="s">
        <v>86</v>
      </c>
      <c r="GC18" t="s">
        <v>86</v>
      </c>
      <c r="GD18" t="s">
        <v>86</v>
      </c>
      <c r="GE18" t="s">
        <v>86</v>
      </c>
      <c r="GF18" t="s">
        <v>86</v>
      </c>
      <c r="GG18" t="s">
        <v>86</v>
      </c>
      <c r="GH18" t="s">
        <v>86</v>
      </c>
      <c r="GI18" t="s">
        <v>86</v>
      </c>
      <c r="GJ18" t="s">
        <v>86</v>
      </c>
      <c r="GK18" t="s">
        <v>86</v>
      </c>
      <c r="GL18" t="s">
        <v>86</v>
      </c>
      <c r="GM18" t="s">
        <v>86</v>
      </c>
      <c r="GN18" t="s">
        <v>86</v>
      </c>
      <c r="GO18" t="s">
        <v>86</v>
      </c>
      <c r="GP18" t="s">
        <v>86</v>
      </c>
      <c r="GQ18" t="s">
        <v>86</v>
      </c>
      <c r="GR18" t="s">
        <v>86</v>
      </c>
      <c r="GS18" t="s">
        <v>86</v>
      </c>
      <c r="GT18" t="s">
        <v>86</v>
      </c>
      <c r="GU18" t="s">
        <v>86</v>
      </c>
      <c r="GV18" t="s">
        <v>86</v>
      </c>
      <c r="GW18" t="s">
        <v>86</v>
      </c>
      <c r="GX18" t="s">
        <v>86</v>
      </c>
      <c r="GY18" t="s">
        <v>86</v>
      </c>
      <c r="GZ18" t="s">
        <v>86</v>
      </c>
      <c r="HA18" t="s">
        <v>86</v>
      </c>
      <c r="HB18" t="s">
        <v>86</v>
      </c>
      <c r="HC18" t="s">
        <v>86</v>
      </c>
      <c r="HD18" t="s">
        <v>86</v>
      </c>
      <c r="HE18" t="s">
        <v>86</v>
      </c>
      <c r="HF18" t="s">
        <v>86</v>
      </c>
      <c r="HG18" t="s">
        <v>86</v>
      </c>
      <c r="HH18" t="s">
        <v>86</v>
      </c>
      <c r="HI18" t="s">
        <v>86</v>
      </c>
      <c r="HJ18" t="s">
        <v>86</v>
      </c>
      <c r="HK18" t="s">
        <v>86</v>
      </c>
      <c r="HL18" t="s">
        <v>86</v>
      </c>
      <c r="HM18" t="s">
        <v>86</v>
      </c>
      <c r="HN18" t="s">
        <v>86</v>
      </c>
      <c r="HO18" t="s">
        <v>86</v>
      </c>
      <c r="HP18" t="s">
        <v>86</v>
      </c>
      <c r="HQ18" t="s">
        <v>86</v>
      </c>
      <c r="HR18" t="s">
        <v>86</v>
      </c>
      <c r="HS18" t="s">
        <v>86</v>
      </c>
      <c r="HT18" t="s">
        <v>86</v>
      </c>
      <c r="HU18" t="s">
        <v>86</v>
      </c>
      <c r="HV18" t="s">
        <v>86</v>
      </c>
      <c r="HW18" t="s">
        <v>86</v>
      </c>
      <c r="HX18" t="s">
        <v>86</v>
      </c>
      <c r="HY18" t="s">
        <v>86</v>
      </c>
      <c r="HZ18" t="s">
        <v>86</v>
      </c>
      <c r="IA18" t="s">
        <v>86</v>
      </c>
      <c r="IB18" t="s">
        <v>86</v>
      </c>
      <c r="IC18" t="s">
        <v>86</v>
      </c>
      <c r="ID18" t="s">
        <v>86</v>
      </c>
      <c r="IE18" t="s">
        <v>86</v>
      </c>
      <c r="IF18" t="s">
        <v>86</v>
      </c>
      <c r="IG18" t="s">
        <v>86</v>
      </c>
      <c r="IH18" t="s">
        <v>86</v>
      </c>
      <c r="II18" t="s">
        <v>86</v>
      </c>
      <c r="IJ18" t="s">
        <v>86</v>
      </c>
      <c r="IK18" t="s">
        <v>86</v>
      </c>
      <c r="IL18" t="s">
        <v>86</v>
      </c>
      <c r="IM18" t="s">
        <v>86</v>
      </c>
      <c r="IN18" t="s">
        <v>86</v>
      </c>
      <c r="IO18" t="s">
        <v>86</v>
      </c>
      <c r="IP18" t="s">
        <v>86</v>
      </c>
      <c r="IQ18" t="s">
        <v>86</v>
      </c>
      <c r="IR18" t="s">
        <v>86</v>
      </c>
      <c r="IS18" t="s">
        <v>86</v>
      </c>
      <c r="IT18" t="s">
        <v>86</v>
      </c>
      <c r="IU18" t="s">
        <v>86</v>
      </c>
      <c r="IV18" t="s">
        <v>86</v>
      </c>
      <c r="IW18" t="s">
        <v>86</v>
      </c>
      <c r="IX18" t="s">
        <v>86</v>
      </c>
      <c r="IY18" t="s">
        <v>86</v>
      </c>
      <c r="IZ18" t="s">
        <v>86</v>
      </c>
      <c r="JA18" t="s">
        <v>86</v>
      </c>
      <c r="JB18" t="s">
        <v>86</v>
      </c>
      <c r="JC18" t="s">
        <v>86</v>
      </c>
      <c r="JD18" t="s">
        <v>86</v>
      </c>
      <c r="JE18" t="s">
        <v>86</v>
      </c>
      <c r="JF18" t="s">
        <v>86</v>
      </c>
      <c r="JG18" t="s">
        <v>86</v>
      </c>
      <c r="JH18" t="s">
        <v>86</v>
      </c>
      <c r="JI18" t="s">
        <v>86</v>
      </c>
      <c r="JJ18" t="s">
        <v>86</v>
      </c>
      <c r="JK18" t="s">
        <v>86</v>
      </c>
      <c r="JL18" t="s">
        <v>86</v>
      </c>
      <c r="JM18" t="s">
        <v>86</v>
      </c>
      <c r="JN18" t="s">
        <v>86</v>
      </c>
      <c r="JO18" t="s">
        <v>86</v>
      </c>
      <c r="JP18" t="s">
        <v>86</v>
      </c>
      <c r="JQ18" t="s">
        <v>86</v>
      </c>
      <c r="JR18" t="s">
        <v>86</v>
      </c>
      <c r="JS18" t="s">
        <v>86</v>
      </c>
      <c r="JT18" t="s">
        <v>86</v>
      </c>
      <c r="JU18" t="s">
        <v>86</v>
      </c>
      <c r="JV18" t="s">
        <v>86</v>
      </c>
      <c r="JW18" t="s">
        <v>86</v>
      </c>
      <c r="JX18" t="s">
        <v>86</v>
      </c>
      <c r="JY18" t="s">
        <v>86</v>
      </c>
      <c r="JZ18" t="s">
        <v>86</v>
      </c>
      <c r="KA18" t="s">
        <v>86</v>
      </c>
      <c r="KB18" t="s">
        <v>86</v>
      </c>
      <c r="KC18" t="s">
        <v>86</v>
      </c>
      <c r="KD18" t="s">
        <v>86</v>
      </c>
      <c r="KE18" t="s">
        <v>86</v>
      </c>
      <c r="KF18" t="s">
        <v>86</v>
      </c>
      <c r="KG18" t="s">
        <v>86</v>
      </c>
      <c r="KH18" t="s">
        <v>86</v>
      </c>
      <c r="KI18" t="s">
        <v>86</v>
      </c>
      <c r="KJ18" t="s">
        <v>86</v>
      </c>
      <c r="KK18" t="s">
        <v>86</v>
      </c>
      <c r="KL18" t="s">
        <v>86</v>
      </c>
      <c r="KM18" t="s">
        <v>86</v>
      </c>
      <c r="KN18" t="s">
        <v>86</v>
      </c>
      <c r="KO18" t="s">
        <v>86</v>
      </c>
      <c r="KP18" t="s">
        <v>86</v>
      </c>
      <c r="KQ18" t="s">
        <v>86</v>
      </c>
      <c r="KR18" t="s">
        <v>86</v>
      </c>
      <c r="KS18" t="s">
        <v>86</v>
      </c>
      <c r="KT18" t="s">
        <v>86</v>
      </c>
      <c r="KU18" t="s">
        <v>86</v>
      </c>
      <c r="KV18" t="s">
        <v>86</v>
      </c>
      <c r="KW18" t="s">
        <v>86</v>
      </c>
      <c r="KX18" t="s">
        <v>86</v>
      </c>
      <c r="KY18" t="s">
        <v>86</v>
      </c>
      <c r="KZ18" t="s">
        <v>86</v>
      </c>
      <c r="LA18" t="s">
        <v>86</v>
      </c>
      <c r="LB18" t="s">
        <v>86</v>
      </c>
      <c r="LC18" t="s">
        <v>86</v>
      </c>
      <c r="LD18" t="s">
        <v>86</v>
      </c>
      <c r="LE18" t="s">
        <v>86</v>
      </c>
      <c r="LF18" t="s">
        <v>86</v>
      </c>
      <c r="LG18" t="s">
        <v>86</v>
      </c>
      <c r="LH18" t="s">
        <v>86</v>
      </c>
      <c r="LI18" t="s">
        <v>86</v>
      </c>
      <c r="LJ18" t="s">
        <v>86</v>
      </c>
      <c r="LK18" t="s">
        <v>86</v>
      </c>
      <c r="LL18" t="s">
        <v>86</v>
      </c>
      <c r="LM18" t="s">
        <v>86</v>
      </c>
      <c r="LN18" t="s">
        <v>86</v>
      </c>
      <c r="LO18" t="s">
        <v>86</v>
      </c>
      <c r="LP18" t="s">
        <v>86</v>
      </c>
      <c r="LQ18" t="s">
        <v>86</v>
      </c>
      <c r="LR18" t="s">
        <v>86</v>
      </c>
      <c r="LS18" t="s">
        <v>86</v>
      </c>
      <c r="LT18" t="s">
        <v>86</v>
      </c>
      <c r="LU18" t="s">
        <v>86</v>
      </c>
      <c r="LV18" t="s">
        <v>86</v>
      </c>
      <c r="LW18" t="s">
        <v>86</v>
      </c>
      <c r="LX18" t="s">
        <v>86</v>
      </c>
      <c r="LY18" t="s">
        <v>86</v>
      </c>
      <c r="LZ18" t="s">
        <v>86</v>
      </c>
      <c r="MA18" t="s">
        <v>86</v>
      </c>
      <c r="MB18" t="s">
        <v>86</v>
      </c>
      <c r="MC18" t="s">
        <v>86</v>
      </c>
      <c r="MD18" t="s">
        <v>86</v>
      </c>
      <c r="ME18" t="s">
        <v>86</v>
      </c>
      <c r="MF18" t="s">
        <v>86</v>
      </c>
      <c r="MG18" t="s">
        <v>86</v>
      </c>
      <c r="MH18" t="s">
        <v>86</v>
      </c>
      <c r="MI18" t="s">
        <v>86</v>
      </c>
      <c r="MJ18" t="s">
        <v>86</v>
      </c>
      <c r="MK18" t="s">
        <v>86</v>
      </c>
      <c r="ML18" t="s">
        <v>86</v>
      </c>
      <c r="MM18" t="s">
        <v>86</v>
      </c>
      <c r="MN18" t="s">
        <v>86</v>
      </c>
      <c r="MO18" t="s">
        <v>86</v>
      </c>
      <c r="MP18" t="s">
        <v>86</v>
      </c>
      <c r="MQ18" t="s">
        <v>86</v>
      </c>
      <c r="MR18" t="s">
        <v>86</v>
      </c>
      <c r="MS18" t="s">
        <v>86</v>
      </c>
      <c r="MT18" t="s">
        <v>86</v>
      </c>
      <c r="MU18" t="s">
        <v>86</v>
      </c>
      <c r="MV18" t="s">
        <v>86</v>
      </c>
      <c r="MW18" t="s">
        <v>86</v>
      </c>
      <c r="MX18" t="s">
        <v>86</v>
      </c>
      <c r="MY18" t="s">
        <v>86</v>
      </c>
      <c r="MZ18" t="s">
        <v>86</v>
      </c>
      <c r="NA18" t="s">
        <v>86</v>
      </c>
      <c r="NB18" t="s">
        <v>86</v>
      </c>
      <c r="NC18" t="s">
        <v>86</v>
      </c>
      <c r="ND18" t="s">
        <v>86</v>
      </c>
      <c r="NE18" t="s">
        <v>86</v>
      </c>
      <c r="NF18" t="s">
        <v>86</v>
      </c>
      <c r="NG18" t="s">
        <v>86</v>
      </c>
      <c r="NH18" t="s">
        <v>86</v>
      </c>
      <c r="NI18" t="s">
        <v>86</v>
      </c>
      <c r="NJ18" t="s">
        <v>86</v>
      </c>
      <c r="NK18" t="s">
        <v>86</v>
      </c>
      <c r="NL18" t="s">
        <v>86</v>
      </c>
      <c r="NM18" t="s">
        <v>86</v>
      </c>
      <c r="NN18" t="s">
        <v>86</v>
      </c>
      <c r="NO18" t="s">
        <v>86</v>
      </c>
      <c r="NP18" t="s">
        <v>86</v>
      </c>
      <c r="NQ18" t="s">
        <v>86</v>
      </c>
      <c r="NR18" t="s">
        <v>86</v>
      </c>
      <c r="NS18" t="s">
        <v>86</v>
      </c>
      <c r="NT18" t="s">
        <v>86</v>
      </c>
      <c r="NU18" t="s">
        <v>86</v>
      </c>
      <c r="NV18" t="s">
        <v>86</v>
      </c>
      <c r="NW18" t="s">
        <v>86</v>
      </c>
      <c r="NX18" t="s">
        <v>86</v>
      </c>
      <c r="NY18" t="s">
        <v>86</v>
      </c>
      <c r="NZ18" t="s">
        <v>86</v>
      </c>
      <c r="OA18" t="s">
        <v>86</v>
      </c>
      <c r="OB18" t="s">
        <v>86</v>
      </c>
      <c r="OC18" t="s">
        <v>86</v>
      </c>
      <c r="OD18" t="s">
        <v>86</v>
      </c>
      <c r="OE18" t="s">
        <v>86</v>
      </c>
      <c r="OF18" t="s">
        <v>86</v>
      </c>
      <c r="OG18" t="s">
        <v>86</v>
      </c>
      <c r="OH18" t="s">
        <v>86</v>
      </c>
      <c r="OI18" t="s">
        <v>86</v>
      </c>
      <c r="OJ18" t="s">
        <v>86</v>
      </c>
      <c r="OK18" t="s">
        <v>86</v>
      </c>
      <c r="OL18" t="s">
        <v>86</v>
      </c>
      <c r="OM18" t="s">
        <v>86</v>
      </c>
      <c r="ON18" t="s">
        <v>86</v>
      </c>
      <c r="OO18" t="s">
        <v>86</v>
      </c>
      <c r="OP18" t="s">
        <v>86</v>
      </c>
      <c r="OQ18" t="s">
        <v>86</v>
      </c>
      <c r="OR18" t="s">
        <v>86</v>
      </c>
      <c r="OS18" t="s">
        <v>86</v>
      </c>
      <c r="OT18" t="s">
        <v>86</v>
      </c>
      <c r="OU18" t="s">
        <v>86</v>
      </c>
      <c r="OV18" t="s">
        <v>86</v>
      </c>
      <c r="OW18" t="s">
        <v>86</v>
      </c>
      <c r="OX18" t="s">
        <v>86</v>
      </c>
      <c r="OY18" t="s">
        <v>86</v>
      </c>
      <c r="OZ18" t="s">
        <v>86</v>
      </c>
      <c r="PA18" t="s">
        <v>86</v>
      </c>
      <c r="PB18" t="s">
        <v>86</v>
      </c>
      <c r="PC18" t="s">
        <v>86</v>
      </c>
      <c r="PD18" t="s">
        <v>86</v>
      </c>
      <c r="PE18" t="s">
        <v>86</v>
      </c>
      <c r="PF18" t="s">
        <v>86</v>
      </c>
      <c r="PG18" t="s">
        <v>86</v>
      </c>
      <c r="PH18" t="s">
        <v>86</v>
      </c>
      <c r="PI18" t="s">
        <v>86</v>
      </c>
      <c r="PJ18" t="s">
        <v>86</v>
      </c>
      <c r="PK18" t="s">
        <v>86</v>
      </c>
      <c r="PL18" t="s">
        <v>86</v>
      </c>
      <c r="PM18" t="s">
        <v>86</v>
      </c>
      <c r="PN18" t="s">
        <v>86</v>
      </c>
      <c r="PO18" t="s">
        <v>86</v>
      </c>
      <c r="PP18" t="s">
        <v>86</v>
      </c>
      <c r="PQ18" t="s">
        <v>86</v>
      </c>
      <c r="PR18" t="s">
        <v>86</v>
      </c>
      <c r="PS18" t="s">
        <v>86</v>
      </c>
      <c r="PT18" t="s">
        <v>86</v>
      </c>
      <c r="PU18" t="s">
        <v>86</v>
      </c>
      <c r="PV18" t="s">
        <v>86</v>
      </c>
      <c r="PW18" t="s">
        <v>86</v>
      </c>
      <c r="PX18" t="s">
        <v>86</v>
      </c>
      <c r="PY18" t="s">
        <v>86</v>
      </c>
      <c r="PZ18" t="s">
        <v>86</v>
      </c>
      <c r="QA18" t="s">
        <v>86</v>
      </c>
      <c r="QB18" t="s">
        <v>86</v>
      </c>
      <c r="QC18" t="s">
        <v>86</v>
      </c>
      <c r="QD18" t="s">
        <v>86</v>
      </c>
      <c r="QE18" t="s">
        <v>86</v>
      </c>
      <c r="QF18" t="s">
        <v>86</v>
      </c>
      <c r="QG18" t="s">
        <v>86</v>
      </c>
      <c r="QH18" t="s">
        <v>86</v>
      </c>
      <c r="QI18" t="s">
        <v>86</v>
      </c>
      <c r="QJ18" t="s">
        <v>86</v>
      </c>
      <c r="QK18" t="s">
        <v>86</v>
      </c>
      <c r="QL18" t="s">
        <v>86</v>
      </c>
      <c r="QM18" t="s">
        <v>86</v>
      </c>
      <c r="QN18" t="s">
        <v>86</v>
      </c>
      <c r="QO18" t="s">
        <v>86</v>
      </c>
      <c r="QP18" t="s">
        <v>86</v>
      </c>
      <c r="QQ18" t="s">
        <v>86</v>
      </c>
      <c r="QR18" t="s">
        <v>86</v>
      </c>
      <c r="QS18" t="s">
        <v>86</v>
      </c>
      <c r="QT18" t="s">
        <v>86</v>
      </c>
      <c r="QU18" t="s">
        <v>86</v>
      </c>
      <c r="QV18" t="s">
        <v>86</v>
      </c>
      <c r="QW18" t="s">
        <v>86</v>
      </c>
      <c r="QX18" t="s">
        <v>86</v>
      </c>
      <c r="QY18" t="s">
        <v>86</v>
      </c>
      <c r="QZ18" t="s">
        <v>86</v>
      </c>
      <c r="RA18" t="s">
        <v>86</v>
      </c>
      <c r="RB18" t="s">
        <v>86</v>
      </c>
      <c r="RC18" t="s">
        <v>86</v>
      </c>
      <c r="RD18" t="s">
        <v>86</v>
      </c>
      <c r="RE18" t="s">
        <v>86</v>
      </c>
      <c r="RF18" t="s">
        <v>86</v>
      </c>
      <c r="RG18" t="s">
        <v>86</v>
      </c>
      <c r="RH18" t="s">
        <v>86</v>
      </c>
      <c r="RI18" t="s">
        <v>86</v>
      </c>
      <c r="RJ18" t="s">
        <v>86</v>
      </c>
      <c r="RK18" t="s">
        <v>86</v>
      </c>
      <c r="RL18" t="s">
        <v>86</v>
      </c>
      <c r="RM18" t="s">
        <v>86</v>
      </c>
      <c r="RN18" t="s">
        <v>86</v>
      </c>
      <c r="RO18" t="s">
        <v>86</v>
      </c>
      <c r="RP18" t="s">
        <v>86</v>
      </c>
      <c r="RQ18" t="s">
        <v>86</v>
      </c>
      <c r="RR18" t="s">
        <v>86</v>
      </c>
      <c r="RS18" t="s">
        <v>86</v>
      </c>
      <c r="RT18" t="s">
        <v>86</v>
      </c>
      <c r="RU18" t="s">
        <v>86</v>
      </c>
      <c r="RV18" t="s">
        <v>86</v>
      </c>
      <c r="RW18" t="s">
        <v>86</v>
      </c>
      <c r="RX18" t="s">
        <v>86</v>
      </c>
      <c r="RY18" t="s">
        <v>86</v>
      </c>
      <c r="RZ18" t="s">
        <v>86</v>
      </c>
      <c r="SA18" t="s">
        <v>86</v>
      </c>
      <c r="SB18" t="s">
        <v>86</v>
      </c>
      <c r="SC18" t="s">
        <v>86</v>
      </c>
      <c r="SD18" t="s">
        <v>86</v>
      </c>
      <c r="SE18" t="s">
        <v>86</v>
      </c>
      <c r="SF18" t="s">
        <v>86</v>
      </c>
      <c r="SG18" t="s">
        <v>86</v>
      </c>
      <c r="SH18" t="s">
        <v>86</v>
      </c>
      <c r="SI18" t="s">
        <v>86</v>
      </c>
      <c r="SJ18" t="s">
        <v>86</v>
      </c>
      <c r="SK18" t="s">
        <v>86</v>
      </c>
      <c r="SL18" t="s">
        <v>86</v>
      </c>
      <c r="SM18" t="s">
        <v>86</v>
      </c>
      <c r="SN18" t="s">
        <v>86</v>
      </c>
      <c r="SO18" t="s">
        <v>86</v>
      </c>
      <c r="SP18" t="s">
        <v>86</v>
      </c>
      <c r="SQ18" t="s">
        <v>86</v>
      </c>
      <c r="SR18" t="s">
        <v>86</v>
      </c>
      <c r="SS18" t="s">
        <v>86</v>
      </c>
      <c r="ST18" t="s">
        <v>86</v>
      </c>
      <c r="SU18" t="s">
        <v>86</v>
      </c>
      <c r="SV18" t="s">
        <v>86</v>
      </c>
      <c r="SW18" t="s">
        <v>86</v>
      </c>
      <c r="SX18" t="s">
        <v>86</v>
      </c>
      <c r="SY18" t="s">
        <v>86</v>
      </c>
      <c r="SZ18" t="s">
        <v>86</v>
      </c>
      <c r="TA18" t="s">
        <v>86</v>
      </c>
      <c r="TB18" t="s">
        <v>86</v>
      </c>
      <c r="TC18" t="s">
        <v>86</v>
      </c>
      <c r="TD18" t="s">
        <v>86</v>
      </c>
      <c r="TE18" t="s">
        <v>86</v>
      </c>
      <c r="TF18" t="s">
        <v>86</v>
      </c>
      <c r="TG18" t="s">
        <v>86</v>
      </c>
      <c r="TH18" t="s">
        <v>86</v>
      </c>
      <c r="TI18" t="s">
        <v>86</v>
      </c>
      <c r="TJ18" t="s">
        <v>86</v>
      </c>
      <c r="TK18" t="s">
        <v>86</v>
      </c>
      <c r="TL18" t="s">
        <v>86</v>
      </c>
      <c r="TM18" t="s">
        <v>86</v>
      </c>
      <c r="TN18" t="s">
        <v>86</v>
      </c>
      <c r="TO18" t="s">
        <v>86</v>
      </c>
      <c r="TP18" t="s">
        <v>86</v>
      </c>
      <c r="TQ18" t="s">
        <v>86</v>
      </c>
      <c r="TR18" t="s">
        <v>86</v>
      </c>
      <c r="TS18" t="s">
        <v>86</v>
      </c>
      <c r="TT18" t="s">
        <v>86</v>
      </c>
      <c r="TU18" t="s">
        <v>86</v>
      </c>
      <c r="TV18" t="s">
        <v>86</v>
      </c>
      <c r="TW18" t="s">
        <v>86</v>
      </c>
      <c r="TX18" t="s">
        <v>86</v>
      </c>
      <c r="TY18" t="s">
        <v>86</v>
      </c>
      <c r="TZ18" t="s">
        <v>86</v>
      </c>
      <c r="UA18" t="s">
        <v>86</v>
      </c>
      <c r="UB18" t="s">
        <v>86</v>
      </c>
      <c r="UC18" t="s">
        <v>86</v>
      </c>
      <c r="UD18" t="s">
        <v>86</v>
      </c>
      <c r="UE18" t="s">
        <v>86</v>
      </c>
      <c r="UF18" t="s">
        <v>86</v>
      </c>
      <c r="UG18" t="s">
        <v>86</v>
      </c>
      <c r="UH18" t="s">
        <v>86</v>
      </c>
      <c r="UI18" t="s">
        <v>86</v>
      </c>
      <c r="UJ18" t="s">
        <v>86</v>
      </c>
      <c r="UK18" t="s">
        <v>86</v>
      </c>
      <c r="UL18" t="s">
        <v>86</v>
      </c>
      <c r="UM18" t="s">
        <v>86</v>
      </c>
      <c r="UN18" t="s">
        <v>86</v>
      </c>
      <c r="UO18" t="s">
        <v>86</v>
      </c>
      <c r="UP18" t="s">
        <v>86</v>
      </c>
      <c r="UQ18" t="s">
        <v>86</v>
      </c>
      <c r="UR18" t="s">
        <v>86</v>
      </c>
      <c r="US18" t="s">
        <v>86</v>
      </c>
      <c r="UT18" t="s">
        <v>86</v>
      </c>
      <c r="UU18" t="s">
        <v>86</v>
      </c>
      <c r="UV18" t="s">
        <v>86</v>
      </c>
      <c r="UW18" t="s">
        <v>86</v>
      </c>
      <c r="UX18" t="s">
        <v>86</v>
      </c>
      <c r="UY18" t="s">
        <v>86</v>
      </c>
      <c r="UZ18" t="s">
        <v>86</v>
      </c>
      <c r="VA18" t="s">
        <v>86</v>
      </c>
      <c r="VB18" t="s">
        <v>86</v>
      </c>
      <c r="VC18" t="s">
        <v>86</v>
      </c>
      <c r="VD18" t="s">
        <v>86</v>
      </c>
      <c r="VE18" t="s">
        <v>86</v>
      </c>
      <c r="VF18" t="s">
        <v>86</v>
      </c>
      <c r="VG18" t="s">
        <v>86</v>
      </c>
      <c r="VH18" t="s">
        <v>86</v>
      </c>
      <c r="VI18" t="s">
        <v>86</v>
      </c>
      <c r="VJ18" t="s">
        <v>86</v>
      </c>
      <c r="VK18" t="s">
        <v>86</v>
      </c>
      <c r="VL18" t="s">
        <v>86</v>
      </c>
      <c r="VM18" t="s">
        <v>86</v>
      </c>
      <c r="VN18" t="s">
        <v>86</v>
      </c>
      <c r="VO18" t="s">
        <v>86</v>
      </c>
      <c r="VP18" t="s">
        <v>86</v>
      </c>
      <c r="VQ18" t="s">
        <v>86</v>
      </c>
      <c r="VR18" t="s">
        <v>86</v>
      </c>
      <c r="VS18" t="s">
        <v>86</v>
      </c>
      <c r="VT18" t="s">
        <v>86</v>
      </c>
      <c r="VU18" t="s">
        <v>86</v>
      </c>
      <c r="VV18" t="s">
        <v>86</v>
      </c>
      <c r="VW18" t="s">
        <v>86</v>
      </c>
      <c r="VX18" t="s">
        <v>86</v>
      </c>
      <c r="VY18" t="s">
        <v>86</v>
      </c>
      <c r="VZ18" t="s">
        <v>86</v>
      </c>
      <c r="WA18" t="s">
        <v>86</v>
      </c>
      <c r="WB18" t="s">
        <v>86</v>
      </c>
      <c r="WC18" t="s">
        <v>86</v>
      </c>
      <c r="WD18" t="s">
        <v>86</v>
      </c>
      <c r="WE18" t="s">
        <v>86</v>
      </c>
      <c r="WF18" t="s">
        <v>86</v>
      </c>
      <c r="WG18" t="s">
        <v>86</v>
      </c>
      <c r="WH18" t="s">
        <v>86</v>
      </c>
      <c r="WI18" t="s">
        <v>86</v>
      </c>
      <c r="WJ18" t="s">
        <v>86</v>
      </c>
      <c r="WK18" t="s">
        <v>86</v>
      </c>
      <c r="WL18" t="s">
        <v>86</v>
      </c>
      <c r="WM18" t="s">
        <v>86</v>
      </c>
      <c r="WN18" t="s">
        <v>86</v>
      </c>
      <c r="WO18" t="s">
        <v>86</v>
      </c>
      <c r="WP18" t="s">
        <v>86</v>
      </c>
      <c r="WQ18" t="s">
        <v>86</v>
      </c>
      <c r="WR18" t="s">
        <v>86</v>
      </c>
      <c r="WS18" t="s">
        <v>86</v>
      </c>
      <c r="WT18" t="s">
        <v>86</v>
      </c>
      <c r="WU18" t="s">
        <v>86</v>
      </c>
      <c r="WV18" t="s">
        <v>86</v>
      </c>
      <c r="WW18" t="s">
        <v>86</v>
      </c>
      <c r="WX18" t="s">
        <v>86</v>
      </c>
      <c r="WY18" t="s">
        <v>86</v>
      </c>
      <c r="WZ18" t="s">
        <v>86</v>
      </c>
      <c r="XA18" t="s">
        <v>86</v>
      </c>
      <c r="XB18" t="s">
        <v>86</v>
      </c>
      <c r="XC18" t="s">
        <v>86</v>
      </c>
      <c r="XD18" t="s">
        <v>86</v>
      </c>
      <c r="XE18" t="s">
        <v>86</v>
      </c>
      <c r="XF18" t="s">
        <v>86</v>
      </c>
      <c r="XG18" t="s">
        <v>86</v>
      </c>
      <c r="XH18" t="s">
        <v>86</v>
      </c>
      <c r="XI18" t="s">
        <v>86</v>
      </c>
      <c r="XJ18" t="s">
        <v>86</v>
      </c>
      <c r="XK18" t="s">
        <v>86</v>
      </c>
      <c r="XL18" t="s">
        <v>86</v>
      </c>
      <c r="XM18" t="s">
        <v>86</v>
      </c>
      <c r="XN18" t="s">
        <v>86</v>
      </c>
      <c r="XO18" t="s">
        <v>86</v>
      </c>
      <c r="XP18" t="s">
        <v>86</v>
      </c>
      <c r="XQ18" t="s">
        <v>86</v>
      </c>
      <c r="XR18" t="s">
        <v>86</v>
      </c>
      <c r="XS18" t="s">
        <v>86</v>
      </c>
      <c r="XT18" t="s">
        <v>86</v>
      </c>
      <c r="XU18" t="s">
        <v>86</v>
      </c>
      <c r="XV18" t="s">
        <v>86</v>
      </c>
      <c r="XW18" t="s">
        <v>86</v>
      </c>
      <c r="XX18" t="s">
        <v>86</v>
      </c>
      <c r="XY18" t="s">
        <v>86</v>
      </c>
      <c r="XZ18" t="s">
        <v>86</v>
      </c>
      <c r="YA18" t="s">
        <v>86</v>
      </c>
      <c r="YB18" t="s">
        <v>86</v>
      </c>
      <c r="YC18" t="s">
        <v>86</v>
      </c>
      <c r="YD18" t="s">
        <v>86</v>
      </c>
      <c r="YE18" t="s">
        <v>86</v>
      </c>
      <c r="YF18" t="s">
        <v>86</v>
      </c>
      <c r="YG18" t="s">
        <v>86</v>
      </c>
      <c r="YH18" t="s">
        <v>86</v>
      </c>
      <c r="YI18" t="s">
        <v>86</v>
      </c>
      <c r="YJ18" t="s">
        <v>86</v>
      </c>
      <c r="YK18" t="s">
        <v>86</v>
      </c>
      <c r="YL18" t="s">
        <v>86</v>
      </c>
      <c r="YM18" t="s">
        <v>86</v>
      </c>
      <c r="YN18" t="s">
        <v>86</v>
      </c>
      <c r="YO18" t="s">
        <v>86</v>
      </c>
      <c r="YP18" t="s">
        <v>86</v>
      </c>
      <c r="YQ18" t="s">
        <v>86</v>
      </c>
      <c r="YR18" t="s">
        <v>86</v>
      </c>
      <c r="YS18" t="s">
        <v>86</v>
      </c>
      <c r="YT18" t="s">
        <v>86</v>
      </c>
      <c r="YU18" t="s">
        <v>86</v>
      </c>
      <c r="YV18" t="s">
        <v>86</v>
      </c>
      <c r="YW18" t="s">
        <v>86</v>
      </c>
      <c r="YX18" t="s">
        <v>86</v>
      </c>
      <c r="YY18" t="s">
        <v>86</v>
      </c>
      <c r="YZ18" t="s">
        <v>86</v>
      </c>
      <c r="ZA18" t="s">
        <v>86</v>
      </c>
      <c r="ZB18" t="s">
        <v>86</v>
      </c>
      <c r="ZC18" t="s">
        <v>86</v>
      </c>
      <c r="ZD18" t="s">
        <v>86</v>
      </c>
      <c r="ZE18" t="s">
        <v>86</v>
      </c>
      <c r="ZF18" t="s">
        <v>86</v>
      </c>
      <c r="ZG18" t="s">
        <v>86</v>
      </c>
      <c r="ZH18" t="s">
        <v>86</v>
      </c>
      <c r="ZI18" t="s">
        <v>86</v>
      </c>
      <c r="ZJ18" t="s">
        <v>86</v>
      </c>
      <c r="ZK18" t="s">
        <v>86</v>
      </c>
      <c r="ZL18" t="s">
        <v>86</v>
      </c>
      <c r="ZM18" t="s">
        <v>86</v>
      </c>
      <c r="ZN18" t="s">
        <v>86</v>
      </c>
      <c r="ZO18" t="s">
        <v>86</v>
      </c>
      <c r="ZP18" t="s">
        <v>86</v>
      </c>
      <c r="ZQ18" t="s">
        <v>86</v>
      </c>
      <c r="ZR18" t="s">
        <v>86</v>
      </c>
      <c r="ZS18" t="s">
        <v>86</v>
      </c>
      <c r="ZT18" t="s">
        <v>86</v>
      </c>
      <c r="ZU18" t="s">
        <v>86</v>
      </c>
      <c r="ZV18" t="s">
        <v>86</v>
      </c>
      <c r="ZW18" t="s">
        <v>86</v>
      </c>
      <c r="ZX18" t="s">
        <v>86</v>
      </c>
      <c r="ZY18" t="s">
        <v>86</v>
      </c>
      <c r="ZZ18" t="s">
        <v>86</v>
      </c>
      <c r="AAA18" t="s">
        <v>86</v>
      </c>
      <c r="AAB18" t="s">
        <v>86</v>
      </c>
      <c r="AAC18" t="s">
        <v>86</v>
      </c>
      <c r="AAD18" t="s">
        <v>86</v>
      </c>
      <c r="AAE18" t="s">
        <v>86</v>
      </c>
      <c r="AAF18" t="s">
        <v>86</v>
      </c>
      <c r="AAG18" t="s">
        <v>86</v>
      </c>
      <c r="AAH18" t="s">
        <v>86</v>
      </c>
      <c r="AAI18" t="s">
        <v>86</v>
      </c>
      <c r="AAJ18" t="s">
        <v>86</v>
      </c>
      <c r="AAK18" t="s">
        <v>86</v>
      </c>
      <c r="AAL18" t="s">
        <v>86</v>
      </c>
      <c r="AAM18" t="s">
        <v>86</v>
      </c>
      <c r="AAN18" t="s">
        <v>86</v>
      </c>
      <c r="AAO18" t="s">
        <v>86</v>
      </c>
      <c r="AAP18" t="s">
        <v>86</v>
      </c>
      <c r="AAQ18" t="s">
        <v>86</v>
      </c>
      <c r="AAR18" t="s">
        <v>86</v>
      </c>
      <c r="AAS18" t="s">
        <v>86</v>
      </c>
      <c r="AAT18" t="s">
        <v>86</v>
      </c>
      <c r="AAU18" t="s">
        <v>86</v>
      </c>
      <c r="AAV18" t="s">
        <v>86</v>
      </c>
      <c r="AAW18" t="s">
        <v>86</v>
      </c>
      <c r="AAX18" t="s">
        <v>86</v>
      </c>
      <c r="AAY18" t="s">
        <v>86</v>
      </c>
      <c r="AAZ18" t="s">
        <v>86</v>
      </c>
      <c r="ABA18" t="s">
        <v>86</v>
      </c>
      <c r="ABB18" t="s">
        <v>86</v>
      </c>
      <c r="ABC18" t="s">
        <v>86</v>
      </c>
      <c r="ABD18" t="s">
        <v>86</v>
      </c>
      <c r="ABE18" t="s">
        <v>86</v>
      </c>
      <c r="ABF18" t="s">
        <v>86</v>
      </c>
      <c r="ABG18" t="s">
        <v>86</v>
      </c>
      <c r="ABH18" t="s">
        <v>86</v>
      </c>
      <c r="ABI18" t="s">
        <v>86</v>
      </c>
      <c r="ABJ18" t="s">
        <v>86</v>
      </c>
      <c r="ABK18" t="s">
        <v>86</v>
      </c>
      <c r="ABL18" t="s">
        <v>86</v>
      </c>
      <c r="ABM18" t="s">
        <v>86</v>
      </c>
      <c r="ABN18" t="s">
        <v>86</v>
      </c>
      <c r="ABO18" t="s">
        <v>86</v>
      </c>
      <c r="ABP18" t="s">
        <v>86</v>
      </c>
      <c r="ABQ18" t="s">
        <v>86</v>
      </c>
      <c r="ABR18" t="s">
        <v>86</v>
      </c>
      <c r="ABS18" t="s">
        <v>86</v>
      </c>
      <c r="ABT18" t="s">
        <v>86</v>
      </c>
      <c r="ABU18" t="s">
        <v>86</v>
      </c>
      <c r="ABV18" t="s">
        <v>86</v>
      </c>
      <c r="ABW18" t="s">
        <v>86</v>
      </c>
      <c r="ABX18" t="s">
        <v>86</v>
      </c>
      <c r="ABY18" t="s">
        <v>86</v>
      </c>
      <c r="ABZ18" t="s">
        <v>86</v>
      </c>
      <c r="ACA18" t="s">
        <v>86</v>
      </c>
      <c r="ACB18" t="s">
        <v>86</v>
      </c>
      <c r="ACC18" t="s">
        <v>86</v>
      </c>
      <c r="ACD18" t="s">
        <v>86</v>
      </c>
      <c r="ACE18" t="s">
        <v>86</v>
      </c>
      <c r="ACF18" t="s">
        <v>86</v>
      </c>
      <c r="ACG18" t="s">
        <v>86</v>
      </c>
      <c r="ACH18" t="s">
        <v>86</v>
      </c>
      <c r="ACI18" t="s">
        <v>86</v>
      </c>
      <c r="ACJ18" t="s">
        <v>86</v>
      </c>
      <c r="ACK18" t="s">
        <v>86</v>
      </c>
      <c r="ACL18" t="s">
        <v>86</v>
      </c>
      <c r="ACM18" t="s">
        <v>86</v>
      </c>
      <c r="ACN18" t="s">
        <v>86</v>
      </c>
      <c r="ACO18" t="s">
        <v>86</v>
      </c>
      <c r="ACP18" t="s">
        <v>86</v>
      </c>
      <c r="ACQ18" t="s">
        <v>86</v>
      </c>
      <c r="ACR18" t="s">
        <v>86</v>
      </c>
      <c r="ACS18" t="s">
        <v>86</v>
      </c>
      <c r="ACT18" t="s">
        <v>86</v>
      </c>
      <c r="ACU18" t="s">
        <v>86</v>
      </c>
      <c r="ACV18" t="s">
        <v>86</v>
      </c>
      <c r="ACW18" t="s">
        <v>86</v>
      </c>
      <c r="ACX18" t="s">
        <v>86</v>
      </c>
      <c r="ACY18" t="s">
        <v>86</v>
      </c>
      <c r="ACZ18" t="s">
        <v>86</v>
      </c>
      <c r="ADA18" t="s">
        <v>86</v>
      </c>
      <c r="ADB18" t="s">
        <v>86</v>
      </c>
      <c r="ADC18" t="s">
        <v>86</v>
      </c>
      <c r="ADD18" t="s">
        <v>86</v>
      </c>
      <c r="ADE18" t="s">
        <v>86</v>
      </c>
      <c r="ADF18" t="s">
        <v>86</v>
      </c>
      <c r="ADG18" t="s">
        <v>86</v>
      </c>
      <c r="ADH18" t="s">
        <v>86</v>
      </c>
      <c r="ADI18" t="s">
        <v>86</v>
      </c>
      <c r="ADJ18" t="s">
        <v>86</v>
      </c>
      <c r="ADK18" t="s">
        <v>86</v>
      </c>
      <c r="ADL18" t="s">
        <v>86</v>
      </c>
      <c r="ADM18" t="s">
        <v>86</v>
      </c>
      <c r="ADN18" t="s">
        <v>86</v>
      </c>
      <c r="ADO18" t="s">
        <v>86</v>
      </c>
      <c r="ADP18" t="s">
        <v>86</v>
      </c>
      <c r="ADQ18" t="s">
        <v>86</v>
      </c>
      <c r="ADR18" t="s">
        <v>86</v>
      </c>
      <c r="ADS18" t="s">
        <v>86</v>
      </c>
      <c r="ADT18" t="s">
        <v>86</v>
      </c>
      <c r="ADU18" t="s">
        <v>86</v>
      </c>
      <c r="ADV18" t="s">
        <v>86</v>
      </c>
      <c r="ADW18" t="s">
        <v>86</v>
      </c>
      <c r="ADX18" t="s">
        <v>86</v>
      </c>
      <c r="ADY18" t="s">
        <v>86</v>
      </c>
      <c r="ADZ18" t="s">
        <v>86</v>
      </c>
      <c r="AEA18" t="s">
        <v>86</v>
      </c>
      <c r="AEB18" t="s">
        <v>86</v>
      </c>
      <c r="AEC18" t="s">
        <v>86</v>
      </c>
      <c r="AED18" t="s">
        <v>86</v>
      </c>
      <c r="AEE18" t="s">
        <v>86</v>
      </c>
      <c r="AEF18" t="s">
        <v>86</v>
      </c>
      <c r="AEG18" t="s">
        <v>86</v>
      </c>
      <c r="AEH18" t="s">
        <v>86</v>
      </c>
      <c r="AEI18" t="s">
        <v>86</v>
      </c>
      <c r="AEJ18" t="s">
        <v>86</v>
      </c>
      <c r="AEK18" t="s">
        <v>86</v>
      </c>
      <c r="AEL18" t="s">
        <v>86</v>
      </c>
      <c r="AEM18" t="s">
        <v>86</v>
      </c>
      <c r="AEN18" t="s">
        <v>86</v>
      </c>
      <c r="AEO18" t="s">
        <v>86</v>
      </c>
      <c r="AEP18" t="s">
        <v>86</v>
      </c>
      <c r="AEQ18" t="s">
        <v>86</v>
      </c>
      <c r="AER18" t="s">
        <v>86</v>
      </c>
      <c r="AES18" t="s">
        <v>86</v>
      </c>
      <c r="AET18" t="s">
        <v>86</v>
      </c>
      <c r="AEU18" t="s">
        <v>86</v>
      </c>
      <c r="AEV18" t="s">
        <v>86</v>
      </c>
      <c r="AEW18" t="s">
        <v>86</v>
      </c>
      <c r="AEX18" t="s">
        <v>86</v>
      </c>
      <c r="AEY18" t="s">
        <v>86</v>
      </c>
      <c r="AEZ18" t="s">
        <v>86</v>
      </c>
      <c r="AFA18" t="s">
        <v>86</v>
      </c>
      <c r="AFB18" t="s">
        <v>86</v>
      </c>
      <c r="AFC18" t="s">
        <v>86</v>
      </c>
      <c r="AFD18" t="s">
        <v>86</v>
      </c>
      <c r="AFE18" t="s">
        <v>86</v>
      </c>
      <c r="AFF18" t="s">
        <v>86</v>
      </c>
      <c r="AFG18" t="s">
        <v>86</v>
      </c>
      <c r="AFH18" t="s">
        <v>86</v>
      </c>
      <c r="AFI18" t="s">
        <v>86</v>
      </c>
      <c r="AFJ18" t="s">
        <v>86</v>
      </c>
      <c r="AFK18" t="s">
        <v>86</v>
      </c>
      <c r="AFL18" t="s">
        <v>86</v>
      </c>
      <c r="AFM18" t="s">
        <v>86</v>
      </c>
      <c r="AFN18" t="s">
        <v>86</v>
      </c>
      <c r="AFO18" t="s">
        <v>86</v>
      </c>
      <c r="AFP18" t="s">
        <v>86</v>
      </c>
      <c r="AFQ18" t="s">
        <v>86</v>
      </c>
      <c r="AFR18" t="s">
        <v>86</v>
      </c>
      <c r="AFS18" t="s">
        <v>86</v>
      </c>
      <c r="AFT18" t="s">
        <v>86</v>
      </c>
      <c r="AFU18" t="s">
        <v>86</v>
      </c>
      <c r="AFV18" t="s">
        <v>86</v>
      </c>
      <c r="AFW18" t="s">
        <v>86</v>
      </c>
      <c r="AFX18" t="s">
        <v>86</v>
      </c>
      <c r="AFY18" t="s">
        <v>86</v>
      </c>
      <c r="AFZ18" t="s">
        <v>86</v>
      </c>
      <c r="AGA18" t="s">
        <v>86</v>
      </c>
      <c r="AGB18" t="s">
        <v>86</v>
      </c>
      <c r="AGC18" t="s">
        <v>86</v>
      </c>
      <c r="AGD18" t="s">
        <v>86</v>
      </c>
      <c r="AGE18" t="s">
        <v>86</v>
      </c>
      <c r="AGF18" t="s">
        <v>86</v>
      </c>
      <c r="AGG18" t="s">
        <v>86</v>
      </c>
      <c r="AGH18" t="s">
        <v>86</v>
      </c>
      <c r="AGI18" t="s">
        <v>86</v>
      </c>
      <c r="AGJ18" t="s">
        <v>86</v>
      </c>
      <c r="AGK18" t="s">
        <v>86</v>
      </c>
      <c r="AGL18" t="s">
        <v>86</v>
      </c>
      <c r="AGM18" t="s">
        <v>86</v>
      </c>
      <c r="AGN18" t="s">
        <v>86</v>
      </c>
      <c r="AGO18" t="s">
        <v>86</v>
      </c>
      <c r="AGP18" t="s">
        <v>86</v>
      </c>
      <c r="AGQ18" t="s">
        <v>86</v>
      </c>
      <c r="AGR18" t="s">
        <v>86</v>
      </c>
      <c r="AGS18" t="s">
        <v>86</v>
      </c>
      <c r="AGT18" t="s">
        <v>86</v>
      </c>
      <c r="AGU18" t="s">
        <v>86</v>
      </c>
      <c r="AGV18" t="s">
        <v>86</v>
      </c>
      <c r="AGW18" t="s">
        <v>86</v>
      </c>
      <c r="AGX18" t="s">
        <v>86</v>
      </c>
      <c r="AGY18" t="s">
        <v>86</v>
      </c>
      <c r="AGZ18" t="s">
        <v>86</v>
      </c>
      <c r="AHA18" t="s">
        <v>86</v>
      </c>
      <c r="AHB18" t="s">
        <v>86</v>
      </c>
      <c r="AHC18" t="s">
        <v>86</v>
      </c>
      <c r="AHD18" t="s">
        <v>86</v>
      </c>
      <c r="AHE18" t="s">
        <v>86</v>
      </c>
      <c r="AHF18" t="s">
        <v>86</v>
      </c>
      <c r="AHG18" t="s">
        <v>86</v>
      </c>
      <c r="AHH18" t="s">
        <v>86</v>
      </c>
      <c r="AHI18" t="s">
        <v>86</v>
      </c>
      <c r="AHJ18" t="s">
        <v>86</v>
      </c>
      <c r="AHK18" t="s">
        <v>86</v>
      </c>
      <c r="AHL18" t="s">
        <v>86</v>
      </c>
      <c r="AHM18" t="s">
        <v>86</v>
      </c>
      <c r="AHN18" t="s">
        <v>86</v>
      </c>
      <c r="AHO18" t="s">
        <v>86</v>
      </c>
      <c r="AHP18" t="s">
        <v>86</v>
      </c>
      <c r="AHQ18" t="s">
        <v>86</v>
      </c>
      <c r="AHR18" t="s">
        <v>86</v>
      </c>
      <c r="AHS18" t="s">
        <v>86</v>
      </c>
      <c r="AHT18" t="s">
        <v>86</v>
      </c>
      <c r="AHU18" t="s">
        <v>86</v>
      </c>
      <c r="AHV18" t="s">
        <v>86</v>
      </c>
      <c r="AHW18" t="s">
        <v>86</v>
      </c>
      <c r="AHX18" t="s">
        <v>86</v>
      </c>
      <c r="AHY18" t="s">
        <v>86</v>
      </c>
      <c r="AHZ18" t="s">
        <v>86</v>
      </c>
      <c r="AIA18" t="s">
        <v>86</v>
      </c>
      <c r="AIB18" t="s">
        <v>86</v>
      </c>
      <c r="AIC18" t="s">
        <v>86</v>
      </c>
      <c r="AID18" t="s">
        <v>86</v>
      </c>
      <c r="AIE18" t="s">
        <v>86</v>
      </c>
      <c r="AIF18" t="s">
        <v>86</v>
      </c>
      <c r="AIG18" t="s">
        <v>86</v>
      </c>
      <c r="AIH18" t="s">
        <v>86</v>
      </c>
      <c r="AII18" t="s">
        <v>86</v>
      </c>
      <c r="AIJ18" t="s">
        <v>86</v>
      </c>
      <c r="AIK18" t="s">
        <v>86</v>
      </c>
      <c r="AIL18" t="s">
        <v>86</v>
      </c>
      <c r="AIM18" t="s">
        <v>86</v>
      </c>
      <c r="AIN18" t="s">
        <v>86</v>
      </c>
      <c r="AIO18" t="s">
        <v>86</v>
      </c>
      <c r="AIP18" t="s">
        <v>86</v>
      </c>
      <c r="AIQ18" t="s">
        <v>86</v>
      </c>
      <c r="AIR18" t="s">
        <v>86</v>
      </c>
      <c r="AIS18" t="s">
        <v>86</v>
      </c>
      <c r="AIT18" t="s">
        <v>86</v>
      </c>
      <c r="AIU18" t="s">
        <v>86</v>
      </c>
      <c r="AIV18" t="s">
        <v>86</v>
      </c>
      <c r="AIW18" t="s">
        <v>86</v>
      </c>
      <c r="AIX18" t="s">
        <v>86</v>
      </c>
      <c r="AIY18" t="s">
        <v>86</v>
      </c>
      <c r="AIZ18" t="s">
        <v>86</v>
      </c>
      <c r="AJA18" t="s">
        <v>86</v>
      </c>
      <c r="AJB18" t="s">
        <v>86</v>
      </c>
      <c r="AJC18" t="s">
        <v>86</v>
      </c>
      <c r="AJD18" t="s">
        <v>86</v>
      </c>
      <c r="AJE18" t="s">
        <v>86</v>
      </c>
      <c r="AJF18" t="s">
        <v>86</v>
      </c>
      <c r="AJG18" t="s">
        <v>86</v>
      </c>
      <c r="AJH18" t="s">
        <v>86</v>
      </c>
      <c r="AJI18" t="s">
        <v>86</v>
      </c>
      <c r="AJJ18" t="s">
        <v>86</v>
      </c>
      <c r="AJK18" t="s">
        <v>86</v>
      </c>
      <c r="AJL18" t="s">
        <v>86</v>
      </c>
      <c r="AJM18" t="s">
        <v>86</v>
      </c>
      <c r="AJN18" t="s">
        <v>86</v>
      </c>
      <c r="AJO18" t="s">
        <v>86</v>
      </c>
      <c r="AJP18" t="s">
        <v>86</v>
      </c>
      <c r="AJQ18" t="s">
        <v>86</v>
      </c>
      <c r="AKA18" t="s">
        <v>496</v>
      </c>
      <c r="AKB18" t="s">
        <v>496</v>
      </c>
      <c r="AKC18" t="s">
        <v>496</v>
      </c>
      <c r="AKD18" t="s">
        <v>496</v>
      </c>
      <c r="AKE18" t="s">
        <v>496</v>
      </c>
      <c r="AKF18" t="s">
        <v>496</v>
      </c>
      <c r="AKG18" t="s">
        <v>496</v>
      </c>
    </row>
    <row r="19" spans="1:985" ht="14.4" customHeight="1" x14ac:dyDescent="0.55000000000000004">
      <c r="A19" t="s">
        <v>703</v>
      </c>
      <c r="B19" t="s">
        <v>521</v>
      </c>
      <c r="C19" s="1" t="s">
        <v>704</v>
      </c>
      <c r="CA19" t="s">
        <v>410</v>
      </c>
      <c r="CB19" t="s">
        <v>87</v>
      </c>
      <c r="CC19" t="s">
        <v>87</v>
      </c>
      <c r="CD19" t="s">
        <v>87</v>
      </c>
      <c r="CE19" t="s">
        <v>87</v>
      </c>
      <c r="CF19" t="s">
        <v>87</v>
      </c>
      <c r="CG19" t="s">
        <v>87</v>
      </c>
      <c r="CH19" t="s">
        <v>87</v>
      </c>
      <c r="CI19" t="s">
        <v>87</v>
      </c>
      <c r="CJ19" t="s">
        <v>87</v>
      </c>
      <c r="CK19" t="s">
        <v>87</v>
      </c>
      <c r="CL19" t="s">
        <v>87</v>
      </c>
      <c r="CM19" t="s">
        <v>87</v>
      </c>
      <c r="CN19" t="s">
        <v>87</v>
      </c>
      <c r="CO19" t="s">
        <v>87</v>
      </c>
      <c r="CP19" t="s">
        <v>87</v>
      </c>
      <c r="CQ19" t="s">
        <v>87</v>
      </c>
      <c r="CR19" t="s">
        <v>87</v>
      </c>
      <c r="CS19" t="s">
        <v>87</v>
      </c>
      <c r="CT19" t="s">
        <v>87</v>
      </c>
      <c r="CU19" t="s">
        <v>87</v>
      </c>
      <c r="CV19" t="s">
        <v>87</v>
      </c>
      <c r="CW19" t="s">
        <v>87</v>
      </c>
      <c r="CX19" t="s">
        <v>87</v>
      </c>
      <c r="CY19" t="s">
        <v>87</v>
      </c>
      <c r="CZ19" t="s">
        <v>87</v>
      </c>
      <c r="DA19" t="s">
        <v>87</v>
      </c>
      <c r="DB19" t="s">
        <v>87</v>
      </c>
      <c r="DC19" t="s">
        <v>87</v>
      </c>
      <c r="DD19" t="s">
        <v>87</v>
      </c>
      <c r="DE19" t="s">
        <v>87</v>
      </c>
      <c r="DF19" t="s">
        <v>87</v>
      </c>
      <c r="DG19" t="s">
        <v>87</v>
      </c>
      <c r="DH19" t="s">
        <v>87</v>
      </c>
      <c r="DI19" t="s">
        <v>87</v>
      </c>
      <c r="DJ19" t="s">
        <v>87</v>
      </c>
      <c r="DK19" t="s">
        <v>87</v>
      </c>
      <c r="DL19" t="s">
        <v>87</v>
      </c>
      <c r="DM19" t="s">
        <v>87</v>
      </c>
      <c r="DN19" t="s">
        <v>87</v>
      </c>
      <c r="DO19" t="s">
        <v>87</v>
      </c>
      <c r="DP19" t="s">
        <v>87</v>
      </c>
      <c r="DQ19" t="s">
        <v>87</v>
      </c>
      <c r="DR19" t="s">
        <v>87</v>
      </c>
      <c r="DS19" t="s">
        <v>87</v>
      </c>
      <c r="DT19" t="s">
        <v>87</v>
      </c>
      <c r="DU19" t="s">
        <v>87</v>
      </c>
      <c r="DV19" t="s">
        <v>87</v>
      </c>
      <c r="DW19" t="s">
        <v>87</v>
      </c>
      <c r="DX19" t="s">
        <v>87</v>
      </c>
      <c r="DY19" t="s">
        <v>87</v>
      </c>
      <c r="DZ19" t="s">
        <v>87</v>
      </c>
      <c r="EA19" t="s">
        <v>87</v>
      </c>
      <c r="EB19" t="s">
        <v>87</v>
      </c>
      <c r="EC19" t="s">
        <v>87</v>
      </c>
      <c r="ED19" t="s">
        <v>87</v>
      </c>
      <c r="EE19" t="s">
        <v>87</v>
      </c>
      <c r="EF19" t="s">
        <v>87</v>
      </c>
      <c r="EG19" t="s">
        <v>87</v>
      </c>
      <c r="EH19" t="s">
        <v>87</v>
      </c>
      <c r="EI19" t="s">
        <v>87</v>
      </c>
      <c r="EJ19" t="s">
        <v>87</v>
      </c>
      <c r="EK19" t="s">
        <v>87</v>
      </c>
      <c r="EL19" t="s">
        <v>87</v>
      </c>
      <c r="EM19" t="s">
        <v>87</v>
      </c>
      <c r="EN19" t="s">
        <v>87</v>
      </c>
      <c r="EO19" t="s">
        <v>87</v>
      </c>
      <c r="EP19" t="s">
        <v>87</v>
      </c>
      <c r="EQ19" t="s">
        <v>87</v>
      </c>
      <c r="ER19" t="s">
        <v>87</v>
      </c>
      <c r="ES19" t="s">
        <v>87</v>
      </c>
      <c r="ET19" t="s">
        <v>87</v>
      </c>
      <c r="EU19" t="s">
        <v>87</v>
      </c>
      <c r="EV19" t="s">
        <v>87</v>
      </c>
      <c r="EW19" t="s">
        <v>87</v>
      </c>
      <c r="EX19" t="s">
        <v>87</v>
      </c>
      <c r="EY19" t="s">
        <v>87</v>
      </c>
      <c r="EZ19" t="s">
        <v>87</v>
      </c>
      <c r="FA19" t="s">
        <v>87</v>
      </c>
      <c r="FB19" t="s">
        <v>87</v>
      </c>
      <c r="FC19" t="s">
        <v>87</v>
      </c>
      <c r="FD19" t="s">
        <v>87</v>
      </c>
      <c r="FE19" t="s">
        <v>87</v>
      </c>
      <c r="FF19" t="s">
        <v>87</v>
      </c>
      <c r="FG19" t="s">
        <v>87</v>
      </c>
      <c r="FH19" t="s">
        <v>87</v>
      </c>
      <c r="FI19" t="s">
        <v>87</v>
      </c>
      <c r="FJ19" t="s">
        <v>87</v>
      </c>
      <c r="FK19" t="s">
        <v>87</v>
      </c>
      <c r="FL19" t="s">
        <v>87</v>
      </c>
      <c r="FM19" t="s">
        <v>87</v>
      </c>
      <c r="FN19" t="s">
        <v>87</v>
      </c>
      <c r="FO19" t="s">
        <v>87</v>
      </c>
      <c r="FP19" t="s">
        <v>87</v>
      </c>
      <c r="FQ19" t="s">
        <v>87</v>
      </c>
      <c r="FR19" t="s">
        <v>87</v>
      </c>
      <c r="FS19" t="s">
        <v>87</v>
      </c>
      <c r="FT19" t="s">
        <v>87</v>
      </c>
      <c r="FU19" t="s">
        <v>87</v>
      </c>
      <c r="FV19" t="s">
        <v>87</v>
      </c>
      <c r="FW19" t="s">
        <v>87</v>
      </c>
      <c r="FX19" t="s">
        <v>87</v>
      </c>
      <c r="FY19" t="s">
        <v>87</v>
      </c>
      <c r="FZ19" t="s">
        <v>87</v>
      </c>
      <c r="GA19" t="s">
        <v>87</v>
      </c>
      <c r="GB19" t="s">
        <v>87</v>
      </c>
      <c r="GC19" t="s">
        <v>87</v>
      </c>
      <c r="GD19" t="s">
        <v>87</v>
      </c>
      <c r="GE19" t="s">
        <v>87</v>
      </c>
      <c r="GF19" t="s">
        <v>87</v>
      </c>
      <c r="GG19" t="s">
        <v>87</v>
      </c>
      <c r="GH19" t="s">
        <v>87</v>
      </c>
      <c r="GI19" t="s">
        <v>87</v>
      </c>
      <c r="GJ19" t="s">
        <v>87</v>
      </c>
      <c r="GK19" t="s">
        <v>87</v>
      </c>
      <c r="GL19" t="s">
        <v>87</v>
      </c>
      <c r="GM19" t="s">
        <v>87</v>
      </c>
      <c r="GN19" t="s">
        <v>87</v>
      </c>
      <c r="GO19" t="s">
        <v>87</v>
      </c>
      <c r="GP19" t="s">
        <v>87</v>
      </c>
      <c r="GQ19" t="s">
        <v>87</v>
      </c>
      <c r="GR19" t="s">
        <v>87</v>
      </c>
      <c r="GS19" t="s">
        <v>87</v>
      </c>
      <c r="GT19" t="s">
        <v>87</v>
      </c>
      <c r="GU19" t="s">
        <v>87</v>
      </c>
      <c r="GV19" t="s">
        <v>87</v>
      </c>
      <c r="GW19" t="s">
        <v>87</v>
      </c>
      <c r="GX19" t="s">
        <v>87</v>
      </c>
      <c r="GY19" t="s">
        <v>87</v>
      </c>
      <c r="GZ19" t="s">
        <v>87</v>
      </c>
      <c r="HA19" t="s">
        <v>87</v>
      </c>
      <c r="HB19" t="s">
        <v>87</v>
      </c>
      <c r="HC19" t="s">
        <v>87</v>
      </c>
      <c r="HD19" t="s">
        <v>87</v>
      </c>
      <c r="HE19" t="s">
        <v>87</v>
      </c>
      <c r="HF19" t="s">
        <v>87</v>
      </c>
      <c r="HG19" t="s">
        <v>87</v>
      </c>
      <c r="HH19" t="s">
        <v>87</v>
      </c>
      <c r="HI19" t="s">
        <v>87</v>
      </c>
      <c r="HJ19" t="s">
        <v>87</v>
      </c>
      <c r="HK19" t="s">
        <v>87</v>
      </c>
      <c r="HL19" t="s">
        <v>87</v>
      </c>
      <c r="HM19" t="s">
        <v>87</v>
      </c>
      <c r="HN19" t="s">
        <v>87</v>
      </c>
      <c r="HO19" t="s">
        <v>87</v>
      </c>
      <c r="HP19" t="s">
        <v>87</v>
      </c>
      <c r="HQ19" t="s">
        <v>87</v>
      </c>
      <c r="HR19" t="s">
        <v>87</v>
      </c>
      <c r="HS19" t="s">
        <v>87</v>
      </c>
      <c r="HT19" t="s">
        <v>87</v>
      </c>
      <c r="HU19" t="s">
        <v>87</v>
      </c>
      <c r="HV19" t="s">
        <v>87</v>
      </c>
      <c r="HW19" t="s">
        <v>87</v>
      </c>
      <c r="HX19" t="s">
        <v>87</v>
      </c>
      <c r="HY19" t="s">
        <v>87</v>
      </c>
      <c r="HZ19" t="s">
        <v>87</v>
      </c>
      <c r="IA19" t="s">
        <v>87</v>
      </c>
      <c r="IB19" t="s">
        <v>87</v>
      </c>
      <c r="IC19" t="s">
        <v>87</v>
      </c>
      <c r="ID19" t="s">
        <v>87</v>
      </c>
      <c r="IE19" t="s">
        <v>87</v>
      </c>
      <c r="IF19" t="s">
        <v>87</v>
      </c>
      <c r="IG19" t="s">
        <v>87</v>
      </c>
      <c r="IH19" t="s">
        <v>87</v>
      </c>
      <c r="II19" t="s">
        <v>87</v>
      </c>
      <c r="IJ19" t="s">
        <v>87</v>
      </c>
      <c r="IK19" t="s">
        <v>87</v>
      </c>
      <c r="IL19" t="s">
        <v>87</v>
      </c>
      <c r="IM19" t="s">
        <v>87</v>
      </c>
      <c r="IN19" t="s">
        <v>87</v>
      </c>
      <c r="IO19" t="s">
        <v>87</v>
      </c>
      <c r="IP19" t="s">
        <v>87</v>
      </c>
      <c r="IQ19" t="s">
        <v>87</v>
      </c>
      <c r="IR19" t="s">
        <v>87</v>
      </c>
      <c r="IS19" t="s">
        <v>87</v>
      </c>
      <c r="IT19" t="s">
        <v>87</v>
      </c>
      <c r="IU19" t="s">
        <v>87</v>
      </c>
      <c r="IV19" t="s">
        <v>87</v>
      </c>
      <c r="IW19" t="s">
        <v>87</v>
      </c>
      <c r="IX19" t="s">
        <v>87</v>
      </c>
      <c r="IY19" t="s">
        <v>87</v>
      </c>
      <c r="IZ19" t="s">
        <v>87</v>
      </c>
      <c r="JA19" t="s">
        <v>87</v>
      </c>
      <c r="JB19" t="s">
        <v>87</v>
      </c>
      <c r="JC19" t="s">
        <v>87</v>
      </c>
      <c r="JD19" t="s">
        <v>87</v>
      </c>
      <c r="JE19" t="s">
        <v>87</v>
      </c>
      <c r="JF19" t="s">
        <v>87</v>
      </c>
      <c r="JG19" t="s">
        <v>87</v>
      </c>
      <c r="JH19" t="s">
        <v>87</v>
      </c>
      <c r="JI19" t="s">
        <v>87</v>
      </c>
      <c r="JJ19" t="s">
        <v>87</v>
      </c>
      <c r="JK19" t="s">
        <v>87</v>
      </c>
      <c r="JL19" t="s">
        <v>87</v>
      </c>
      <c r="JM19" t="s">
        <v>87</v>
      </c>
      <c r="JN19" t="s">
        <v>87</v>
      </c>
      <c r="JO19" t="s">
        <v>87</v>
      </c>
      <c r="JP19" t="s">
        <v>87</v>
      </c>
      <c r="JQ19" t="s">
        <v>87</v>
      </c>
      <c r="JR19" t="s">
        <v>87</v>
      </c>
      <c r="JS19" t="s">
        <v>87</v>
      </c>
      <c r="JT19" t="s">
        <v>87</v>
      </c>
      <c r="JU19" t="s">
        <v>87</v>
      </c>
      <c r="JV19" t="s">
        <v>87</v>
      </c>
      <c r="JW19" t="s">
        <v>87</v>
      </c>
      <c r="JX19" t="s">
        <v>87</v>
      </c>
      <c r="JY19" t="s">
        <v>87</v>
      </c>
      <c r="JZ19" t="s">
        <v>87</v>
      </c>
      <c r="KA19" t="s">
        <v>87</v>
      </c>
      <c r="KB19" t="s">
        <v>87</v>
      </c>
      <c r="KC19" t="s">
        <v>87</v>
      </c>
      <c r="KD19" t="s">
        <v>87</v>
      </c>
      <c r="KE19" t="s">
        <v>87</v>
      </c>
      <c r="KF19" t="s">
        <v>87</v>
      </c>
      <c r="KG19" t="s">
        <v>87</v>
      </c>
      <c r="KH19" t="s">
        <v>87</v>
      </c>
      <c r="KI19" t="s">
        <v>87</v>
      </c>
      <c r="KJ19" t="s">
        <v>87</v>
      </c>
      <c r="KK19" t="s">
        <v>87</v>
      </c>
      <c r="KL19" t="s">
        <v>87</v>
      </c>
      <c r="KM19" t="s">
        <v>87</v>
      </c>
      <c r="KN19" t="s">
        <v>87</v>
      </c>
      <c r="KO19" t="s">
        <v>87</v>
      </c>
      <c r="KP19" t="s">
        <v>87</v>
      </c>
      <c r="KQ19" t="s">
        <v>87</v>
      </c>
      <c r="KR19" t="s">
        <v>87</v>
      </c>
      <c r="KS19" t="s">
        <v>87</v>
      </c>
      <c r="KT19" t="s">
        <v>87</v>
      </c>
      <c r="KU19" t="s">
        <v>87</v>
      </c>
      <c r="KV19" t="s">
        <v>87</v>
      </c>
      <c r="KW19" t="s">
        <v>87</v>
      </c>
      <c r="KX19" t="s">
        <v>87</v>
      </c>
      <c r="KY19" t="s">
        <v>87</v>
      </c>
      <c r="KZ19" t="s">
        <v>87</v>
      </c>
      <c r="LA19" t="s">
        <v>87</v>
      </c>
      <c r="LB19" t="s">
        <v>87</v>
      </c>
      <c r="LC19" t="s">
        <v>87</v>
      </c>
      <c r="LD19" t="s">
        <v>87</v>
      </c>
      <c r="LE19" t="s">
        <v>87</v>
      </c>
      <c r="LF19" t="s">
        <v>87</v>
      </c>
      <c r="LG19" t="s">
        <v>87</v>
      </c>
      <c r="LH19" t="s">
        <v>87</v>
      </c>
      <c r="LI19" t="s">
        <v>87</v>
      </c>
      <c r="LJ19" t="s">
        <v>87</v>
      </c>
      <c r="LK19" t="s">
        <v>87</v>
      </c>
      <c r="LL19" t="s">
        <v>87</v>
      </c>
      <c r="LM19" t="s">
        <v>87</v>
      </c>
      <c r="LN19" t="s">
        <v>87</v>
      </c>
      <c r="LO19" t="s">
        <v>87</v>
      </c>
      <c r="LP19" t="s">
        <v>87</v>
      </c>
      <c r="LQ19" t="s">
        <v>87</v>
      </c>
      <c r="LR19" t="s">
        <v>87</v>
      </c>
      <c r="LS19" t="s">
        <v>87</v>
      </c>
      <c r="LT19" t="s">
        <v>87</v>
      </c>
      <c r="LU19" t="s">
        <v>87</v>
      </c>
      <c r="LV19" t="s">
        <v>87</v>
      </c>
      <c r="LW19" t="s">
        <v>87</v>
      </c>
      <c r="LX19" t="s">
        <v>87</v>
      </c>
      <c r="LY19" t="s">
        <v>87</v>
      </c>
      <c r="LZ19" t="s">
        <v>87</v>
      </c>
      <c r="MA19" t="s">
        <v>87</v>
      </c>
      <c r="MB19" t="s">
        <v>87</v>
      </c>
      <c r="MC19" t="s">
        <v>87</v>
      </c>
      <c r="MD19" t="s">
        <v>87</v>
      </c>
      <c r="ME19" t="s">
        <v>87</v>
      </c>
      <c r="MF19" t="s">
        <v>87</v>
      </c>
      <c r="MG19" t="s">
        <v>87</v>
      </c>
      <c r="MH19" t="s">
        <v>87</v>
      </c>
      <c r="MI19" t="s">
        <v>87</v>
      </c>
      <c r="MJ19" t="s">
        <v>87</v>
      </c>
      <c r="MK19" t="s">
        <v>87</v>
      </c>
      <c r="ML19" t="s">
        <v>87</v>
      </c>
      <c r="MM19" t="s">
        <v>87</v>
      </c>
      <c r="MN19" t="s">
        <v>87</v>
      </c>
      <c r="MO19" t="s">
        <v>87</v>
      </c>
      <c r="MP19" t="s">
        <v>87</v>
      </c>
      <c r="MQ19" t="s">
        <v>87</v>
      </c>
      <c r="MR19" t="s">
        <v>87</v>
      </c>
      <c r="MS19" t="s">
        <v>87</v>
      </c>
      <c r="MT19" t="s">
        <v>87</v>
      </c>
      <c r="MU19" t="s">
        <v>87</v>
      </c>
      <c r="MV19" t="s">
        <v>87</v>
      </c>
      <c r="MW19" t="s">
        <v>87</v>
      </c>
      <c r="MX19" t="s">
        <v>87</v>
      </c>
      <c r="MY19" t="s">
        <v>87</v>
      </c>
      <c r="MZ19" t="s">
        <v>87</v>
      </c>
      <c r="NA19" t="s">
        <v>87</v>
      </c>
      <c r="NB19" t="s">
        <v>87</v>
      </c>
      <c r="NC19" t="s">
        <v>87</v>
      </c>
      <c r="ND19" t="s">
        <v>87</v>
      </c>
      <c r="NE19" t="s">
        <v>87</v>
      </c>
      <c r="NF19" t="s">
        <v>87</v>
      </c>
      <c r="NG19" t="s">
        <v>87</v>
      </c>
      <c r="NH19" t="s">
        <v>87</v>
      </c>
      <c r="NI19" t="s">
        <v>87</v>
      </c>
      <c r="NJ19" t="s">
        <v>87</v>
      </c>
      <c r="NK19" t="s">
        <v>87</v>
      </c>
      <c r="NL19" t="s">
        <v>87</v>
      </c>
      <c r="NM19" t="s">
        <v>87</v>
      </c>
      <c r="NN19" t="s">
        <v>87</v>
      </c>
      <c r="NO19" t="s">
        <v>87</v>
      </c>
      <c r="NP19" t="s">
        <v>87</v>
      </c>
      <c r="NQ19" t="s">
        <v>87</v>
      </c>
      <c r="NR19" t="s">
        <v>87</v>
      </c>
      <c r="NS19" t="s">
        <v>87</v>
      </c>
      <c r="NT19" t="s">
        <v>87</v>
      </c>
      <c r="NU19" t="s">
        <v>87</v>
      </c>
      <c r="NV19" t="s">
        <v>87</v>
      </c>
      <c r="NW19" t="s">
        <v>87</v>
      </c>
      <c r="NX19" t="s">
        <v>87</v>
      </c>
      <c r="NY19" t="s">
        <v>87</v>
      </c>
      <c r="NZ19" t="s">
        <v>87</v>
      </c>
      <c r="OA19" t="s">
        <v>87</v>
      </c>
      <c r="OB19" t="s">
        <v>87</v>
      </c>
      <c r="OC19" t="s">
        <v>87</v>
      </c>
      <c r="OD19" t="s">
        <v>87</v>
      </c>
      <c r="OE19" t="s">
        <v>87</v>
      </c>
      <c r="OF19" t="s">
        <v>87</v>
      </c>
      <c r="OG19" t="s">
        <v>87</v>
      </c>
      <c r="OH19" t="s">
        <v>87</v>
      </c>
      <c r="OI19" t="s">
        <v>87</v>
      </c>
      <c r="OJ19" t="s">
        <v>87</v>
      </c>
      <c r="OK19" t="s">
        <v>87</v>
      </c>
      <c r="OL19" t="s">
        <v>87</v>
      </c>
      <c r="OM19" t="s">
        <v>87</v>
      </c>
      <c r="ON19" t="s">
        <v>87</v>
      </c>
      <c r="OO19" t="s">
        <v>87</v>
      </c>
      <c r="OP19" t="s">
        <v>87</v>
      </c>
      <c r="OQ19" t="s">
        <v>87</v>
      </c>
      <c r="OR19" t="s">
        <v>87</v>
      </c>
      <c r="OS19" t="s">
        <v>87</v>
      </c>
      <c r="OT19" t="s">
        <v>87</v>
      </c>
      <c r="OU19" t="s">
        <v>87</v>
      </c>
      <c r="OV19" t="s">
        <v>87</v>
      </c>
      <c r="OW19" t="s">
        <v>87</v>
      </c>
      <c r="OX19" t="s">
        <v>87</v>
      </c>
      <c r="OY19" t="s">
        <v>87</v>
      </c>
      <c r="OZ19" t="s">
        <v>87</v>
      </c>
      <c r="PA19" t="s">
        <v>87</v>
      </c>
      <c r="PB19" t="s">
        <v>87</v>
      </c>
      <c r="PC19" t="s">
        <v>87</v>
      </c>
      <c r="PD19" t="s">
        <v>87</v>
      </c>
      <c r="PE19" t="s">
        <v>87</v>
      </c>
      <c r="PF19" t="s">
        <v>87</v>
      </c>
      <c r="PG19" t="s">
        <v>87</v>
      </c>
      <c r="PH19" t="s">
        <v>87</v>
      </c>
      <c r="PI19" t="s">
        <v>87</v>
      </c>
      <c r="PJ19" t="s">
        <v>87</v>
      </c>
      <c r="PK19" t="s">
        <v>87</v>
      </c>
      <c r="PL19" t="s">
        <v>87</v>
      </c>
      <c r="PM19" t="s">
        <v>87</v>
      </c>
      <c r="PN19" t="s">
        <v>87</v>
      </c>
      <c r="PO19" t="s">
        <v>87</v>
      </c>
      <c r="PP19" t="s">
        <v>87</v>
      </c>
      <c r="PQ19" t="s">
        <v>87</v>
      </c>
      <c r="PR19" t="s">
        <v>87</v>
      </c>
      <c r="PS19" t="s">
        <v>87</v>
      </c>
      <c r="PT19" t="s">
        <v>87</v>
      </c>
      <c r="PU19" t="s">
        <v>87</v>
      </c>
      <c r="PV19" t="s">
        <v>87</v>
      </c>
      <c r="PW19" t="s">
        <v>87</v>
      </c>
      <c r="PX19" t="s">
        <v>87</v>
      </c>
      <c r="PY19" t="s">
        <v>87</v>
      </c>
      <c r="PZ19" t="s">
        <v>87</v>
      </c>
      <c r="QA19" t="s">
        <v>87</v>
      </c>
      <c r="QB19" t="s">
        <v>87</v>
      </c>
      <c r="QC19" t="s">
        <v>87</v>
      </c>
      <c r="QD19" t="s">
        <v>87</v>
      </c>
      <c r="QE19" t="s">
        <v>87</v>
      </c>
      <c r="QF19" t="s">
        <v>87</v>
      </c>
      <c r="QG19" t="s">
        <v>87</v>
      </c>
      <c r="QH19" t="s">
        <v>87</v>
      </c>
      <c r="QI19" t="s">
        <v>87</v>
      </c>
      <c r="QJ19" t="s">
        <v>87</v>
      </c>
      <c r="QK19" t="s">
        <v>87</v>
      </c>
      <c r="QL19" t="s">
        <v>87</v>
      </c>
      <c r="QM19" t="s">
        <v>87</v>
      </c>
      <c r="QN19" t="s">
        <v>87</v>
      </c>
      <c r="QO19" t="s">
        <v>87</v>
      </c>
      <c r="QP19" t="s">
        <v>87</v>
      </c>
      <c r="QQ19" t="s">
        <v>87</v>
      </c>
      <c r="QR19" t="s">
        <v>87</v>
      </c>
      <c r="QS19" t="s">
        <v>87</v>
      </c>
      <c r="QT19" t="s">
        <v>87</v>
      </c>
      <c r="QU19" t="s">
        <v>87</v>
      </c>
      <c r="QV19" t="s">
        <v>87</v>
      </c>
      <c r="QW19" t="s">
        <v>87</v>
      </c>
      <c r="QX19" t="s">
        <v>87</v>
      </c>
      <c r="QY19" t="s">
        <v>87</v>
      </c>
      <c r="QZ19" t="s">
        <v>87</v>
      </c>
      <c r="RA19" t="s">
        <v>87</v>
      </c>
      <c r="RB19" t="s">
        <v>87</v>
      </c>
      <c r="RC19" t="s">
        <v>87</v>
      </c>
      <c r="RD19" t="s">
        <v>87</v>
      </c>
      <c r="RE19" t="s">
        <v>87</v>
      </c>
      <c r="RF19" t="s">
        <v>87</v>
      </c>
      <c r="RG19" t="s">
        <v>87</v>
      </c>
      <c r="RH19" t="s">
        <v>87</v>
      </c>
      <c r="RI19" t="s">
        <v>87</v>
      </c>
      <c r="RJ19" t="s">
        <v>87</v>
      </c>
      <c r="RK19" t="s">
        <v>87</v>
      </c>
      <c r="RL19" t="s">
        <v>87</v>
      </c>
      <c r="RM19" t="s">
        <v>87</v>
      </c>
      <c r="RN19" t="s">
        <v>87</v>
      </c>
      <c r="RO19" t="s">
        <v>87</v>
      </c>
      <c r="RP19" t="s">
        <v>87</v>
      </c>
      <c r="RQ19" t="s">
        <v>87</v>
      </c>
      <c r="RR19" t="s">
        <v>87</v>
      </c>
      <c r="RS19" t="s">
        <v>87</v>
      </c>
      <c r="RT19" t="s">
        <v>87</v>
      </c>
      <c r="RU19" t="s">
        <v>87</v>
      </c>
      <c r="RV19" t="s">
        <v>87</v>
      </c>
      <c r="RW19" t="s">
        <v>87</v>
      </c>
      <c r="RX19" t="s">
        <v>87</v>
      </c>
      <c r="RY19" t="s">
        <v>87</v>
      </c>
      <c r="RZ19" t="s">
        <v>87</v>
      </c>
      <c r="SA19" t="s">
        <v>87</v>
      </c>
      <c r="SB19" t="s">
        <v>87</v>
      </c>
      <c r="SC19" t="s">
        <v>87</v>
      </c>
      <c r="SD19" t="s">
        <v>87</v>
      </c>
      <c r="SE19" t="s">
        <v>87</v>
      </c>
      <c r="SF19" t="s">
        <v>87</v>
      </c>
      <c r="SG19" t="s">
        <v>87</v>
      </c>
      <c r="SH19" t="s">
        <v>87</v>
      </c>
      <c r="SI19" t="s">
        <v>87</v>
      </c>
      <c r="SJ19" t="s">
        <v>87</v>
      </c>
      <c r="SK19" t="s">
        <v>87</v>
      </c>
      <c r="SL19" t="s">
        <v>87</v>
      </c>
      <c r="SM19" t="s">
        <v>87</v>
      </c>
      <c r="SN19" t="s">
        <v>87</v>
      </c>
      <c r="SO19" t="s">
        <v>87</v>
      </c>
      <c r="SP19" t="s">
        <v>87</v>
      </c>
      <c r="SQ19" t="s">
        <v>87</v>
      </c>
      <c r="SR19" t="s">
        <v>87</v>
      </c>
      <c r="SS19" t="s">
        <v>87</v>
      </c>
      <c r="ST19" t="s">
        <v>87</v>
      </c>
      <c r="SU19" t="s">
        <v>87</v>
      </c>
      <c r="SV19" t="s">
        <v>87</v>
      </c>
      <c r="SW19" t="s">
        <v>87</v>
      </c>
      <c r="SX19" t="s">
        <v>87</v>
      </c>
      <c r="SY19" t="s">
        <v>87</v>
      </c>
      <c r="SZ19" t="s">
        <v>87</v>
      </c>
      <c r="TA19" t="s">
        <v>87</v>
      </c>
      <c r="TB19" t="s">
        <v>87</v>
      </c>
      <c r="TC19" t="s">
        <v>87</v>
      </c>
      <c r="TD19" t="s">
        <v>87</v>
      </c>
      <c r="TE19" t="s">
        <v>87</v>
      </c>
      <c r="TF19" t="s">
        <v>87</v>
      </c>
      <c r="TG19" t="s">
        <v>87</v>
      </c>
      <c r="TH19" t="s">
        <v>87</v>
      </c>
      <c r="TI19" t="s">
        <v>87</v>
      </c>
      <c r="TJ19" t="s">
        <v>87</v>
      </c>
      <c r="TK19" t="s">
        <v>87</v>
      </c>
      <c r="TL19" t="s">
        <v>87</v>
      </c>
      <c r="TM19" t="s">
        <v>87</v>
      </c>
      <c r="TN19" t="s">
        <v>87</v>
      </c>
      <c r="TO19" t="s">
        <v>87</v>
      </c>
      <c r="TP19" t="s">
        <v>87</v>
      </c>
      <c r="TQ19" t="s">
        <v>87</v>
      </c>
      <c r="TR19" t="s">
        <v>87</v>
      </c>
      <c r="TS19" t="s">
        <v>87</v>
      </c>
      <c r="TT19" t="s">
        <v>87</v>
      </c>
      <c r="TU19" t="s">
        <v>87</v>
      </c>
      <c r="TV19" t="s">
        <v>87</v>
      </c>
      <c r="TW19" t="s">
        <v>87</v>
      </c>
      <c r="TX19" t="s">
        <v>87</v>
      </c>
      <c r="TY19" t="s">
        <v>87</v>
      </c>
      <c r="TZ19" t="s">
        <v>87</v>
      </c>
      <c r="UA19" t="s">
        <v>87</v>
      </c>
      <c r="UB19" t="s">
        <v>87</v>
      </c>
      <c r="UC19" t="s">
        <v>87</v>
      </c>
      <c r="UD19" t="s">
        <v>87</v>
      </c>
      <c r="UE19" t="s">
        <v>87</v>
      </c>
      <c r="UF19" t="s">
        <v>87</v>
      </c>
      <c r="UG19" t="s">
        <v>87</v>
      </c>
      <c r="UH19" t="s">
        <v>87</v>
      </c>
      <c r="UI19" t="s">
        <v>87</v>
      </c>
      <c r="UJ19" t="s">
        <v>87</v>
      </c>
      <c r="UK19" t="s">
        <v>87</v>
      </c>
      <c r="UL19" t="s">
        <v>87</v>
      </c>
      <c r="UM19" t="s">
        <v>87</v>
      </c>
      <c r="UN19" t="s">
        <v>87</v>
      </c>
      <c r="UO19" t="s">
        <v>87</v>
      </c>
      <c r="UP19" t="s">
        <v>87</v>
      </c>
      <c r="UQ19" t="s">
        <v>87</v>
      </c>
      <c r="UR19" t="s">
        <v>87</v>
      </c>
      <c r="US19" t="s">
        <v>87</v>
      </c>
      <c r="UT19" t="s">
        <v>87</v>
      </c>
      <c r="UU19" t="s">
        <v>87</v>
      </c>
      <c r="UV19" t="s">
        <v>87</v>
      </c>
      <c r="UW19" t="s">
        <v>87</v>
      </c>
      <c r="UX19" t="s">
        <v>87</v>
      </c>
      <c r="UY19" t="s">
        <v>87</v>
      </c>
      <c r="UZ19" t="s">
        <v>87</v>
      </c>
      <c r="VA19" t="s">
        <v>87</v>
      </c>
      <c r="VB19" t="s">
        <v>87</v>
      </c>
      <c r="VC19" t="s">
        <v>87</v>
      </c>
      <c r="VD19" t="s">
        <v>87</v>
      </c>
      <c r="VE19" t="s">
        <v>87</v>
      </c>
      <c r="VF19" t="s">
        <v>87</v>
      </c>
      <c r="VG19" t="s">
        <v>87</v>
      </c>
      <c r="VH19" t="s">
        <v>87</v>
      </c>
      <c r="VI19" t="s">
        <v>87</v>
      </c>
      <c r="VJ19" t="s">
        <v>87</v>
      </c>
      <c r="VK19" t="s">
        <v>87</v>
      </c>
      <c r="VL19" t="s">
        <v>87</v>
      </c>
      <c r="VM19" t="s">
        <v>87</v>
      </c>
      <c r="VN19" t="s">
        <v>87</v>
      </c>
      <c r="VO19" t="s">
        <v>87</v>
      </c>
      <c r="VP19" t="s">
        <v>87</v>
      </c>
      <c r="VQ19" t="s">
        <v>87</v>
      </c>
      <c r="VR19" t="s">
        <v>87</v>
      </c>
      <c r="VS19" t="s">
        <v>87</v>
      </c>
      <c r="VT19" t="s">
        <v>87</v>
      </c>
      <c r="VU19" t="s">
        <v>87</v>
      </c>
      <c r="VV19" t="s">
        <v>87</v>
      </c>
      <c r="VW19" t="s">
        <v>87</v>
      </c>
      <c r="VX19" t="s">
        <v>87</v>
      </c>
      <c r="VY19" t="s">
        <v>87</v>
      </c>
      <c r="VZ19" t="s">
        <v>87</v>
      </c>
      <c r="WA19" t="s">
        <v>87</v>
      </c>
      <c r="WB19" t="s">
        <v>87</v>
      </c>
      <c r="WC19" t="s">
        <v>87</v>
      </c>
      <c r="WD19" t="s">
        <v>87</v>
      </c>
      <c r="WE19" t="s">
        <v>87</v>
      </c>
      <c r="WF19" t="s">
        <v>87</v>
      </c>
      <c r="WG19" t="s">
        <v>87</v>
      </c>
      <c r="WH19" t="s">
        <v>87</v>
      </c>
      <c r="WI19" t="s">
        <v>87</v>
      </c>
      <c r="WJ19" t="s">
        <v>87</v>
      </c>
      <c r="WK19" t="s">
        <v>87</v>
      </c>
      <c r="WL19" t="s">
        <v>87</v>
      </c>
      <c r="WM19" t="s">
        <v>87</v>
      </c>
      <c r="WN19" t="s">
        <v>87</v>
      </c>
      <c r="WO19" t="s">
        <v>87</v>
      </c>
      <c r="WP19" t="s">
        <v>87</v>
      </c>
      <c r="WQ19" t="s">
        <v>87</v>
      </c>
      <c r="WR19" t="s">
        <v>87</v>
      </c>
      <c r="WS19" t="s">
        <v>87</v>
      </c>
      <c r="WT19" t="s">
        <v>87</v>
      </c>
      <c r="WU19" t="s">
        <v>87</v>
      </c>
      <c r="WV19" t="s">
        <v>87</v>
      </c>
      <c r="WW19" t="s">
        <v>87</v>
      </c>
      <c r="WX19" t="s">
        <v>87</v>
      </c>
      <c r="WY19" t="s">
        <v>87</v>
      </c>
      <c r="WZ19" t="s">
        <v>87</v>
      </c>
      <c r="XA19" t="s">
        <v>87</v>
      </c>
      <c r="XB19" t="s">
        <v>87</v>
      </c>
      <c r="XC19" t="s">
        <v>87</v>
      </c>
      <c r="XD19" t="s">
        <v>87</v>
      </c>
      <c r="XE19" t="s">
        <v>87</v>
      </c>
      <c r="XF19" t="s">
        <v>87</v>
      </c>
      <c r="XG19" t="s">
        <v>87</v>
      </c>
      <c r="XH19" t="s">
        <v>87</v>
      </c>
      <c r="XI19" t="s">
        <v>87</v>
      </c>
      <c r="XJ19" t="s">
        <v>87</v>
      </c>
      <c r="XK19" t="s">
        <v>87</v>
      </c>
      <c r="XL19" t="s">
        <v>87</v>
      </c>
      <c r="XM19" t="s">
        <v>87</v>
      </c>
      <c r="XN19" t="s">
        <v>87</v>
      </c>
      <c r="XO19" t="s">
        <v>87</v>
      </c>
      <c r="XP19" t="s">
        <v>87</v>
      </c>
      <c r="XQ19" t="s">
        <v>87</v>
      </c>
      <c r="XR19" t="s">
        <v>87</v>
      </c>
      <c r="XS19" t="s">
        <v>87</v>
      </c>
      <c r="XT19" t="s">
        <v>87</v>
      </c>
      <c r="XU19" t="s">
        <v>87</v>
      </c>
      <c r="XV19" t="s">
        <v>87</v>
      </c>
      <c r="XW19" t="s">
        <v>87</v>
      </c>
      <c r="XX19" t="s">
        <v>87</v>
      </c>
      <c r="XY19" t="s">
        <v>87</v>
      </c>
      <c r="XZ19" t="s">
        <v>87</v>
      </c>
      <c r="YA19" t="s">
        <v>87</v>
      </c>
      <c r="YB19" t="s">
        <v>87</v>
      </c>
      <c r="YC19" t="s">
        <v>87</v>
      </c>
      <c r="YD19" t="s">
        <v>87</v>
      </c>
      <c r="YE19" t="s">
        <v>87</v>
      </c>
      <c r="YF19" t="s">
        <v>87</v>
      </c>
      <c r="YG19" t="s">
        <v>87</v>
      </c>
      <c r="YH19" t="s">
        <v>87</v>
      </c>
      <c r="YI19" t="s">
        <v>87</v>
      </c>
      <c r="YJ19" t="s">
        <v>87</v>
      </c>
      <c r="YK19" t="s">
        <v>87</v>
      </c>
      <c r="YL19" t="s">
        <v>87</v>
      </c>
      <c r="YM19" t="s">
        <v>87</v>
      </c>
      <c r="YN19" t="s">
        <v>87</v>
      </c>
      <c r="YO19" t="s">
        <v>87</v>
      </c>
      <c r="YP19" t="s">
        <v>87</v>
      </c>
      <c r="YQ19" t="s">
        <v>87</v>
      </c>
      <c r="YR19" t="s">
        <v>87</v>
      </c>
      <c r="YS19" t="s">
        <v>87</v>
      </c>
      <c r="YT19" t="s">
        <v>87</v>
      </c>
      <c r="YU19" t="s">
        <v>87</v>
      </c>
      <c r="YV19" t="s">
        <v>87</v>
      </c>
      <c r="YW19" t="s">
        <v>87</v>
      </c>
      <c r="YX19" t="s">
        <v>87</v>
      </c>
      <c r="YY19" t="s">
        <v>87</v>
      </c>
      <c r="YZ19" t="s">
        <v>87</v>
      </c>
      <c r="ZA19" t="s">
        <v>87</v>
      </c>
      <c r="ZB19" t="s">
        <v>87</v>
      </c>
      <c r="ZC19" t="s">
        <v>87</v>
      </c>
      <c r="ZD19" t="s">
        <v>87</v>
      </c>
      <c r="ZE19" t="s">
        <v>87</v>
      </c>
      <c r="ZF19" t="s">
        <v>87</v>
      </c>
      <c r="ZG19" t="s">
        <v>87</v>
      </c>
      <c r="ZH19" t="s">
        <v>87</v>
      </c>
      <c r="ZI19" t="s">
        <v>87</v>
      </c>
      <c r="ZJ19" t="s">
        <v>87</v>
      </c>
      <c r="ZK19" t="s">
        <v>87</v>
      </c>
      <c r="ZL19" t="s">
        <v>87</v>
      </c>
      <c r="ZM19" t="s">
        <v>87</v>
      </c>
      <c r="ZN19" t="s">
        <v>87</v>
      </c>
      <c r="ZO19" t="s">
        <v>87</v>
      </c>
      <c r="ZP19" t="s">
        <v>87</v>
      </c>
      <c r="ZQ19" t="s">
        <v>87</v>
      </c>
      <c r="ZR19" t="s">
        <v>87</v>
      </c>
      <c r="ZS19" t="s">
        <v>87</v>
      </c>
      <c r="ZT19" t="s">
        <v>87</v>
      </c>
      <c r="ZU19" t="s">
        <v>87</v>
      </c>
      <c r="ZV19" t="s">
        <v>87</v>
      </c>
      <c r="ZW19" t="s">
        <v>87</v>
      </c>
      <c r="ZX19" t="s">
        <v>87</v>
      </c>
      <c r="ZY19" t="s">
        <v>87</v>
      </c>
      <c r="ZZ19" t="s">
        <v>87</v>
      </c>
      <c r="AAA19" t="s">
        <v>87</v>
      </c>
      <c r="AAB19" t="s">
        <v>87</v>
      </c>
      <c r="AAC19" t="s">
        <v>87</v>
      </c>
      <c r="AAD19" t="s">
        <v>87</v>
      </c>
      <c r="AAE19" t="s">
        <v>87</v>
      </c>
      <c r="AAF19" t="s">
        <v>87</v>
      </c>
      <c r="AAG19" t="s">
        <v>87</v>
      </c>
      <c r="AAH19" t="s">
        <v>87</v>
      </c>
      <c r="AAI19" t="s">
        <v>87</v>
      </c>
      <c r="AAJ19" t="s">
        <v>87</v>
      </c>
      <c r="AAK19" t="s">
        <v>87</v>
      </c>
      <c r="AAL19" t="s">
        <v>87</v>
      </c>
      <c r="AAM19" t="s">
        <v>87</v>
      </c>
      <c r="AAN19" t="s">
        <v>87</v>
      </c>
      <c r="AAO19" t="s">
        <v>87</v>
      </c>
      <c r="AAP19" t="s">
        <v>87</v>
      </c>
      <c r="AAQ19" t="s">
        <v>87</v>
      </c>
      <c r="AAR19" t="s">
        <v>87</v>
      </c>
      <c r="AAS19" t="s">
        <v>87</v>
      </c>
      <c r="AAT19" t="s">
        <v>87</v>
      </c>
      <c r="AAU19" t="s">
        <v>87</v>
      </c>
      <c r="AAV19" t="s">
        <v>87</v>
      </c>
      <c r="AAW19" t="s">
        <v>87</v>
      </c>
      <c r="AAX19" t="s">
        <v>87</v>
      </c>
      <c r="AAY19" t="s">
        <v>87</v>
      </c>
      <c r="AAZ19" t="s">
        <v>87</v>
      </c>
      <c r="ABA19" t="s">
        <v>87</v>
      </c>
      <c r="ABB19" t="s">
        <v>87</v>
      </c>
      <c r="ABC19" t="s">
        <v>87</v>
      </c>
      <c r="ABD19" t="s">
        <v>87</v>
      </c>
      <c r="ABE19" t="s">
        <v>87</v>
      </c>
      <c r="ABF19" t="s">
        <v>87</v>
      </c>
      <c r="ABG19" t="s">
        <v>87</v>
      </c>
      <c r="ABH19" t="s">
        <v>87</v>
      </c>
      <c r="ABI19" t="s">
        <v>87</v>
      </c>
      <c r="ABJ19" t="s">
        <v>87</v>
      </c>
      <c r="ABK19" t="s">
        <v>87</v>
      </c>
      <c r="ABL19" t="s">
        <v>87</v>
      </c>
      <c r="ABM19" t="s">
        <v>87</v>
      </c>
      <c r="ABN19" t="s">
        <v>87</v>
      </c>
      <c r="ABO19" t="s">
        <v>87</v>
      </c>
      <c r="ABP19" t="s">
        <v>87</v>
      </c>
      <c r="ABQ19" t="s">
        <v>87</v>
      </c>
      <c r="ABR19" t="s">
        <v>87</v>
      </c>
      <c r="ABS19" t="s">
        <v>87</v>
      </c>
      <c r="ABT19" t="s">
        <v>87</v>
      </c>
      <c r="ABU19" t="s">
        <v>87</v>
      </c>
      <c r="ABV19" t="s">
        <v>87</v>
      </c>
      <c r="ABW19" t="s">
        <v>87</v>
      </c>
      <c r="ABX19" t="s">
        <v>87</v>
      </c>
      <c r="ABY19" t="s">
        <v>87</v>
      </c>
      <c r="ABZ19" t="s">
        <v>87</v>
      </c>
      <c r="ACA19" t="s">
        <v>87</v>
      </c>
      <c r="ACB19" t="s">
        <v>87</v>
      </c>
      <c r="ACC19" t="s">
        <v>87</v>
      </c>
      <c r="ACD19" t="s">
        <v>87</v>
      </c>
      <c r="ACE19" t="s">
        <v>87</v>
      </c>
      <c r="ACF19" t="s">
        <v>87</v>
      </c>
      <c r="ACG19" t="s">
        <v>87</v>
      </c>
      <c r="ACH19" t="s">
        <v>87</v>
      </c>
      <c r="ACI19" t="s">
        <v>87</v>
      </c>
      <c r="ACJ19" t="s">
        <v>87</v>
      </c>
      <c r="ACK19" t="s">
        <v>87</v>
      </c>
      <c r="ACL19" t="s">
        <v>87</v>
      </c>
      <c r="ACM19" t="s">
        <v>87</v>
      </c>
      <c r="ACN19" t="s">
        <v>87</v>
      </c>
      <c r="ACO19" t="s">
        <v>87</v>
      </c>
      <c r="ACP19" t="s">
        <v>87</v>
      </c>
      <c r="ACQ19" t="s">
        <v>87</v>
      </c>
      <c r="ACR19" t="s">
        <v>87</v>
      </c>
      <c r="ACS19" t="s">
        <v>87</v>
      </c>
      <c r="ACT19" t="s">
        <v>87</v>
      </c>
      <c r="ACU19" t="s">
        <v>87</v>
      </c>
      <c r="ACV19" t="s">
        <v>87</v>
      </c>
      <c r="ACW19" t="s">
        <v>87</v>
      </c>
      <c r="ACX19" t="s">
        <v>87</v>
      </c>
      <c r="ACY19" t="s">
        <v>87</v>
      </c>
      <c r="ACZ19" t="s">
        <v>87</v>
      </c>
      <c r="ADA19" t="s">
        <v>87</v>
      </c>
      <c r="ADB19" t="s">
        <v>87</v>
      </c>
      <c r="ADC19" t="s">
        <v>87</v>
      </c>
      <c r="ADD19" t="s">
        <v>87</v>
      </c>
      <c r="ADE19" t="s">
        <v>87</v>
      </c>
      <c r="ADF19" t="s">
        <v>87</v>
      </c>
      <c r="ADG19" t="s">
        <v>87</v>
      </c>
      <c r="ADH19" t="s">
        <v>87</v>
      </c>
      <c r="ADI19" t="s">
        <v>87</v>
      </c>
      <c r="ADJ19" t="s">
        <v>87</v>
      </c>
      <c r="ADK19" t="s">
        <v>87</v>
      </c>
      <c r="ADL19" t="s">
        <v>87</v>
      </c>
      <c r="ADM19" t="s">
        <v>87</v>
      </c>
      <c r="ADN19" t="s">
        <v>87</v>
      </c>
      <c r="ADO19" t="s">
        <v>87</v>
      </c>
      <c r="ADP19" t="s">
        <v>87</v>
      </c>
      <c r="ADQ19" t="s">
        <v>87</v>
      </c>
      <c r="ADR19" t="s">
        <v>87</v>
      </c>
      <c r="ADS19" t="s">
        <v>87</v>
      </c>
      <c r="ADT19" t="s">
        <v>87</v>
      </c>
      <c r="ADU19" t="s">
        <v>87</v>
      </c>
      <c r="ADV19" t="s">
        <v>87</v>
      </c>
      <c r="ADW19" t="s">
        <v>87</v>
      </c>
      <c r="ADX19" t="s">
        <v>87</v>
      </c>
      <c r="ADY19" t="s">
        <v>87</v>
      </c>
      <c r="ADZ19" t="s">
        <v>87</v>
      </c>
      <c r="AEA19" t="s">
        <v>87</v>
      </c>
      <c r="AEB19" t="s">
        <v>87</v>
      </c>
      <c r="AEC19" t="s">
        <v>87</v>
      </c>
      <c r="AED19" t="s">
        <v>87</v>
      </c>
      <c r="AEE19" t="s">
        <v>87</v>
      </c>
      <c r="AEF19" t="s">
        <v>87</v>
      </c>
      <c r="AEG19" t="s">
        <v>87</v>
      </c>
      <c r="AEH19" t="s">
        <v>87</v>
      </c>
      <c r="AEI19" t="s">
        <v>87</v>
      </c>
      <c r="AEJ19" t="s">
        <v>87</v>
      </c>
      <c r="AEK19" t="s">
        <v>87</v>
      </c>
      <c r="AEL19" t="s">
        <v>87</v>
      </c>
      <c r="AEM19" t="s">
        <v>87</v>
      </c>
      <c r="AEN19" t="s">
        <v>87</v>
      </c>
      <c r="AEO19" t="s">
        <v>87</v>
      </c>
      <c r="AEP19" t="s">
        <v>87</v>
      </c>
      <c r="AEQ19" t="s">
        <v>87</v>
      </c>
      <c r="AER19" t="s">
        <v>87</v>
      </c>
      <c r="AES19" t="s">
        <v>87</v>
      </c>
      <c r="AET19" t="s">
        <v>87</v>
      </c>
      <c r="AEU19" t="s">
        <v>87</v>
      </c>
      <c r="AEV19" t="s">
        <v>87</v>
      </c>
      <c r="AEW19" t="s">
        <v>87</v>
      </c>
      <c r="AEX19" t="s">
        <v>87</v>
      </c>
      <c r="AEY19" t="s">
        <v>87</v>
      </c>
      <c r="AEZ19" t="s">
        <v>87</v>
      </c>
      <c r="AFA19" t="s">
        <v>87</v>
      </c>
      <c r="AFB19" t="s">
        <v>87</v>
      </c>
      <c r="AFC19" t="s">
        <v>87</v>
      </c>
      <c r="AFD19" t="s">
        <v>87</v>
      </c>
      <c r="AFE19" t="s">
        <v>87</v>
      </c>
      <c r="AFF19" t="s">
        <v>87</v>
      </c>
      <c r="AFG19" t="s">
        <v>87</v>
      </c>
      <c r="AFH19" t="s">
        <v>87</v>
      </c>
      <c r="AFI19" t="s">
        <v>87</v>
      </c>
      <c r="AFJ19" t="s">
        <v>87</v>
      </c>
      <c r="AFK19" t="s">
        <v>87</v>
      </c>
      <c r="AFL19" t="s">
        <v>87</v>
      </c>
      <c r="AFM19" t="s">
        <v>87</v>
      </c>
      <c r="AFN19" t="s">
        <v>87</v>
      </c>
      <c r="AFO19" t="s">
        <v>87</v>
      </c>
      <c r="AFP19" t="s">
        <v>87</v>
      </c>
      <c r="AFQ19" t="s">
        <v>87</v>
      </c>
      <c r="AFR19" t="s">
        <v>87</v>
      </c>
      <c r="AFS19" t="s">
        <v>87</v>
      </c>
      <c r="AFT19" t="s">
        <v>87</v>
      </c>
      <c r="AFU19" t="s">
        <v>87</v>
      </c>
      <c r="AFV19" t="s">
        <v>87</v>
      </c>
      <c r="AFW19" t="s">
        <v>87</v>
      </c>
      <c r="AFX19" t="s">
        <v>87</v>
      </c>
      <c r="AFY19" t="s">
        <v>87</v>
      </c>
      <c r="AFZ19" t="s">
        <v>87</v>
      </c>
      <c r="AGA19" t="s">
        <v>87</v>
      </c>
      <c r="AGB19" t="s">
        <v>87</v>
      </c>
      <c r="AGC19" t="s">
        <v>87</v>
      </c>
      <c r="AGD19" t="s">
        <v>87</v>
      </c>
      <c r="AGE19" t="s">
        <v>87</v>
      </c>
      <c r="AGF19" t="s">
        <v>87</v>
      </c>
      <c r="AGG19" t="s">
        <v>87</v>
      </c>
      <c r="AGH19" t="s">
        <v>87</v>
      </c>
      <c r="AGI19" t="s">
        <v>87</v>
      </c>
      <c r="AGJ19" t="s">
        <v>87</v>
      </c>
      <c r="AGK19" t="s">
        <v>87</v>
      </c>
      <c r="AGL19" t="s">
        <v>87</v>
      </c>
      <c r="AGM19" t="s">
        <v>87</v>
      </c>
      <c r="AGN19" t="s">
        <v>87</v>
      </c>
      <c r="AGO19" t="s">
        <v>87</v>
      </c>
      <c r="AGP19" t="s">
        <v>87</v>
      </c>
      <c r="AGQ19" t="s">
        <v>87</v>
      </c>
      <c r="AGR19" t="s">
        <v>87</v>
      </c>
      <c r="AGS19" t="s">
        <v>87</v>
      </c>
      <c r="AGT19" t="s">
        <v>87</v>
      </c>
      <c r="AGU19" t="s">
        <v>87</v>
      </c>
      <c r="AGV19" t="s">
        <v>87</v>
      </c>
      <c r="AGW19" t="s">
        <v>87</v>
      </c>
      <c r="AGX19" t="s">
        <v>87</v>
      </c>
      <c r="AGY19" t="s">
        <v>87</v>
      </c>
      <c r="AGZ19" t="s">
        <v>87</v>
      </c>
      <c r="AHA19" t="s">
        <v>87</v>
      </c>
      <c r="AHB19" t="s">
        <v>87</v>
      </c>
      <c r="AHC19" t="s">
        <v>87</v>
      </c>
      <c r="AHD19" t="s">
        <v>87</v>
      </c>
      <c r="AHE19" t="s">
        <v>87</v>
      </c>
      <c r="AHF19" t="s">
        <v>87</v>
      </c>
      <c r="AHG19" t="s">
        <v>87</v>
      </c>
      <c r="AHH19" t="s">
        <v>87</v>
      </c>
      <c r="AHI19" t="s">
        <v>87</v>
      </c>
      <c r="AHJ19" t="s">
        <v>87</v>
      </c>
      <c r="AHK19" t="s">
        <v>87</v>
      </c>
      <c r="AHL19" t="s">
        <v>87</v>
      </c>
      <c r="AHM19" t="s">
        <v>87</v>
      </c>
      <c r="AHN19" t="s">
        <v>87</v>
      </c>
      <c r="AHO19" t="s">
        <v>87</v>
      </c>
      <c r="AHP19" t="s">
        <v>87</v>
      </c>
      <c r="AHQ19" t="s">
        <v>87</v>
      </c>
      <c r="AHR19" t="s">
        <v>87</v>
      </c>
      <c r="AHS19" t="s">
        <v>87</v>
      </c>
      <c r="AHT19" t="s">
        <v>87</v>
      </c>
      <c r="AHU19" t="s">
        <v>87</v>
      </c>
      <c r="AHV19" t="s">
        <v>87</v>
      </c>
      <c r="AHW19" t="s">
        <v>87</v>
      </c>
      <c r="AHX19" t="s">
        <v>87</v>
      </c>
      <c r="AHY19" t="s">
        <v>87</v>
      </c>
      <c r="AHZ19" t="s">
        <v>87</v>
      </c>
      <c r="AIA19" t="s">
        <v>87</v>
      </c>
      <c r="AIB19" t="s">
        <v>87</v>
      </c>
      <c r="AIC19" t="s">
        <v>87</v>
      </c>
      <c r="AID19" t="s">
        <v>87</v>
      </c>
      <c r="AIE19" t="s">
        <v>87</v>
      </c>
      <c r="AIF19" t="s">
        <v>87</v>
      </c>
      <c r="AIG19" t="s">
        <v>87</v>
      </c>
      <c r="AIH19" t="s">
        <v>87</v>
      </c>
      <c r="AII19" t="s">
        <v>87</v>
      </c>
      <c r="AIJ19" t="s">
        <v>87</v>
      </c>
      <c r="AIK19" t="s">
        <v>87</v>
      </c>
      <c r="AIL19" t="s">
        <v>87</v>
      </c>
      <c r="AIM19" t="s">
        <v>87</v>
      </c>
      <c r="AIN19" t="s">
        <v>87</v>
      </c>
      <c r="AIO19" t="s">
        <v>87</v>
      </c>
      <c r="AIP19" t="s">
        <v>87</v>
      </c>
      <c r="AIQ19" t="s">
        <v>87</v>
      </c>
      <c r="AIR19" t="s">
        <v>87</v>
      </c>
      <c r="AIS19" t="s">
        <v>87</v>
      </c>
      <c r="AIT19" t="s">
        <v>87</v>
      </c>
      <c r="AIU19" t="s">
        <v>87</v>
      </c>
      <c r="AIV19" t="s">
        <v>87</v>
      </c>
      <c r="AIW19" t="s">
        <v>87</v>
      </c>
      <c r="AIX19" t="s">
        <v>87</v>
      </c>
      <c r="AIY19" t="s">
        <v>87</v>
      </c>
      <c r="AIZ19" t="s">
        <v>87</v>
      </c>
      <c r="AJA19" t="s">
        <v>87</v>
      </c>
      <c r="AJB19" t="s">
        <v>87</v>
      </c>
      <c r="AJC19" t="s">
        <v>87</v>
      </c>
      <c r="AJD19" t="s">
        <v>87</v>
      </c>
      <c r="AJE19" t="s">
        <v>87</v>
      </c>
      <c r="AJF19" t="s">
        <v>87</v>
      </c>
      <c r="AJG19" t="s">
        <v>87</v>
      </c>
      <c r="AJH19" t="s">
        <v>87</v>
      </c>
      <c r="AJI19" t="s">
        <v>87</v>
      </c>
      <c r="AJJ19" t="s">
        <v>87</v>
      </c>
      <c r="AJK19" t="s">
        <v>87</v>
      </c>
      <c r="AJL19" t="s">
        <v>87</v>
      </c>
      <c r="AJM19" t="s">
        <v>87</v>
      </c>
      <c r="AJN19" t="s">
        <v>87</v>
      </c>
      <c r="AJO19" t="s">
        <v>87</v>
      </c>
      <c r="AJP19" t="s">
        <v>87</v>
      </c>
      <c r="AJQ19" t="s">
        <v>87</v>
      </c>
    </row>
    <row r="20" spans="1:985" ht="14.4" customHeight="1" x14ac:dyDescent="0.55000000000000004">
      <c r="A20" t="s">
        <v>34</v>
      </c>
      <c r="B20" t="s">
        <v>618</v>
      </c>
      <c r="C20" s="1" t="s">
        <v>705</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1</v>
      </c>
      <c r="CB20">
        <v>1</v>
      </c>
      <c r="CC20">
        <v>1</v>
      </c>
      <c r="CD20">
        <v>1</v>
      </c>
      <c r="CE20">
        <v>1</v>
      </c>
      <c r="CF20">
        <v>1</v>
      </c>
      <c r="CG20">
        <v>1</v>
      </c>
      <c r="CH20">
        <v>1</v>
      </c>
      <c r="CI20">
        <v>1</v>
      </c>
      <c r="CJ20">
        <v>1</v>
      </c>
      <c r="CK20">
        <v>1</v>
      </c>
      <c r="CL20">
        <v>1</v>
      </c>
      <c r="CM20">
        <v>1</v>
      </c>
      <c r="CN20">
        <v>1</v>
      </c>
      <c r="CO20">
        <v>1</v>
      </c>
      <c r="CP20">
        <v>1</v>
      </c>
      <c r="CQ20">
        <v>1</v>
      </c>
      <c r="CR20">
        <v>1</v>
      </c>
      <c r="CS20">
        <v>1</v>
      </c>
      <c r="CT20">
        <v>1</v>
      </c>
      <c r="CU20">
        <v>1</v>
      </c>
      <c r="CV20">
        <v>1</v>
      </c>
      <c r="CW20">
        <v>1</v>
      </c>
      <c r="CX20">
        <v>1</v>
      </c>
      <c r="CY20">
        <v>1</v>
      </c>
      <c r="CZ20">
        <v>1</v>
      </c>
      <c r="DA20">
        <v>1</v>
      </c>
      <c r="DB20">
        <v>1</v>
      </c>
      <c r="DC20">
        <v>1</v>
      </c>
      <c r="DD20">
        <v>1</v>
      </c>
      <c r="DE20">
        <v>1</v>
      </c>
      <c r="DF20">
        <v>1</v>
      </c>
      <c r="DG20">
        <v>1</v>
      </c>
      <c r="DH20">
        <v>1</v>
      </c>
      <c r="DI20">
        <v>1</v>
      </c>
      <c r="DJ20">
        <v>1</v>
      </c>
      <c r="DK20">
        <v>1</v>
      </c>
      <c r="DL20">
        <v>1</v>
      </c>
      <c r="DM20">
        <v>1</v>
      </c>
      <c r="DN20">
        <v>1</v>
      </c>
      <c r="DO20">
        <v>1</v>
      </c>
      <c r="DP20">
        <v>1</v>
      </c>
      <c r="DQ20">
        <v>1</v>
      </c>
      <c r="DR20">
        <v>1</v>
      </c>
      <c r="DS20">
        <v>1</v>
      </c>
      <c r="DT20">
        <v>1</v>
      </c>
      <c r="DU20">
        <v>1</v>
      </c>
      <c r="DV20">
        <v>1</v>
      </c>
      <c r="DW20">
        <v>1</v>
      </c>
      <c r="DX20">
        <v>1</v>
      </c>
      <c r="DY20">
        <v>1</v>
      </c>
      <c r="DZ20">
        <v>1</v>
      </c>
      <c r="EA20">
        <v>1</v>
      </c>
      <c r="EB20">
        <v>1</v>
      </c>
      <c r="EC20">
        <v>1</v>
      </c>
      <c r="ED20">
        <v>1</v>
      </c>
      <c r="EE20">
        <v>1</v>
      </c>
      <c r="EF20">
        <v>1</v>
      </c>
      <c r="EG20">
        <v>1</v>
      </c>
      <c r="EH20">
        <v>1</v>
      </c>
      <c r="EI20">
        <v>1</v>
      </c>
      <c r="EJ20">
        <v>1</v>
      </c>
      <c r="EK20">
        <v>1</v>
      </c>
      <c r="EL20">
        <v>1</v>
      </c>
      <c r="EM20">
        <v>1</v>
      </c>
      <c r="EN20">
        <v>1</v>
      </c>
      <c r="EO20">
        <v>1</v>
      </c>
      <c r="EP20">
        <v>1</v>
      </c>
      <c r="EQ20">
        <v>1</v>
      </c>
      <c r="ER20">
        <v>1</v>
      </c>
      <c r="ES20">
        <v>1</v>
      </c>
      <c r="ET20">
        <v>1</v>
      </c>
      <c r="EU20">
        <v>1</v>
      </c>
      <c r="EV20">
        <v>1</v>
      </c>
      <c r="EW20">
        <v>1</v>
      </c>
      <c r="EX20">
        <v>1</v>
      </c>
      <c r="EY20">
        <v>1</v>
      </c>
      <c r="EZ20">
        <v>1</v>
      </c>
      <c r="FA20">
        <v>1</v>
      </c>
      <c r="FB20">
        <v>1</v>
      </c>
      <c r="FC20">
        <v>1</v>
      </c>
      <c r="FD20">
        <v>1</v>
      </c>
      <c r="FE20">
        <v>1</v>
      </c>
      <c r="FF20">
        <v>1</v>
      </c>
      <c r="FG20">
        <v>1</v>
      </c>
      <c r="FH20">
        <v>1</v>
      </c>
      <c r="FI20">
        <v>1</v>
      </c>
      <c r="FJ20">
        <v>1</v>
      </c>
      <c r="FK20">
        <v>1</v>
      </c>
      <c r="FL20">
        <v>1</v>
      </c>
      <c r="FM20">
        <v>1</v>
      </c>
      <c r="FN20">
        <v>1</v>
      </c>
      <c r="FO20">
        <v>1</v>
      </c>
      <c r="FP20">
        <v>1</v>
      </c>
      <c r="FQ20">
        <v>1</v>
      </c>
      <c r="FR20">
        <v>1</v>
      </c>
      <c r="FS20">
        <v>1</v>
      </c>
      <c r="FT20">
        <v>1</v>
      </c>
      <c r="FU20">
        <v>1</v>
      </c>
      <c r="FV20">
        <v>1</v>
      </c>
      <c r="FW20">
        <v>1</v>
      </c>
      <c r="FX20">
        <v>1</v>
      </c>
      <c r="FY20">
        <v>1</v>
      </c>
      <c r="FZ20">
        <v>1</v>
      </c>
      <c r="GA20">
        <v>1</v>
      </c>
      <c r="GB20">
        <v>1</v>
      </c>
      <c r="GC20">
        <v>1</v>
      </c>
      <c r="GD20">
        <v>1</v>
      </c>
      <c r="GE20">
        <v>1</v>
      </c>
      <c r="GF20">
        <v>1</v>
      </c>
      <c r="GG20">
        <v>1</v>
      </c>
      <c r="GH20">
        <v>1</v>
      </c>
      <c r="GI20">
        <v>1</v>
      </c>
      <c r="GJ20">
        <v>1</v>
      </c>
      <c r="GK20">
        <v>1</v>
      </c>
      <c r="GL20">
        <v>1</v>
      </c>
      <c r="GM20">
        <v>1</v>
      </c>
      <c r="GN20">
        <v>1</v>
      </c>
      <c r="GO20">
        <v>1</v>
      </c>
      <c r="GP20">
        <v>1</v>
      </c>
      <c r="GQ20">
        <v>1</v>
      </c>
      <c r="GR20">
        <v>1</v>
      </c>
      <c r="GS20">
        <v>1</v>
      </c>
      <c r="GT20">
        <v>1</v>
      </c>
      <c r="GU20">
        <v>1</v>
      </c>
      <c r="GV20">
        <v>1</v>
      </c>
      <c r="GW20">
        <v>1</v>
      </c>
      <c r="GX20">
        <v>1</v>
      </c>
      <c r="GY20">
        <v>1</v>
      </c>
      <c r="GZ20">
        <v>1</v>
      </c>
      <c r="HA20">
        <v>1</v>
      </c>
      <c r="HB20">
        <v>1</v>
      </c>
      <c r="HC20">
        <v>1</v>
      </c>
      <c r="HD20">
        <v>1</v>
      </c>
      <c r="HE20">
        <v>1</v>
      </c>
      <c r="HF20">
        <v>1</v>
      </c>
      <c r="HG20">
        <v>1</v>
      </c>
      <c r="HH20">
        <v>1</v>
      </c>
      <c r="HI20">
        <v>1</v>
      </c>
      <c r="HJ20">
        <v>1</v>
      </c>
      <c r="HK20">
        <v>1</v>
      </c>
      <c r="HL20">
        <v>1</v>
      </c>
      <c r="HM20">
        <v>1</v>
      </c>
      <c r="HN20">
        <v>1</v>
      </c>
      <c r="HO20">
        <v>1</v>
      </c>
      <c r="HP20">
        <v>1</v>
      </c>
      <c r="HQ20">
        <v>1</v>
      </c>
      <c r="HR20">
        <v>1</v>
      </c>
      <c r="HS20">
        <v>1</v>
      </c>
      <c r="HT20">
        <v>1</v>
      </c>
      <c r="HU20">
        <v>1</v>
      </c>
      <c r="HV20">
        <v>1</v>
      </c>
      <c r="HW20">
        <v>1</v>
      </c>
      <c r="HX20">
        <v>1</v>
      </c>
      <c r="HY20">
        <v>1</v>
      </c>
      <c r="HZ20">
        <v>1</v>
      </c>
      <c r="IA20">
        <v>1</v>
      </c>
      <c r="IB20">
        <v>1</v>
      </c>
      <c r="IC20">
        <v>1</v>
      </c>
      <c r="ID20">
        <v>1</v>
      </c>
      <c r="IE20">
        <v>1</v>
      </c>
      <c r="IF20">
        <v>1</v>
      </c>
      <c r="IG20">
        <v>1</v>
      </c>
      <c r="IH20">
        <v>1</v>
      </c>
      <c r="II20">
        <v>1</v>
      </c>
      <c r="IJ20">
        <v>1</v>
      </c>
      <c r="IK20">
        <v>1</v>
      </c>
      <c r="IL20">
        <v>1</v>
      </c>
      <c r="IM20">
        <v>1</v>
      </c>
      <c r="IN20">
        <v>1</v>
      </c>
      <c r="IO20">
        <v>1</v>
      </c>
      <c r="IP20">
        <v>1</v>
      </c>
      <c r="IQ20">
        <v>1</v>
      </c>
      <c r="IR20">
        <v>1</v>
      </c>
      <c r="IS20">
        <v>1</v>
      </c>
      <c r="IT20">
        <v>1</v>
      </c>
      <c r="IU20">
        <v>1</v>
      </c>
      <c r="IV20">
        <v>1</v>
      </c>
      <c r="IW20">
        <v>1</v>
      </c>
      <c r="IX20">
        <v>1</v>
      </c>
      <c r="IY20">
        <v>1</v>
      </c>
      <c r="IZ20">
        <v>1</v>
      </c>
      <c r="JA20">
        <v>1</v>
      </c>
      <c r="JB20">
        <v>1</v>
      </c>
      <c r="JC20">
        <v>1</v>
      </c>
      <c r="JD20">
        <v>1</v>
      </c>
      <c r="JE20">
        <v>1</v>
      </c>
      <c r="JF20">
        <v>1</v>
      </c>
      <c r="JG20">
        <v>1</v>
      </c>
      <c r="JH20">
        <v>1</v>
      </c>
      <c r="JI20">
        <v>1</v>
      </c>
      <c r="JJ20">
        <v>1</v>
      </c>
      <c r="JK20">
        <v>1</v>
      </c>
      <c r="JL20">
        <v>1</v>
      </c>
      <c r="JM20">
        <v>1</v>
      </c>
      <c r="JN20">
        <v>1</v>
      </c>
      <c r="JO20">
        <v>1</v>
      </c>
      <c r="JP20">
        <v>1</v>
      </c>
      <c r="JQ20">
        <v>1</v>
      </c>
      <c r="JR20">
        <v>1</v>
      </c>
      <c r="JS20">
        <v>1</v>
      </c>
      <c r="JT20">
        <v>1</v>
      </c>
      <c r="JU20">
        <v>1</v>
      </c>
      <c r="JV20">
        <v>1</v>
      </c>
      <c r="JW20">
        <v>1</v>
      </c>
      <c r="JX20">
        <v>1</v>
      </c>
      <c r="JY20">
        <v>1</v>
      </c>
      <c r="JZ20">
        <v>1</v>
      </c>
      <c r="KA20">
        <v>1</v>
      </c>
      <c r="KB20">
        <v>1</v>
      </c>
      <c r="KC20">
        <v>1</v>
      </c>
      <c r="KD20">
        <v>1</v>
      </c>
      <c r="KE20">
        <v>1</v>
      </c>
      <c r="KF20">
        <v>1</v>
      </c>
      <c r="KG20">
        <v>1</v>
      </c>
      <c r="KH20">
        <v>1</v>
      </c>
      <c r="KI20">
        <v>1</v>
      </c>
      <c r="KJ20">
        <v>1</v>
      </c>
      <c r="KK20">
        <v>1</v>
      </c>
      <c r="KL20">
        <v>1</v>
      </c>
      <c r="KM20">
        <v>1</v>
      </c>
      <c r="KN20">
        <v>1</v>
      </c>
      <c r="KO20">
        <v>1</v>
      </c>
      <c r="KP20">
        <v>1</v>
      </c>
      <c r="KQ20">
        <v>1</v>
      </c>
      <c r="KR20">
        <v>1</v>
      </c>
      <c r="KS20">
        <v>1</v>
      </c>
      <c r="KT20">
        <v>1</v>
      </c>
      <c r="KU20">
        <v>1</v>
      </c>
      <c r="KV20">
        <v>1</v>
      </c>
      <c r="KW20">
        <v>1</v>
      </c>
      <c r="KX20">
        <v>1</v>
      </c>
      <c r="KY20">
        <v>1</v>
      </c>
      <c r="KZ20">
        <v>1</v>
      </c>
      <c r="LA20">
        <v>1</v>
      </c>
      <c r="LB20">
        <v>1</v>
      </c>
      <c r="LC20">
        <v>1</v>
      </c>
      <c r="LD20">
        <v>1</v>
      </c>
      <c r="LE20">
        <v>1</v>
      </c>
      <c r="LF20">
        <v>1</v>
      </c>
      <c r="LG20">
        <v>1</v>
      </c>
      <c r="LH20">
        <v>1</v>
      </c>
      <c r="LI20">
        <v>1</v>
      </c>
      <c r="LJ20">
        <v>1</v>
      </c>
      <c r="LK20">
        <v>1</v>
      </c>
      <c r="LL20">
        <v>1</v>
      </c>
      <c r="LM20">
        <v>1</v>
      </c>
      <c r="LN20">
        <v>1</v>
      </c>
      <c r="LO20">
        <v>1</v>
      </c>
      <c r="LP20">
        <v>1</v>
      </c>
      <c r="LQ20">
        <v>1</v>
      </c>
      <c r="LR20">
        <v>1</v>
      </c>
      <c r="LS20">
        <v>1</v>
      </c>
      <c r="LT20">
        <v>1</v>
      </c>
      <c r="LU20">
        <v>1</v>
      </c>
      <c r="LV20">
        <v>1</v>
      </c>
      <c r="LW20">
        <v>1</v>
      </c>
      <c r="LX20">
        <v>1</v>
      </c>
      <c r="LY20">
        <v>1</v>
      </c>
      <c r="LZ20">
        <v>1</v>
      </c>
      <c r="MA20">
        <v>1</v>
      </c>
      <c r="MB20">
        <v>1</v>
      </c>
      <c r="MC20">
        <v>1</v>
      </c>
      <c r="MD20">
        <v>1</v>
      </c>
      <c r="ME20">
        <v>1</v>
      </c>
      <c r="MF20">
        <v>1</v>
      </c>
      <c r="MG20">
        <v>1</v>
      </c>
      <c r="MH20">
        <v>1</v>
      </c>
      <c r="MI20">
        <v>1</v>
      </c>
      <c r="MJ20">
        <v>1</v>
      </c>
      <c r="MK20">
        <v>1</v>
      </c>
      <c r="ML20">
        <v>1</v>
      </c>
      <c r="MM20">
        <v>1</v>
      </c>
      <c r="MN20">
        <v>1</v>
      </c>
      <c r="MO20">
        <v>1</v>
      </c>
      <c r="MP20">
        <v>1</v>
      </c>
      <c r="MQ20">
        <v>1</v>
      </c>
      <c r="MR20">
        <v>1</v>
      </c>
      <c r="MS20">
        <v>1</v>
      </c>
      <c r="MT20">
        <v>1</v>
      </c>
      <c r="MU20">
        <v>1</v>
      </c>
      <c r="MV20">
        <v>1</v>
      </c>
      <c r="MW20">
        <v>1</v>
      </c>
      <c r="MX20">
        <v>1</v>
      </c>
      <c r="MY20">
        <v>1</v>
      </c>
      <c r="MZ20">
        <v>1</v>
      </c>
      <c r="NA20">
        <v>1</v>
      </c>
      <c r="NB20">
        <v>1</v>
      </c>
      <c r="NC20">
        <v>1</v>
      </c>
      <c r="ND20">
        <v>1</v>
      </c>
      <c r="NE20">
        <v>1</v>
      </c>
      <c r="NF20">
        <v>1</v>
      </c>
      <c r="NG20">
        <v>1</v>
      </c>
      <c r="NH20">
        <v>1</v>
      </c>
      <c r="NI20">
        <v>1</v>
      </c>
      <c r="NJ20">
        <v>1</v>
      </c>
      <c r="NK20">
        <v>1</v>
      </c>
      <c r="NL20">
        <v>1</v>
      </c>
      <c r="NM20">
        <v>1</v>
      </c>
      <c r="NN20">
        <v>1</v>
      </c>
      <c r="NO20">
        <v>1</v>
      </c>
      <c r="NP20">
        <v>1</v>
      </c>
      <c r="NQ20">
        <v>1</v>
      </c>
      <c r="NR20">
        <v>1</v>
      </c>
      <c r="NS20">
        <v>1</v>
      </c>
      <c r="NT20">
        <v>1</v>
      </c>
      <c r="NU20">
        <v>1</v>
      </c>
      <c r="NV20">
        <v>1</v>
      </c>
      <c r="NW20">
        <v>1</v>
      </c>
      <c r="NX20">
        <v>1</v>
      </c>
      <c r="NY20">
        <v>1</v>
      </c>
      <c r="NZ20">
        <v>1</v>
      </c>
      <c r="OA20">
        <v>1</v>
      </c>
      <c r="OB20">
        <v>1</v>
      </c>
      <c r="OC20">
        <v>1</v>
      </c>
      <c r="OD20">
        <v>1</v>
      </c>
      <c r="OE20">
        <v>1</v>
      </c>
      <c r="OF20">
        <v>1</v>
      </c>
      <c r="OG20">
        <v>1</v>
      </c>
      <c r="OH20">
        <v>1</v>
      </c>
      <c r="OI20">
        <v>1</v>
      </c>
      <c r="OJ20">
        <v>1</v>
      </c>
      <c r="OK20">
        <v>1</v>
      </c>
      <c r="OL20">
        <v>1</v>
      </c>
      <c r="OM20">
        <v>1</v>
      </c>
      <c r="ON20">
        <v>1</v>
      </c>
      <c r="OO20">
        <v>1</v>
      </c>
      <c r="OP20">
        <v>1</v>
      </c>
      <c r="OQ20">
        <v>1</v>
      </c>
      <c r="OR20">
        <v>1</v>
      </c>
      <c r="OS20">
        <v>1</v>
      </c>
      <c r="OT20">
        <v>1</v>
      </c>
      <c r="OU20">
        <v>1</v>
      </c>
      <c r="OV20">
        <v>1</v>
      </c>
      <c r="OW20">
        <v>1</v>
      </c>
      <c r="OX20">
        <v>1</v>
      </c>
      <c r="OY20">
        <v>1</v>
      </c>
      <c r="OZ20">
        <v>1</v>
      </c>
      <c r="PA20">
        <v>1</v>
      </c>
      <c r="PB20">
        <v>1</v>
      </c>
      <c r="PC20">
        <v>1</v>
      </c>
      <c r="PD20">
        <v>1</v>
      </c>
      <c r="PE20">
        <v>1</v>
      </c>
      <c r="PF20">
        <v>1</v>
      </c>
      <c r="PG20">
        <v>1</v>
      </c>
      <c r="PH20">
        <v>1</v>
      </c>
      <c r="PI20">
        <v>1</v>
      </c>
      <c r="PJ20">
        <v>1</v>
      </c>
      <c r="PK20">
        <v>1</v>
      </c>
      <c r="PL20">
        <v>1</v>
      </c>
      <c r="PM20">
        <v>1</v>
      </c>
      <c r="PN20">
        <v>1</v>
      </c>
      <c r="PO20">
        <v>1</v>
      </c>
      <c r="PP20">
        <v>1</v>
      </c>
      <c r="PQ20">
        <v>1</v>
      </c>
      <c r="PR20">
        <v>1</v>
      </c>
      <c r="PS20">
        <v>1</v>
      </c>
      <c r="PT20">
        <v>1</v>
      </c>
      <c r="PU20">
        <v>1</v>
      </c>
      <c r="PV20">
        <v>1</v>
      </c>
      <c r="PW20">
        <v>1</v>
      </c>
      <c r="PX20">
        <v>1</v>
      </c>
      <c r="PY20">
        <v>1</v>
      </c>
      <c r="PZ20">
        <v>1</v>
      </c>
      <c r="QA20">
        <v>1</v>
      </c>
      <c r="QB20">
        <v>1</v>
      </c>
      <c r="QC20">
        <v>1</v>
      </c>
      <c r="QD20">
        <v>1</v>
      </c>
      <c r="QE20">
        <v>1</v>
      </c>
      <c r="QF20">
        <v>1</v>
      </c>
      <c r="QG20">
        <v>1</v>
      </c>
      <c r="QH20">
        <v>1</v>
      </c>
      <c r="QI20">
        <v>1</v>
      </c>
      <c r="QJ20">
        <v>1</v>
      </c>
      <c r="QK20">
        <v>1</v>
      </c>
      <c r="QL20">
        <v>1</v>
      </c>
      <c r="QM20">
        <v>1</v>
      </c>
      <c r="QN20">
        <v>1</v>
      </c>
      <c r="QO20">
        <v>1</v>
      </c>
      <c r="QP20">
        <v>1</v>
      </c>
      <c r="QQ20">
        <v>1</v>
      </c>
      <c r="QR20">
        <v>1</v>
      </c>
      <c r="QS20">
        <v>1</v>
      </c>
      <c r="QT20">
        <v>1</v>
      </c>
      <c r="QU20">
        <v>1</v>
      </c>
      <c r="QV20">
        <v>1</v>
      </c>
      <c r="QW20">
        <v>1</v>
      </c>
      <c r="QX20">
        <v>1</v>
      </c>
      <c r="QY20">
        <v>1</v>
      </c>
      <c r="QZ20">
        <v>1</v>
      </c>
      <c r="RA20">
        <v>1</v>
      </c>
      <c r="RB20">
        <v>1</v>
      </c>
      <c r="RC20">
        <v>1</v>
      </c>
      <c r="RD20">
        <v>1</v>
      </c>
      <c r="RE20">
        <v>1</v>
      </c>
      <c r="RF20">
        <v>1</v>
      </c>
      <c r="RG20">
        <v>1</v>
      </c>
      <c r="RH20">
        <v>1</v>
      </c>
      <c r="RI20">
        <v>1</v>
      </c>
      <c r="RJ20">
        <v>1</v>
      </c>
      <c r="RK20">
        <v>1</v>
      </c>
      <c r="RL20">
        <v>1</v>
      </c>
      <c r="RM20">
        <v>1</v>
      </c>
      <c r="RN20">
        <v>1</v>
      </c>
      <c r="RO20">
        <v>1</v>
      </c>
      <c r="RP20">
        <v>1</v>
      </c>
      <c r="RQ20">
        <v>1</v>
      </c>
      <c r="RR20">
        <v>1</v>
      </c>
      <c r="RS20">
        <v>1</v>
      </c>
      <c r="RT20">
        <v>1</v>
      </c>
      <c r="RU20">
        <v>1</v>
      </c>
      <c r="RV20">
        <v>1</v>
      </c>
      <c r="RW20">
        <v>1</v>
      </c>
      <c r="RX20">
        <v>1</v>
      </c>
      <c r="RY20">
        <v>1</v>
      </c>
      <c r="RZ20">
        <v>1</v>
      </c>
      <c r="SA20">
        <v>1</v>
      </c>
      <c r="SB20">
        <v>1</v>
      </c>
      <c r="SC20">
        <v>1</v>
      </c>
      <c r="SD20">
        <v>1</v>
      </c>
      <c r="SE20">
        <v>1</v>
      </c>
      <c r="SF20">
        <v>1</v>
      </c>
      <c r="SG20">
        <v>1</v>
      </c>
      <c r="SH20">
        <v>1</v>
      </c>
      <c r="SI20">
        <v>1</v>
      </c>
      <c r="SJ20">
        <v>1</v>
      </c>
      <c r="SK20">
        <v>1</v>
      </c>
      <c r="SL20">
        <v>1</v>
      </c>
      <c r="SM20">
        <v>1</v>
      </c>
      <c r="SN20">
        <v>1</v>
      </c>
      <c r="SO20">
        <v>1</v>
      </c>
      <c r="SP20">
        <v>1</v>
      </c>
      <c r="SQ20">
        <v>1</v>
      </c>
      <c r="SR20">
        <v>1</v>
      </c>
      <c r="SS20">
        <v>1</v>
      </c>
      <c r="ST20">
        <v>1</v>
      </c>
      <c r="SU20">
        <v>1</v>
      </c>
      <c r="SV20">
        <v>1</v>
      </c>
      <c r="SW20">
        <v>1</v>
      </c>
      <c r="SX20">
        <v>1</v>
      </c>
      <c r="SY20">
        <v>1</v>
      </c>
      <c r="SZ20">
        <v>1</v>
      </c>
      <c r="TA20">
        <v>1</v>
      </c>
      <c r="TB20">
        <v>1</v>
      </c>
      <c r="TC20">
        <v>1</v>
      </c>
      <c r="TD20">
        <v>1</v>
      </c>
      <c r="TE20">
        <v>1</v>
      </c>
      <c r="TF20">
        <v>1</v>
      </c>
      <c r="TG20">
        <v>1</v>
      </c>
      <c r="TH20">
        <v>1</v>
      </c>
      <c r="TI20">
        <v>1</v>
      </c>
      <c r="TJ20">
        <v>1</v>
      </c>
      <c r="TK20">
        <v>1</v>
      </c>
      <c r="TL20">
        <v>1</v>
      </c>
      <c r="TM20">
        <v>1</v>
      </c>
      <c r="TN20">
        <v>1</v>
      </c>
      <c r="TO20">
        <v>1</v>
      </c>
      <c r="TP20">
        <v>1</v>
      </c>
      <c r="TQ20">
        <v>1</v>
      </c>
      <c r="TR20">
        <v>1</v>
      </c>
      <c r="TS20">
        <v>1</v>
      </c>
      <c r="TT20">
        <v>1</v>
      </c>
      <c r="TU20">
        <v>1</v>
      </c>
      <c r="TV20">
        <v>1</v>
      </c>
      <c r="TW20">
        <v>1</v>
      </c>
      <c r="TX20">
        <v>1</v>
      </c>
      <c r="TY20">
        <v>1</v>
      </c>
      <c r="TZ20">
        <v>1</v>
      </c>
      <c r="UA20">
        <v>1</v>
      </c>
      <c r="UB20">
        <v>1</v>
      </c>
      <c r="UC20">
        <v>1</v>
      </c>
      <c r="UD20">
        <v>1</v>
      </c>
      <c r="UE20">
        <v>1</v>
      </c>
      <c r="UF20">
        <v>1</v>
      </c>
      <c r="UG20">
        <v>1</v>
      </c>
      <c r="UH20">
        <v>1</v>
      </c>
      <c r="UI20">
        <v>1</v>
      </c>
      <c r="UJ20">
        <v>1</v>
      </c>
      <c r="UK20">
        <v>1</v>
      </c>
      <c r="UL20">
        <v>1</v>
      </c>
      <c r="UM20">
        <v>1</v>
      </c>
      <c r="UN20">
        <v>1</v>
      </c>
      <c r="UO20">
        <v>1</v>
      </c>
      <c r="UP20">
        <v>1</v>
      </c>
      <c r="UQ20">
        <v>1</v>
      </c>
      <c r="UR20">
        <v>1</v>
      </c>
      <c r="US20">
        <v>1</v>
      </c>
      <c r="UT20">
        <v>1</v>
      </c>
      <c r="UU20">
        <v>1</v>
      </c>
      <c r="UV20">
        <v>1</v>
      </c>
      <c r="UW20">
        <v>1</v>
      </c>
      <c r="UX20">
        <v>1</v>
      </c>
      <c r="UY20">
        <v>1</v>
      </c>
      <c r="UZ20">
        <v>1</v>
      </c>
      <c r="VA20">
        <v>1</v>
      </c>
      <c r="VB20">
        <v>1</v>
      </c>
      <c r="VC20">
        <v>1</v>
      </c>
      <c r="VD20">
        <v>1</v>
      </c>
      <c r="VE20">
        <v>1</v>
      </c>
      <c r="VF20">
        <v>1</v>
      </c>
      <c r="VG20">
        <v>1</v>
      </c>
      <c r="VH20">
        <v>1</v>
      </c>
      <c r="VI20">
        <v>1</v>
      </c>
      <c r="VJ20">
        <v>1</v>
      </c>
      <c r="VK20">
        <v>1</v>
      </c>
      <c r="VL20">
        <v>1</v>
      </c>
      <c r="VM20">
        <v>1</v>
      </c>
      <c r="VN20">
        <v>1</v>
      </c>
      <c r="VO20">
        <v>1</v>
      </c>
      <c r="VP20">
        <v>1</v>
      </c>
      <c r="VQ20">
        <v>1</v>
      </c>
      <c r="VR20">
        <v>1</v>
      </c>
      <c r="VS20">
        <v>1</v>
      </c>
      <c r="VT20">
        <v>1</v>
      </c>
      <c r="VU20">
        <v>1</v>
      </c>
      <c r="VV20">
        <v>1</v>
      </c>
      <c r="VW20">
        <v>1</v>
      </c>
      <c r="VX20">
        <v>1</v>
      </c>
      <c r="VY20">
        <v>1</v>
      </c>
      <c r="VZ20">
        <v>1</v>
      </c>
      <c r="WA20">
        <v>1</v>
      </c>
      <c r="WB20">
        <v>1</v>
      </c>
      <c r="WC20">
        <v>1</v>
      </c>
      <c r="WD20">
        <v>1</v>
      </c>
      <c r="WE20">
        <v>1</v>
      </c>
      <c r="WF20">
        <v>1</v>
      </c>
      <c r="WG20">
        <v>1</v>
      </c>
      <c r="WH20">
        <v>1</v>
      </c>
      <c r="WI20">
        <v>1</v>
      </c>
      <c r="WJ20">
        <v>1</v>
      </c>
      <c r="WK20">
        <v>1</v>
      </c>
      <c r="WL20">
        <v>1</v>
      </c>
      <c r="WM20">
        <v>1</v>
      </c>
      <c r="WN20">
        <v>1</v>
      </c>
      <c r="WO20">
        <v>1</v>
      </c>
      <c r="WP20">
        <v>1</v>
      </c>
      <c r="WQ20">
        <v>1</v>
      </c>
      <c r="WR20">
        <v>1</v>
      </c>
      <c r="WS20">
        <v>1</v>
      </c>
      <c r="WT20">
        <v>1</v>
      </c>
      <c r="WU20">
        <v>1</v>
      </c>
      <c r="WV20">
        <v>1</v>
      </c>
      <c r="WW20">
        <v>1</v>
      </c>
      <c r="WX20">
        <v>1</v>
      </c>
      <c r="WY20">
        <v>1</v>
      </c>
      <c r="WZ20">
        <v>1</v>
      </c>
      <c r="XA20">
        <v>1</v>
      </c>
      <c r="XB20">
        <v>1</v>
      </c>
      <c r="XC20">
        <v>1</v>
      </c>
      <c r="XD20">
        <v>1</v>
      </c>
      <c r="XE20">
        <v>1</v>
      </c>
      <c r="XF20">
        <v>1</v>
      </c>
      <c r="XG20">
        <v>1</v>
      </c>
      <c r="XH20">
        <v>1</v>
      </c>
      <c r="XI20">
        <v>1</v>
      </c>
      <c r="XJ20">
        <v>1</v>
      </c>
      <c r="XK20">
        <v>1</v>
      </c>
      <c r="XL20">
        <v>1</v>
      </c>
      <c r="XM20">
        <v>1</v>
      </c>
      <c r="XN20">
        <v>1</v>
      </c>
      <c r="XO20">
        <v>1</v>
      </c>
      <c r="XP20">
        <v>1</v>
      </c>
      <c r="XQ20">
        <v>1</v>
      </c>
      <c r="XR20">
        <v>1</v>
      </c>
      <c r="XS20">
        <v>1</v>
      </c>
      <c r="XT20">
        <v>1</v>
      </c>
      <c r="XU20">
        <v>1</v>
      </c>
      <c r="XV20">
        <v>1</v>
      </c>
      <c r="XW20">
        <v>1</v>
      </c>
      <c r="XX20">
        <v>1</v>
      </c>
      <c r="XY20">
        <v>1</v>
      </c>
      <c r="XZ20">
        <v>1</v>
      </c>
      <c r="YA20">
        <v>1</v>
      </c>
      <c r="YB20">
        <v>1</v>
      </c>
      <c r="YC20">
        <v>1</v>
      </c>
      <c r="YD20">
        <v>1</v>
      </c>
      <c r="YE20">
        <v>1</v>
      </c>
      <c r="YF20">
        <v>1</v>
      </c>
      <c r="YG20">
        <v>1</v>
      </c>
      <c r="YH20">
        <v>1</v>
      </c>
      <c r="YI20">
        <v>1</v>
      </c>
      <c r="YJ20">
        <v>1</v>
      </c>
      <c r="YK20">
        <v>1</v>
      </c>
      <c r="YL20">
        <v>1</v>
      </c>
      <c r="YM20">
        <v>1</v>
      </c>
      <c r="YN20">
        <v>1</v>
      </c>
      <c r="YO20">
        <v>1</v>
      </c>
      <c r="YP20">
        <v>1</v>
      </c>
      <c r="YQ20">
        <v>1</v>
      </c>
      <c r="YR20">
        <v>1</v>
      </c>
      <c r="YS20">
        <v>1</v>
      </c>
      <c r="YT20">
        <v>1</v>
      </c>
      <c r="YU20">
        <v>1</v>
      </c>
      <c r="YV20">
        <v>1</v>
      </c>
      <c r="YW20">
        <v>1</v>
      </c>
      <c r="YX20">
        <v>1</v>
      </c>
      <c r="YY20">
        <v>1</v>
      </c>
      <c r="YZ20">
        <v>1</v>
      </c>
      <c r="ZA20">
        <v>1</v>
      </c>
      <c r="ZB20">
        <v>1</v>
      </c>
      <c r="ZC20">
        <v>1</v>
      </c>
      <c r="ZD20">
        <v>1</v>
      </c>
      <c r="ZE20">
        <v>1</v>
      </c>
      <c r="ZF20">
        <v>1</v>
      </c>
      <c r="ZG20">
        <v>1</v>
      </c>
      <c r="ZH20">
        <v>1</v>
      </c>
      <c r="ZI20">
        <v>1</v>
      </c>
      <c r="ZJ20">
        <v>1</v>
      </c>
      <c r="ZK20">
        <v>1</v>
      </c>
      <c r="ZL20">
        <v>1</v>
      </c>
      <c r="ZM20">
        <v>1</v>
      </c>
      <c r="ZN20">
        <v>1</v>
      </c>
      <c r="ZO20">
        <v>1</v>
      </c>
      <c r="ZP20">
        <v>1</v>
      </c>
      <c r="ZQ20">
        <v>1</v>
      </c>
      <c r="ZR20">
        <v>1</v>
      </c>
      <c r="ZS20">
        <v>1</v>
      </c>
      <c r="ZT20">
        <v>1</v>
      </c>
      <c r="ZU20">
        <v>1</v>
      </c>
      <c r="ZV20">
        <v>1</v>
      </c>
      <c r="ZW20">
        <v>1</v>
      </c>
      <c r="ZX20">
        <v>1</v>
      </c>
      <c r="ZY20">
        <v>1</v>
      </c>
      <c r="ZZ20">
        <v>1</v>
      </c>
      <c r="AAA20">
        <v>1</v>
      </c>
      <c r="AAB20">
        <v>1</v>
      </c>
      <c r="AAC20">
        <v>1</v>
      </c>
      <c r="AAD20">
        <v>1</v>
      </c>
      <c r="AAE20">
        <v>1</v>
      </c>
      <c r="AAF20">
        <v>1</v>
      </c>
      <c r="AAG20">
        <v>1</v>
      </c>
      <c r="AAH20">
        <v>1</v>
      </c>
      <c r="AAI20">
        <v>1</v>
      </c>
      <c r="AAJ20">
        <v>1</v>
      </c>
      <c r="AAK20">
        <v>1</v>
      </c>
      <c r="AAL20">
        <v>1</v>
      </c>
      <c r="AAM20">
        <v>1</v>
      </c>
      <c r="AAN20">
        <v>1</v>
      </c>
      <c r="AAO20">
        <v>1</v>
      </c>
      <c r="AAP20">
        <v>1</v>
      </c>
      <c r="AAQ20">
        <v>1</v>
      </c>
      <c r="AAR20">
        <v>1</v>
      </c>
      <c r="AAS20">
        <v>1</v>
      </c>
      <c r="AAT20">
        <v>1</v>
      </c>
      <c r="AAU20">
        <v>1</v>
      </c>
      <c r="AAV20">
        <v>1</v>
      </c>
      <c r="AAW20">
        <v>1</v>
      </c>
      <c r="AAX20">
        <v>1</v>
      </c>
      <c r="AAY20">
        <v>1</v>
      </c>
      <c r="AAZ20">
        <v>1</v>
      </c>
      <c r="ABA20">
        <v>1</v>
      </c>
      <c r="ABB20">
        <v>1</v>
      </c>
      <c r="ABC20">
        <v>1</v>
      </c>
      <c r="ABD20">
        <v>1</v>
      </c>
      <c r="ABE20">
        <v>1</v>
      </c>
      <c r="ABF20">
        <v>1</v>
      </c>
      <c r="ABG20">
        <v>1</v>
      </c>
      <c r="ABH20">
        <v>1</v>
      </c>
      <c r="ABI20">
        <v>1</v>
      </c>
      <c r="ABJ20">
        <v>1</v>
      </c>
      <c r="ABK20">
        <v>1</v>
      </c>
      <c r="ABL20">
        <v>1</v>
      </c>
      <c r="ABM20">
        <v>1</v>
      </c>
      <c r="ABN20">
        <v>1</v>
      </c>
      <c r="ABO20">
        <v>1</v>
      </c>
      <c r="ABP20">
        <v>1</v>
      </c>
      <c r="ABQ20">
        <v>1</v>
      </c>
      <c r="ABR20">
        <v>1</v>
      </c>
      <c r="ABS20">
        <v>1</v>
      </c>
      <c r="ABT20">
        <v>1</v>
      </c>
      <c r="ABU20">
        <v>1</v>
      </c>
      <c r="ABV20">
        <v>1</v>
      </c>
      <c r="ABW20">
        <v>1</v>
      </c>
      <c r="ABX20">
        <v>1</v>
      </c>
      <c r="ABY20">
        <v>1</v>
      </c>
      <c r="ABZ20">
        <v>1</v>
      </c>
      <c r="ACA20">
        <v>1</v>
      </c>
      <c r="ACB20">
        <v>1</v>
      </c>
      <c r="ACC20">
        <v>1</v>
      </c>
      <c r="ACD20">
        <v>1</v>
      </c>
      <c r="ACE20">
        <v>1</v>
      </c>
      <c r="ACF20">
        <v>1</v>
      </c>
      <c r="ACG20">
        <v>1</v>
      </c>
      <c r="ACH20">
        <v>1</v>
      </c>
      <c r="ACI20">
        <v>1</v>
      </c>
      <c r="ACJ20">
        <v>1</v>
      </c>
      <c r="ACK20">
        <v>1</v>
      </c>
      <c r="ACL20">
        <v>1</v>
      </c>
      <c r="ACM20">
        <v>1</v>
      </c>
      <c r="ACN20">
        <v>1</v>
      </c>
      <c r="ACO20">
        <v>1</v>
      </c>
      <c r="ACP20">
        <v>1</v>
      </c>
      <c r="ACQ20">
        <v>1</v>
      </c>
      <c r="ACR20">
        <v>1</v>
      </c>
      <c r="ACS20">
        <v>1</v>
      </c>
      <c r="ACT20">
        <v>1</v>
      </c>
      <c r="ACU20">
        <v>1</v>
      </c>
      <c r="ACV20">
        <v>1</v>
      </c>
      <c r="ACW20">
        <v>1</v>
      </c>
      <c r="ACX20">
        <v>1</v>
      </c>
      <c r="ACY20">
        <v>1</v>
      </c>
      <c r="ACZ20">
        <v>1</v>
      </c>
      <c r="ADA20">
        <v>1</v>
      </c>
      <c r="ADB20">
        <v>1</v>
      </c>
      <c r="ADC20">
        <v>1</v>
      </c>
      <c r="ADD20">
        <v>1</v>
      </c>
      <c r="ADE20">
        <v>1</v>
      </c>
      <c r="ADF20">
        <v>1</v>
      </c>
      <c r="ADG20">
        <v>1</v>
      </c>
      <c r="ADH20">
        <v>1</v>
      </c>
      <c r="ADI20">
        <v>1</v>
      </c>
      <c r="ADJ20">
        <v>1</v>
      </c>
      <c r="ADK20">
        <v>1</v>
      </c>
      <c r="ADL20">
        <v>1</v>
      </c>
      <c r="ADM20">
        <v>1</v>
      </c>
      <c r="ADN20">
        <v>1</v>
      </c>
      <c r="ADO20">
        <v>1</v>
      </c>
      <c r="ADP20">
        <v>1</v>
      </c>
      <c r="ADQ20">
        <v>1</v>
      </c>
      <c r="ADR20">
        <v>1</v>
      </c>
      <c r="ADS20">
        <v>1</v>
      </c>
      <c r="ADT20">
        <v>1</v>
      </c>
      <c r="ADU20">
        <v>1</v>
      </c>
      <c r="ADV20">
        <v>1</v>
      </c>
      <c r="ADW20">
        <v>1</v>
      </c>
      <c r="ADX20">
        <v>1</v>
      </c>
      <c r="ADY20">
        <v>1</v>
      </c>
      <c r="ADZ20">
        <v>1</v>
      </c>
      <c r="AEA20">
        <v>1</v>
      </c>
      <c r="AEB20">
        <v>1</v>
      </c>
      <c r="AEC20">
        <v>1</v>
      </c>
      <c r="AED20">
        <v>1</v>
      </c>
      <c r="AEE20">
        <v>1</v>
      </c>
      <c r="AEF20">
        <v>1</v>
      </c>
      <c r="AEG20">
        <v>1</v>
      </c>
      <c r="AEH20">
        <v>1</v>
      </c>
      <c r="AEI20">
        <v>1</v>
      </c>
      <c r="AEJ20">
        <v>1</v>
      </c>
      <c r="AEK20">
        <v>1</v>
      </c>
      <c r="AEL20">
        <v>1</v>
      </c>
      <c r="AEM20">
        <v>1</v>
      </c>
      <c r="AEN20">
        <v>1</v>
      </c>
      <c r="AEO20">
        <v>1</v>
      </c>
      <c r="AEP20">
        <v>1</v>
      </c>
      <c r="AEQ20">
        <v>1</v>
      </c>
      <c r="AER20">
        <v>1</v>
      </c>
      <c r="AES20">
        <v>1</v>
      </c>
      <c r="AET20">
        <v>1</v>
      </c>
      <c r="AEU20">
        <v>1</v>
      </c>
      <c r="AEV20">
        <v>1</v>
      </c>
      <c r="AEW20">
        <v>1</v>
      </c>
      <c r="AEX20">
        <v>1</v>
      </c>
      <c r="AEY20">
        <v>1</v>
      </c>
      <c r="AEZ20">
        <v>1</v>
      </c>
      <c r="AFA20">
        <v>1</v>
      </c>
      <c r="AFB20">
        <v>1</v>
      </c>
      <c r="AFC20">
        <v>1</v>
      </c>
      <c r="AFD20">
        <v>1</v>
      </c>
      <c r="AFE20">
        <v>1</v>
      </c>
      <c r="AFF20">
        <v>1</v>
      </c>
      <c r="AFG20">
        <v>1</v>
      </c>
      <c r="AFH20">
        <v>1</v>
      </c>
      <c r="AFI20">
        <v>1</v>
      </c>
      <c r="AFJ20">
        <v>1</v>
      </c>
      <c r="AFK20">
        <v>1</v>
      </c>
      <c r="AFL20">
        <v>1</v>
      </c>
      <c r="AFM20">
        <v>1</v>
      </c>
      <c r="AFN20">
        <v>1</v>
      </c>
      <c r="AFO20">
        <v>1</v>
      </c>
      <c r="AFP20">
        <v>1</v>
      </c>
      <c r="AFQ20">
        <v>1</v>
      </c>
      <c r="AFR20">
        <v>1</v>
      </c>
      <c r="AFS20">
        <v>1</v>
      </c>
      <c r="AFT20">
        <v>1</v>
      </c>
      <c r="AFU20">
        <v>1</v>
      </c>
      <c r="AFV20">
        <v>1</v>
      </c>
      <c r="AFW20">
        <v>1</v>
      </c>
      <c r="AFX20">
        <v>1</v>
      </c>
      <c r="AFY20">
        <v>1</v>
      </c>
      <c r="AFZ20">
        <v>1</v>
      </c>
      <c r="AGA20">
        <v>1</v>
      </c>
      <c r="AGB20">
        <v>1</v>
      </c>
      <c r="AGC20">
        <v>1</v>
      </c>
      <c r="AGD20">
        <v>1</v>
      </c>
      <c r="AGE20">
        <v>1</v>
      </c>
      <c r="AGF20">
        <v>1</v>
      </c>
      <c r="AGG20">
        <v>1</v>
      </c>
      <c r="AGH20">
        <v>1</v>
      </c>
      <c r="AGI20">
        <v>1</v>
      </c>
      <c r="AGJ20">
        <v>1</v>
      </c>
      <c r="AGK20">
        <v>1</v>
      </c>
      <c r="AGL20">
        <v>1</v>
      </c>
      <c r="AGM20">
        <v>1</v>
      </c>
      <c r="AGN20">
        <v>1</v>
      </c>
      <c r="AGO20">
        <v>1</v>
      </c>
      <c r="AGP20">
        <v>1</v>
      </c>
      <c r="AGQ20">
        <v>1</v>
      </c>
      <c r="AGR20">
        <v>1</v>
      </c>
      <c r="AGS20">
        <v>1</v>
      </c>
      <c r="AGT20">
        <v>1</v>
      </c>
      <c r="AGU20">
        <v>1</v>
      </c>
      <c r="AGV20">
        <v>1</v>
      </c>
      <c r="AGW20">
        <v>1</v>
      </c>
      <c r="AGX20">
        <v>1</v>
      </c>
      <c r="AGY20">
        <v>1</v>
      </c>
      <c r="AGZ20">
        <v>1</v>
      </c>
      <c r="AHA20">
        <v>1</v>
      </c>
      <c r="AHB20">
        <v>1</v>
      </c>
      <c r="AHC20">
        <v>1</v>
      </c>
      <c r="AHD20">
        <v>1</v>
      </c>
      <c r="AHE20">
        <v>1</v>
      </c>
      <c r="AHF20">
        <v>1</v>
      </c>
      <c r="AHG20">
        <v>1</v>
      </c>
      <c r="AHH20">
        <v>1</v>
      </c>
      <c r="AHI20">
        <v>1</v>
      </c>
      <c r="AHJ20">
        <v>1</v>
      </c>
      <c r="AHK20">
        <v>1</v>
      </c>
      <c r="AHL20">
        <v>1</v>
      </c>
      <c r="AHM20">
        <v>1</v>
      </c>
      <c r="AHN20">
        <v>1</v>
      </c>
      <c r="AHO20">
        <v>1</v>
      </c>
      <c r="AHP20">
        <v>1</v>
      </c>
      <c r="AHQ20">
        <v>1</v>
      </c>
      <c r="AHR20">
        <v>1</v>
      </c>
      <c r="AHS20">
        <v>1</v>
      </c>
      <c r="AHT20">
        <v>1</v>
      </c>
      <c r="AHU20">
        <v>1</v>
      </c>
      <c r="AHV20">
        <v>1</v>
      </c>
      <c r="AHW20">
        <v>1</v>
      </c>
      <c r="AHX20">
        <v>1</v>
      </c>
      <c r="AHY20">
        <v>1</v>
      </c>
      <c r="AHZ20">
        <v>1</v>
      </c>
      <c r="AIA20">
        <v>1</v>
      </c>
      <c r="AIB20">
        <v>1</v>
      </c>
      <c r="AIC20">
        <v>1</v>
      </c>
      <c r="AID20">
        <v>1</v>
      </c>
      <c r="AIE20">
        <v>1</v>
      </c>
      <c r="AIF20">
        <v>1</v>
      </c>
      <c r="AIG20">
        <v>1</v>
      </c>
      <c r="AIH20">
        <v>1</v>
      </c>
      <c r="AII20">
        <v>1</v>
      </c>
      <c r="AIJ20">
        <v>1</v>
      </c>
      <c r="AIK20">
        <v>1</v>
      </c>
      <c r="AIL20">
        <v>1</v>
      </c>
      <c r="AIM20">
        <v>1</v>
      </c>
      <c r="AIN20">
        <v>1</v>
      </c>
      <c r="AIO20">
        <v>1</v>
      </c>
      <c r="AIP20">
        <v>1</v>
      </c>
      <c r="AIQ20">
        <v>1</v>
      </c>
      <c r="AIR20">
        <v>1</v>
      </c>
      <c r="AIS20">
        <v>1</v>
      </c>
      <c r="AIT20">
        <v>1</v>
      </c>
      <c r="AIU20">
        <v>1</v>
      </c>
      <c r="AIV20">
        <v>1</v>
      </c>
      <c r="AIW20">
        <v>1</v>
      </c>
      <c r="AIX20">
        <v>1</v>
      </c>
      <c r="AIY20">
        <v>1</v>
      </c>
      <c r="AIZ20">
        <v>1</v>
      </c>
      <c r="AJA20">
        <v>1</v>
      </c>
      <c r="AJB20">
        <v>1</v>
      </c>
      <c r="AJC20">
        <v>1</v>
      </c>
      <c r="AJD20">
        <v>1</v>
      </c>
      <c r="AJE20">
        <v>1</v>
      </c>
      <c r="AJF20">
        <v>1</v>
      </c>
      <c r="AJG20">
        <v>1</v>
      </c>
      <c r="AJH20">
        <v>1</v>
      </c>
      <c r="AJI20">
        <v>1</v>
      </c>
      <c r="AJJ20">
        <v>1</v>
      </c>
      <c r="AJK20">
        <v>1</v>
      </c>
      <c r="AJL20">
        <v>1</v>
      </c>
      <c r="AJM20">
        <v>1</v>
      </c>
      <c r="AJN20">
        <v>1</v>
      </c>
      <c r="AJO20">
        <v>1</v>
      </c>
      <c r="AJP20">
        <v>1</v>
      </c>
      <c r="AJQ20">
        <v>1</v>
      </c>
      <c r="AJR20">
        <v>1</v>
      </c>
      <c r="AJS20">
        <v>1</v>
      </c>
      <c r="AJT20">
        <v>1</v>
      </c>
      <c r="AJU20">
        <v>1</v>
      </c>
      <c r="AJV20">
        <v>1</v>
      </c>
      <c r="AJW20">
        <v>1</v>
      </c>
      <c r="AJX20">
        <v>1</v>
      </c>
      <c r="AJY20">
        <v>1</v>
      </c>
      <c r="AJZ20">
        <v>1</v>
      </c>
      <c r="AKA20">
        <v>1</v>
      </c>
      <c r="AKB20">
        <v>1</v>
      </c>
      <c r="AKC20">
        <v>1</v>
      </c>
      <c r="AKD20">
        <v>1</v>
      </c>
      <c r="AKE20">
        <v>1</v>
      </c>
      <c r="AKF20">
        <v>1</v>
      </c>
      <c r="AKG20">
        <v>1</v>
      </c>
      <c r="AKH20">
        <v>0</v>
      </c>
      <c r="AKI20">
        <v>0</v>
      </c>
      <c r="AKJ20">
        <v>0</v>
      </c>
      <c r="AKK20">
        <v>0</v>
      </c>
      <c r="AKL20">
        <v>0</v>
      </c>
      <c r="AKM20">
        <v>0</v>
      </c>
      <c r="AKN20">
        <v>0</v>
      </c>
      <c r="AKO20">
        <v>0</v>
      </c>
      <c r="AKP20">
        <v>0</v>
      </c>
      <c r="AKQ20">
        <v>0</v>
      </c>
      <c r="AKR20">
        <v>0</v>
      </c>
      <c r="AKS20">
        <v>0</v>
      </c>
      <c r="AKT20">
        <v>0</v>
      </c>
      <c r="AKU20">
        <v>0</v>
      </c>
      <c r="AKV20">
        <v>0</v>
      </c>
      <c r="AKW20">
        <v>0</v>
      </c>
    </row>
    <row r="21" spans="1:985" ht="14.4" customHeight="1" x14ac:dyDescent="0.55000000000000004">
      <c r="A21" t="s">
        <v>448</v>
      </c>
      <c r="B21" t="s">
        <v>618</v>
      </c>
      <c r="C21" s="1" t="s">
        <v>706</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D21">
        <v>0</v>
      </c>
      <c r="HE21">
        <v>0</v>
      </c>
      <c r="HF21">
        <v>0</v>
      </c>
      <c r="HG21">
        <v>0</v>
      </c>
      <c r="HH21">
        <v>0</v>
      </c>
      <c r="HI21">
        <v>0</v>
      </c>
      <c r="HJ21">
        <v>0</v>
      </c>
      <c r="HK21">
        <v>0</v>
      </c>
      <c r="HL21">
        <v>0</v>
      </c>
      <c r="HM21">
        <v>0</v>
      </c>
      <c r="HN21">
        <v>0</v>
      </c>
      <c r="HO21">
        <v>0</v>
      </c>
      <c r="HP21">
        <v>0</v>
      </c>
      <c r="HQ21">
        <v>0</v>
      </c>
      <c r="HR21">
        <v>0</v>
      </c>
      <c r="HS21">
        <v>0</v>
      </c>
      <c r="HT21">
        <v>0</v>
      </c>
      <c r="HU21">
        <v>0</v>
      </c>
      <c r="HV21">
        <v>0</v>
      </c>
      <c r="HW21">
        <v>0</v>
      </c>
      <c r="HX21">
        <v>0</v>
      </c>
      <c r="HY21">
        <v>0</v>
      </c>
      <c r="HZ21">
        <v>0</v>
      </c>
      <c r="IA21">
        <v>0</v>
      </c>
      <c r="IB21">
        <v>0</v>
      </c>
      <c r="IC21">
        <v>0</v>
      </c>
      <c r="ID21">
        <v>0</v>
      </c>
      <c r="IE21">
        <v>0</v>
      </c>
      <c r="IF21">
        <v>0</v>
      </c>
      <c r="IG21">
        <v>0</v>
      </c>
      <c r="IH21">
        <v>0</v>
      </c>
      <c r="II21">
        <v>0</v>
      </c>
      <c r="IJ21">
        <v>0</v>
      </c>
      <c r="IK21">
        <v>0</v>
      </c>
      <c r="IL21">
        <v>0</v>
      </c>
      <c r="IM21">
        <v>0</v>
      </c>
      <c r="IN21">
        <v>0</v>
      </c>
      <c r="IO21">
        <v>0</v>
      </c>
      <c r="IP21">
        <v>0</v>
      </c>
      <c r="IQ21">
        <v>0</v>
      </c>
      <c r="IR21">
        <v>0</v>
      </c>
      <c r="IS21">
        <v>0</v>
      </c>
      <c r="IT21">
        <v>0</v>
      </c>
      <c r="IU21">
        <v>0</v>
      </c>
      <c r="IV21">
        <v>0</v>
      </c>
      <c r="IW21">
        <v>0</v>
      </c>
      <c r="IX21">
        <v>0</v>
      </c>
      <c r="IY21">
        <v>0</v>
      </c>
      <c r="IZ21">
        <v>0</v>
      </c>
      <c r="JA21">
        <v>0</v>
      </c>
      <c r="JB21">
        <v>0</v>
      </c>
      <c r="JC21">
        <v>0</v>
      </c>
      <c r="JD21">
        <v>0</v>
      </c>
      <c r="JE21">
        <v>0</v>
      </c>
      <c r="JF21">
        <v>0</v>
      </c>
      <c r="JG21">
        <v>0</v>
      </c>
      <c r="JH21">
        <v>0</v>
      </c>
      <c r="JI21">
        <v>0</v>
      </c>
      <c r="JJ21">
        <v>0</v>
      </c>
      <c r="JK21">
        <v>0</v>
      </c>
      <c r="JL21">
        <v>0</v>
      </c>
      <c r="JM21">
        <v>0</v>
      </c>
      <c r="JN21">
        <v>0</v>
      </c>
      <c r="JO21">
        <v>0</v>
      </c>
      <c r="JP21">
        <v>0</v>
      </c>
      <c r="JQ21">
        <v>0</v>
      </c>
      <c r="JR21">
        <v>0</v>
      </c>
      <c r="JS21">
        <v>0</v>
      </c>
      <c r="JT21">
        <v>0</v>
      </c>
      <c r="JU21">
        <v>0</v>
      </c>
      <c r="JV21">
        <v>0</v>
      </c>
      <c r="JW21">
        <v>0</v>
      </c>
      <c r="JX21">
        <v>0</v>
      </c>
      <c r="JY21">
        <v>0</v>
      </c>
      <c r="JZ21">
        <v>0</v>
      </c>
      <c r="KA21">
        <v>0</v>
      </c>
      <c r="KB21">
        <v>0</v>
      </c>
      <c r="KC21">
        <v>0</v>
      </c>
      <c r="KD21">
        <v>0</v>
      </c>
      <c r="KE21">
        <v>0</v>
      </c>
      <c r="KF21">
        <v>0</v>
      </c>
      <c r="KG21">
        <v>0</v>
      </c>
      <c r="KH21">
        <v>0</v>
      </c>
      <c r="KI21">
        <v>0</v>
      </c>
      <c r="KJ21">
        <v>0</v>
      </c>
      <c r="KK21">
        <v>0</v>
      </c>
      <c r="KL21">
        <v>0</v>
      </c>
      <c r="KM21">
        <v>0</v>
      </c>
      <c r="KN21">
        <v>0</v>
      </c>
      <c r="KO21">
        <v>0</v>
      </c>
      <c r="KP21">
        <v>0</v>
      </c>
      <c r="KQ21">
        <v>0</v>
      </c>
      <c r="KR21">
        <v>0</v>
      </c>
      <c r="KS21">
        <v>0</v>
      </c>
      <c r="KT21">
        <v>0</v>
      </c>
      <c r="KU21">
        <v>0</v>
      </c>
      <c r="KV21">
        <v>0</v>
      </c>
      <c r="KW21">
        <v>0</v>
      </c>
      <c r="KX21">
        <v>0</v>
      </c>
      <c r="KY21">
        <v>0</v>
      </c>
      <c r="KZ21">
        <v>0</v>
      </c>
      <c r="LA21">
        <v>0</v>
      </c>
      <c r="LB21">
        <v>0</v>
      </c>
      <c r="LC21">
        <v>0</v>
      </c>
      <c r="LD21">
        <v>0</v>
      </c>
      <c r="LE21">
        <v>0</v>
      </c>
      <c r="LF21">
        <v>0</v>
      </c>
      <c r="LG21">
        <v>0</v>
      </c>
      <c r="LH21">
        <v>0</v>
      </c>
      <c r="LI21">
        <v>0</v>
      </c>
      <c r="LJ21">
        <v>0</v>
      </c>
      <c r="LK21">
        <v>0</v>
      </c>
      <c r="LL21">
        <v>0</v>
      </c>
      <c r="LM21">
        <v>0</v>
      </c>
      <c r="LN21">
        <v>0</v>
      </c>
      <c r="LO21">
        <v>0</v>
      </c>
      <c r="LP21">
        <v>0</v>
      </c>
      <c r="LQ21">
        <v>0</v>
      </c>
      <c r="LR21">
        <v>0</v>
      </c>
      <c r="LS21">
        <v>0</v>
      </c>
      <c r="LT21">
        <v>0</v>
      </c>
      <c r="LU21">
        <v>0</v>
      </c>
      <c r="LV21">
        <v>0</v>
      </c>
      <c r="LW21">
        <v>0</v>
      </c>
      <c r="LX21">
        <v>0</v>
      </c>
      <c r="LY21">
        <v>0</v>
      </c>
      <c r="LZ21">
        <v>0</v>
      </c>
      <c r="MA21">
        <v>0</v>
      </c>
      <c r="MB21">
        <v>0</v>
      </c>
      <c r="MC21">
        <v>0</v>
      </c>
      <c r="MD21">
        <v>0</v>
      </c>
      <c r="ME21">
        <v>0</v>
      </c>
      <c r="MF21">
        <v>0</v>
      </c>
      <c r="MG21">
        <v>0</v>
      </c>
      <c r="MH21">
        <v>0</v>
      </c>
      <c r="MI21">
        <v>0</v>
      </c>
      <c r="MJ21">
        <v>0</v>
      </c>
      <c r="MK21">
        <v>0</v>
      </c>
      <c r="ML21">
        <v>0</v>
      </c>
      <c r="MM21">
        <v>0</v>
      </c>
      <c r="MN21">
        <v>0</v>
      </c>
      <c r="MO21">
        <v>0</v>
      </c>
      <c r="MP21">
        <v>0</v>
      </c>
      <c r="MQ21">
        <v>0</v>
      </c>
      <c r="MR21">
        <v>0</v>
      </c>
      <c r="MS21">
        <v>0</v>
      </c>
      <c r="MT21">
        <v>0</v>
      </c>
      <c r="MU21">
        <v>0</v>
      </c>
      <c r="MV21">
        <v>0</v>
      </c>
      <c r="MW21">
        <v>0</v>
      </c>
      <c r="MX21">
        <v>0</v>
      </c>
      <c r="MY21">
        <v>0</v>
      </c>
      <c r="MZ21">
        <v>0</v>
      </c>
      <c r="NA21">
        <v>0</v>
      </c>
      <c r="NB21">
        <v>0</v>
      </c>
      <c r="NC21">
        <v>0</v>
      </c>
      <c r="ND21">
        <v>0</v>
      </c>
      <c r="NE21">
        <v>0</v>
      </c>
      <c r="NF21">
        <v>0</v>
      </c>
      <c r="NG21">
        <v>0</v>
      </c>
      <c r="NH21">
        <v>0</v>
      </c>
      <c r="NI21">
        <v>0</v>
      </c>
      <c r="NJ21">
        <v>0</v>
      </c>
      <c r="NK21">
        <v>0</v>
      </c>
      <c r="NL21">
        <v>0</v>
      </c>
      <c r="NM21">
        <v>0</v>
      </c>
      <c r="NN21">
        <v>0</v>
      </c>
      <c r="NO21">
        <v>0</v>
      </c>
      <c r="NP21">
        <v>0</v>
      </c>
      <c r="NQ21">
        <v>0</v>
      </c>
      <c r="NR21">
        <v>0</v>
      </c>
      <c r="NS21">
        <v>0</v>
      </c>
      <c r="NT21">
        <v>0</v>
      </c>
      <c r="NU21">
        <v>0</v>
      </c>
      <c r="NV21">
        <v>0</v>
      </c>
      <c r="NW21">
        <v>0</v>
      </c>
      <c r="NX21">
        <v>0</v>
      </c>
      <c r="NY21">
        <v>0</v>
      </c>
      <c r="NZ21">
        <v>0</v>
      </c>
      <c r="OA21">
        <v>0</v>
      </c>
      <c r="OB21">
        <v>0</v>
      </c>
      <c r="OC21">
        <v>0</v>
      </c>
      <c r="OD21">
        <v>0</v>
      </c>
      <c r="OE21">
        <v>0</v>
      </c>
      <c r="OF21">
        <v>0</v>
      </c>
      <c r="OG21">
        <v>0</v>
      </c>
      <c r="OH21">
        <v>0</v>
      </c>
      <c r="OI21">
        <v>0</v>
      </c>
      <c r="OJ21">
        <v>0</v>
      </c>
      <c r="OK21">
        <v>0</v>
      </c>
      <c r="OL21">
        <v>0</v>
      </c>
      <c r="OM21">
        <v>0</v>
      </c>
      <c r="ON21">
        <v>0</v>
      </c>
      <c r="OO21">
        <v>0</v>
      </c>
      <c r="OP21">
        <v>0</v>
      </c>
      <c r="OQ21">
        <v>0</v>
      </c>
      <c r="OR21">
        <v>0</v>
      </c>
      <c r="OS21">
        <v>0</v>
      </c>
      <c r="OT21">
        <v>0</v>
      </c>
      <c r="OU21">
        <v>0</v>
      </c>
      <c r="OV21">
        <v>0</v>
      </c>
      <c r="OW21">
        <v>0</v>
      </c>
      <c r="OX21">
        <v>0</v>
      </c>
      <c r="OY21">
        <v>0</v>
      </c>
      <c r="OZ21">
        <v>0</v>
      </c>
      <c r="PA21">
        <v>0</v>
      </c>
      <c r="PB21">
        <v>0</v>
      </c>
      <c r="PC21">
        <v>0</v>
      </c>
      <c r="PD21">
        <v>0</v>
      </c>
      <c r="PE21">
        <v>0</v>
      </c>
      <c r="PF21">
        <v>0</v>
      </c>
      <c r="PG21">
        <v>0</v>
      </c>
      <c r="PH21">
        <v>0</v>
      </c>
      <c r="PI21">
        <v>0</v>
      </c>
      <c r="PJ21">
        <v>0</v>
      </c>
      <c r="PK21">
        <v>0</v>
      </c>
      <c r="PL21">
        <v>0</v>
      </c>
      <c r="PM21">
        <v>0</v>
      </c>
      <c r="PN21">
        <v>0</v>
      </c>
      <c r="PO21">
        <v>0</v>
      </c>
      <c r="PP21">
        <v>0</v>
      </c>
      <c r="PQ21">
        <v>0</v>
      </c>
      <c r="PR21">
        <v>0</v>
      </c>
      <c r="PS21">
        <v>0</v>
      </c>
      <c r="PT21">
        <v>0</v>
      </c>
      <c r="PU21">
        <v>0</v>
      </c>
      <c r="PV21">
        <v>0</v>
      </c>
      <c r="PW21">
        <v>0</v>
      </c>
      <c r="PX21">
        <v>0</v>
      </c>
      <c r="PY21">
        <v>0</v>
      </c>
      <c r="PZ21">
        <v>0</v>
      </c>
      <c r="QA21">
        <v>0</v>
      </c>
      <c r="QB21">
        <v>0</v>
      </c>
      <c r="QC21">
        <v>0</v>
      </c>
      <c r="QD21">
        <v>0</v>
      </c>
      <c r="QE21">
        <v>0</v>
      </c>
      <c r="QF21">
        <v>0</v>
      </c>
      <c r="QG21">
        <v>0</v>
      </c>
      <c r="QH21">
        <v>0</v>
      </c>
      <c r="QI21">
        <v>0</v>
      </c>
      <c r="QJ21">
        <v>0</v>
      </c>
      <c r="QK21">
        <v>0</v>
      </c>
      <c r="QL21">
        <v>0</v>
      </c>
      <c r="QM21">
        <v>0</v>
      </c>
      <c r="QN21">
        <v>0</v>
      </c>
      <c r="QO21">
        <v>0</v>
      </c>
      <c r="QP21">
        <v>0</v>
      </c>
      <c r="QQ21">
        <v>0</v>
      </c>
      <c r="QR21">
        <v>0</v>
      </c>
      <c r="QS21">
        <v>0</v>
      </c>
      <c r="QT21">
        <v>0</v>
      </c>
      <c r="QU21">
        <v>0</v>
      </c>
      <c r="QV21">
        <v>0</v>
      </c>
      <c r="QW21">
        <v>0</v>
      </c>
      <c r="QX21">
        <v>0</v>
      </c>
      <c r="QY21">
        <v>0</v>
      </c>
      <c r="QZ21">
        <v>0</v>
      </c>
      <c r="RA21">
        <v>0</v>
      </c>
      <c r="RB21">
        <v>0</v>
      </c>
      <c r="RC21">
        <v>0</v>
      </c>
      <c r="RD21">
        <v>0</v>
      </c>
      <c r="RE21">
        <v>0</v>
      </c>
      <c r="RF21">
        <v>0</v>
      </c>
      <c r="RG21">
        <v>0</v>
      </c>
      <c r="RH21">
        <v>0</v>
      </c>
      <c r="RI21">
        <v>0</v>
      </c>
      <c r="RJ21">
        <v>0</v>
      </c>
      <c r="RK21">
        <v>0</v>
      </c>
      <c r="RL21">
        <v>0</v>
      </c>
      <c r="RM21">
        <v>0</v>
      </c>
      <c r="RN21">
        <v>0</v>
      </c>
      <c r="RO21">
        <v>0</v>
      </c>
      <c r="RP21">
        <v>0</v>
      </c>
      <c r="RQ21">
        <v>0</v>
      </c>
      <c r="RR21">
        <v>0</v>
      </c>
      <c r="RS21">
        <v>0</v>
      </c>
      <c r="RT21">
        <v>0</v>
      </c>
      <c r="RU21">
        <v>0</v>
      </c>
      <c r="RV21">
        <v>0</v>
      </c>
      <c r="RW21">
        <v>0</v>
      </c>
      <c r="RX21">
        <v>0</v>
      </c>
      <c r="RY21">
        <v>0</v>
      </c>
      <c r="RZ21">
        <v>0</v>
      </c>
      <c r="SA21">
        <v>0</v>
      </c>
      <c r="SB21">
        <v>0</v>
      </c>
      <c r="SC21">
        <v>0</v>
      </c>
      <c r="SD21">
        <v>0</v>
      </c>
      <c r="SE21">
        <v>0</v>
      </c>
      <c r="SF21">
        <v>0</v>
      </c>
      <c r="SG21">
        <v>0</v>
      </c>
      <c r="SH21">
        <v>0</v>
      </c>
      <c r="SI21">
        <v>0</v>
      </c>
      <c r="SJ21">
        <v>0</v>
      </c>
      <c r="SK21">
        <v>0</v>
      </c>
      <c r="SL21">
        <v>0</v>
      </c>
      <c r="SM21">
        <v>0</v>
      </c>
      <c r="SN21">
        <v>0</v>
      </c>
      <c r="SO21">
        <v>0</v>
      </c>
      <c r="SP21">
        <v>0</v>
      </c>
      <c r="SQ21">
        <v>0</v>
      </c>
      <c r="SR21">
        <v>0</v>
      </c>
      <c r="SS21">
        <v>0</v>
      </c>
      <c r="ST21">
        <v>0</v>
      </c>
      <c r="SU21">
        <v>0</v>
      </c>
      <c r="SV21">
        <v>0</v>
      </c>
      <c r="SW21">
        <v>0</v>
      </c>
      <c r="SX21">
        <v>0</v>
      </c>
      <c r="SY21">
        <v>0</v>
      </c>
      <c r="SZ21">
        <v>0</v>
      </c>
      <c r="TA21">
        <v>0</v>
      </c>
      <c r="TB21">
        <v>0</v>
      </c>
      <c r="TC21">
        <v>0</v>
      </c>
      <c r="TD21">
        <v>0</v>
      </c>
      <c r="TE21">
        <v>0</v>
      </c>
      <c r="TF21">
        <v>0</v>
      </c>
      <c r="TG21">
        <v>0</v>
      </c>
      <c r="TH21">
        <v>0</v>
      </c>
      <c r="TI21">
        <v>0</v>
      </c>
      <c r="TJ21">
        <v>0</v>
      </c>
      <c r="TK21">
        <v>0</v>
      </c>
      <c r="TL21">
        <v>0</v>
      </c>
      <c r="TM21">
        <v>0</v>
      </c>
      <c r="TN21">
        <v>0</v>
      </c>
      <c r="TO21">
        <v>0</v>
      </c>
      <c r="TP21">
        <v>0</v>
      </c>
      <c r="TQ21">
        <v>0</v>
      </c>
      <c r="TR21">
        <v>0</v>
      </c>
      <c r="TS21">
        <v>0</v>
      </c>
      <c r="TT21">
        <v>0</v>
      </c>
      <c r="TU21">
        <v>0</v>
      </c>
      <c r="TV21">
        <v>0</v>
      </c>
      <c r="TW21">
        <v>0</v>
      </c>
      <c r="TX21">
        <v>0</v>
      </c>
      <c r="TY21">
        <v>0</v>
      </c>
      <c r="TZ21">
        <v>0</v>
      </c>
      <c r="UA21">
        <v>0</v>
      </c>
      <c r="UB21">
        <v>0</v>
      </c>
      <c r="UC21">
        <v>0</v>
      </c>
      <c r="UD21">
        <v>0</v>
      </c>
      <c r="UE21">
        <v>0</v>
      </c>
      <c r="UF21">
        <v>0</v>
      </c>
      <c r="UG21">
        <v>0</v>
      </c>
      <c r="UH21">
        <v>0</v>
      </c>
      <c r="UI21">
        <v>0</v>
      </c>
      <c r="UJ21">
        <v>0</v>
      </c>
      <c r="UK21">
        <v>0</v>
      </c>
      <c r="UL21">
        <v>0</v>
      </c>
      <c r="UM21">
        <v>0</v>
      </c>
      <c r="UN21">
        <v>0</v>
      </c>
      <c r="UO21">
        <v>0</v>
      </c>
      <c r="UP21">
        <v>0</v>
      </c>
      <c r="UQ21">
        <v>0</v>
      </c>
      <c r="UR21">
        <v>0</v>
      </c>
      <c r="US21">
        <v>0</v>
      </c>
      <c r="UT21">
        <v>0</v>
      </c>
      <c r="UU21">
        <v>0</v>
      </c>
      <c r="UV21">
        <v>0</v>
      </c>
      <c r="UW21">
        <v>0</v>
      </c>
      <c r="UX21">
        <v>0</v>
      </c>
      <c r="UY21">
        <v>0</v>
      </c>
      <c r="UZ21">
        <v>0</v>
      </c>
      <c r="VA21">
        <v>0</v>
      </c>
      <c r="VB21">
        <v>0</v>
      </c>
      <c r="VC21">
        <v>0</v>
      </c>
      <c r="VD21">
        <v>0</v>
      </c>
      <c r="VE21">
        <v>0</v>
      </c>
      <c r="VF21">
        <v>0</v>
      </c>
      <c r="VG21">
        <v>0</v>
      </c>
      <c r="VH21">
        <v>0</v>
      </c>
      <c r="VI21">
        <v>0</v>
      </c>
      <c r="VJ21">
        <v>0</v>
      </c>
      <c r="VK21">
        <v>0</v>
      </c>
      <c r="VL21">
        <v>0</v>
      </c>
      <c r="VM21">
        <v>0</v>
      </c>
      <c r="VN21">
        <v>0</v>
      </c>
      <c r="VO21">
        <v>0</v>
      </c>
      <c r="VP21">
        <v>0</v>
      </c>
      <c r="VQ21">
        <v>0</v>
      </c>
      <c r="VR21">
        <v>0</v>
      </c>
      <c r="VS21">
        <v>0</v>
      </c>
      <c r="VT21">
        <v>0</v>
      </c>
      <c r="VU21">
        <v>0</v>
      </c>
      <c r="VV21">
        <v>0</v>
      </c>
      <c r="VW21">
        <v>0</v>
      </c>
      <c r="VX21">
        <v>0</v>
      </c>
      <c r="VY21">
        <v>0</v>
      </c>
      <c r="VZ21">
        <v>0</v>
      </c>
      <c r="WA21">
        <v>0</v>
      </c>
      <c r="WB21">
        <v>0</v>
      </c>
      <c r="WC21">
        <v>0</v>
      </c>
      <c r="WD21">
        <v>0</v>
      </c>
      <c r="WE21">
        <v>0</v>
      </c>
      <c r="WF21">
        <v>0</v>
      </c>
      <c r="WG21">
        <v>0</v>
      </c>
      <c r="WH21">
        <v>0</v>
      </c>
      <c r="WI21">
        <v>0</v>
      </c>
      <c r="WJ21">
        <v>0</v>
      </c>
      <c r="WK21">
        <v>0</v>
      </c>
      <c r="WL21">
        <v>0</v>
      </c>
      <c r="WM21">
        <v>0</v>
      </c>
      <c r="WN21">
        <v>0</v>
      </c>
      <c r="WO21">
        <v>0</v>
      </c>
      <c r="WP21">
        <v>0</v>
      </c>
      <c r="WQ21">
        <v>0</v>
      </c>
      <c r="WR21">
        <v>0</v>
      </c>
      <c r="WS21">
        <v>0</v>
      </c>
      <c r="WT21">
        <v>0</v>
      </c>
      <c r="WU21">
        <v>0</v>
      </c>
      <c r="WV21">
        <v>0</v>
      </c>
      <c r="WW21">
        <v>0</v>
      </c>
      <c r="WX21">
        <v>0</v>
      </c>
      <c r="WY21">
        <v>0</v>
      </c>
      <c r="WZ21">
        <v>0</v>
      </c>
      <c r="XA21">
        <v>0</v>
      </c>
      <c r="XB21">
        <v>0</v>
      </c>
      <c r="XC21">
        <v>0</v>
      </c>
      <c r="XD21">
        <v>0</v>
      </c>
      <c r="XE21">
        <v>0</v>
      </c>
      <c r="XF21">
        <v>0</v>
      </c>
      <c r="XG21">
        <v>0</v>
      </c>
      <c r="XH21">
        <v>0</v>
      </c>
      <c r="XI21">
        <v>0</v>
      </c>
      <c r="XJ21">
        <v>0</v>
      </c>
      <c r="XK21">
        <v>0</v>
      </c>
      <c r="XL21">
        <v>0</v>
      </c>
      <c r="XM21">
        <v>0</v>
      </c>
      <c r="XN21">
        <v>0</v>
      </c>
      <c r="XO21">
        <v>0</v>
      </c>
      <c r="XP21">
        <v>0</v>
      </c>
      <c r="XQ21">
        <v>0</v>
      </c>
      <c r="XR21">
        <v>0</v>
      </c>
      <c r="XS21">
        <v>0</v>
      </c>
      <c r="XT21">
        <v>0</v>
      </c>
      <c r="XU21">
        <v>0</v>
      </c>
      <c r="XV21">
        <v>0</v>
      </c>
      <c r="XW21">
        <v>0</v>
      </c>
      <c r="XX21">
        <v>0</v>
      </c>
      <c r="XY21">
        <v>0</v>
      </c>
      <c r="XZ21">
        <v>0</v>
      </c>
      <c r="YA21">
        <v>0</v>
      </c>
      <c r="YB21">
        <v>0</v>
      </c>
      <c r="YC21">
        <v>0</v>
      </c>
      <c r="YD21">
        <v>0</v>
      </c>
      <c r="YE21">
        <v>0</v>
      </c>
      <c r="YF21">
        <v>0</v>
      </c>
      <c r="YG21">
        <v>0</v>
      </c>
      <c r="YH21">
        <v>0</v>
      </c>
      <c r="YI21">
        <v>0</v>
      </c>
      <c r="YJ21">
        <v>0</v>
      </c>
      <c r="YK21">
        <v>0</v>
      </c>
      <c r="YL21">
        <v>0</v>
      </c>
      <c r="YM21">
        <v>0</v>
      </c>
      <c r="YN21">
        <v>0</v>
      </c>
      <c r="YO21">
        <v>0</v>
      </c>
      <c r="YP21">
        <v>0</v>
      </c>
      <c r="YQ21">
        <v>0</v>
      </c>
      <c r="YR21">
        <v>0</v>
      </c>
      <c r="YS21">
        <v>0</v>
      </c>
      <c r="YT21">
        <v>0</v>
      </c>
      <c r="YU21">
        <v>0</v>
      </c>
      <c r="YV21">
        <v>0</v>
      </c>
      <c r="YW21">
        <v>0</v>
      </c>
      <c r="YX21">
        <v>0</v>
      </c>
      <c r="YY21">
        <v>0</v>
      </c>
      <c r="YZ21">
        <v>0</v>
      </c>
      <c r="ZA21">
        <v>0</v>
      </c>
      <c r="ZB21">
        <v>0</v>
      </c>
      <c r="ZC21">
        <v>0</v>
      </c>
      <c r="ZD21">
        <v>0</v>
      </c>
      <c r="ZE21">
        <v>0</v>
      </c>
      <c r="ZF21">
        <v>0</v>
      </c>
      <c r="ZG21">
        <v>0</v>
      </c>
      <c r="ZH21">
        <v>0</v>
      </c>
      <c r="ZI21">
        <v>0</v>
      </c>
      <c r="ZJ21">
        <v>0</v>
      </c>
      <c r="ZK21">
        <v>0</v>
      </c>
      <c r="ZL21">
        <v>0</v>
      </c>
      <c r="ZM21">
        <v>0</v>
      </c>
      <c r="ZN21">
        <v>0</v>
      </c>
      <c r="ZO21">
        <v>0</v>
      </c>
      <c r="ZP21">
        <v>0</v>
      </c>
      <c r="ZQ21">
        <v>0</v>
      </c>
      <c r="ZR21">
        <v>0</v>
      </c>
      <c r="ZS21">
        <v>0</v>
      </c>
      <c r="ZT21">
        <v>0</v>
      </c>
      <c r="ZU21">
        <v>0</v>
      </c>
      <c r="ZV21">
        <v>0</v>
      </c>
      <c r="ZW21">
        <v>0</v>
      </c>
      <c r="ZX21">
        <v>0</v>
      </c>
      <c r="ZY21">
        <v>0</v>
      </c>
      <c r="ZZ21">
        <v>0</v>
      </c>
      <c r="AAA21">
        <v>0</v>
      </c>
      <c r="AAB21">
        <v>0</v>
      </c>
      <c r="AAC21">
        <v>0</v>
      </c>
      <c r="AAD21">
        <v>0</v>
      </c>
      <c r="AAE21">
        <v>0</v>
      </c>
      <c r="AAF21">
        <v>0</v>
      </c>
      <c r="AAG21">
        <v>0</v>
      </c>
      <c r="AAH21">
        <v>0</v>
      </c>
      <c r="AAI21">
        <v>0</v>
      </c>
      <c r="AAJ21">
        <v>0</v>
      </c>
      <c r="AAK21">
        <v>0</v>
      </c>
      <c r="AAL21">
        <v>0</v>
      </c>
      <c r="AAM21">
        <v>0</v>
      </c>
      <c r="AAN21">
        <v>0</v>
      </c>
      <c r="AAO21">
        <v>0</v>
      </c>
      <c r="AAP21">
        <v>0</v>
      </c>
      <c r="AAQ21">
        <v>0</v>
      </c>
      <c r="AAR21">
        <v>0</v>
      </c>
      <c r="AAS21">
        <v>0</v>
      </c>
      <c r="AAT21">
        <v>0</v>
      </c>
      <c r="AAU21">
        <v>0</v>
      </c>
      <c r="AAV21">
        <v>0</v>
      </c>
      <c r="AAW21">
        <v>0</v>
      </c>
      <c r="AAX21">
        <v>0</v>
      </c>
      <c r="AAY21">
        <v>0</v>
      </c>
      <c r="AAZ21">
        <v>0</v>
      </c>
      <c r="ABA21">
        <v>0</v>
      </c>
      <c r="ABB21">
        <v>0</v>
      </c>
      <c r="ABC21">
        <v>0</v>
      </c>
      <c r="ABD21">
        <v>0</v>
      </c>
      <c r="ABE21">
        <v>0</v>
      </c>
      <c r="ABF21">
        <v>0</v>
      </c>
      <c r="ABG21">
        <v>0</v>
      </c>
      <c r="ABH21">
        <v>0</v>
      </c>
      <c r="ABI21">
        <v>0</v>
      </c>
      <c r="ABJ21">
        <v>0</v>
      </c>
      <c r="ABK21">
        <v>0</v>
      </c>
      <c r="ABL21">
        <v>0</v>
      </c>
      <c r="ABM21">
        <v>0</v>
      </c>
      <c r="ABN21">
        <v>0</v>
      </c>
      <c r="ABO21">
        <v>0</v>
      </c>
      <c r="ABP21">
        <v>0</v>
      </c>
      <c r="ABQ21">
        <v>0</v>
      </c>
      <c r="ABR21">
        <v>0</v>
      </c>
      <c r="ABS21">
        <v>0</v>
      </c>
      <c r="ABT21">
        <v>0</v>
      </c>
      <c r="ABU21">
        <v>0</v>
      </c>
      <c r="ABV21">
        <v>0</v>
      </c>
      <c r="ABW21">
        <v>0</v>
      </c>
      <c r="ABX21">
        <v>0</v>
      </c>
      <c r="ABY21">
        <v>0</v>
      </c>
      <c r="ABZ21">
        <v>0</v>
      </c>
      <c r="ACA21">
        <v>0</v>
      </c>
      <c r="ACB21">
        <v>0</v>
      </c>
      <c r="ACC21">
        <v>0</v>
      </c>
      <c r="ACD21">
        <v>0</v>
      </c>
      <c r="ACE21">
        <v>0</v>
      </c>
      <c r="ACF21">
        <v>0</v>
      </c>
      <c r="ACG21">
        <v>0</v>
      </c>
      <c r="ACH21">
        <v>0</v>
      </c>
      <c r="ACI21">
        <v>0</v>
      </c>
      <c r="ACJ21">
        <v>0</v>
      </c>
      <c r="ACK21">
        <v>0</v>
      </c>
      <c r="ACL21">
        <v>0</v>
      </c>
      <c r="ACM21">
        <v>0</v>
      </c>
      <c r="ACN21">
        <v>0</v>
      </c>
      <c r="ACO21">
        <v>0</v>
      </c>
      <c r="ACP21">
        <v>0</v>
      </c>
      <c r="ACQ21">
        <v>0</v>
      </c>
      <c r="ACR21">
        <v>0</v>
      </c>
      <c r="ACS21">
        <v>0</v>
      </c>
      <c r="ACT21">
        <v>0</v>
      </c>
      <c r="ACU21">
        <v>0</v>
      </c>
      <c r="ACV21">
        <v>0</v>
      </c>
      <c r="ACW21">
        <v>0</v>
      </c>
      <c r="ACX21">
        <v>0</v>
      </c>
      <c r="ACY21">
        <v>0</v>
      </c>
      <c r="ACZ21">
        <v>0</v>
      </c>
      <c r="ADA21">
        <v>0</v>
      </c>
      <c r="ADB21">
        <v>0</v>
      </c>
      <c r="ADC21">
        <v>0</v>
      </c>
      <c r="ADD21">
        <v>0</v>
      </c>
      <c r="ADE21">
        <v>0</v>
      </c>
      <c r="ADF21">
        <v>0</v>
      </c>
      <c r="ADG21">
        <v>0</v>
      </c>
      <c r="ADH21">
        <v>0</v>
      </c>
      <c r="ADI21">
        <v>0</v>
      </c>
      <c r="ADJ21">
        <v>0</v>
      </c>
      <c r="ADK21">
        <v>0</v>
      </c>
      <c r="ADL21">
        <v>0</v>
      </c>
      <c r="ADM21">
        <v>0</v>
      </c>
      <c r="ADN21">
        <v>0</v>
      </c>
      <c r="ADO21">
        <v>0</v>
      </c>
      <c r="ADP21">
        <v>0</v>
      </c>
      <c r="ADQ21">
        <v>0</v>
      </c>
      <c r="ADR21">
        <v>0</v>
      </c>
      <c r="ADS21">
        <v>0</v>
      </c>
      <c r="ADT21">
        <v>0</v>
      </c>
      <c r="ADU21">
        <v>0</v>
      </c>
      <c r="ADV21">
        <v>0</v>
      </c>
      <c r="ADW21">
        <v>0</v>
      </c>
      <c r="ADX21">
        <v>0</v>
      </c>
      <c r="ADY21">
        <v>0</v>
      </c>
      <c r="ADZ21">
        <v>0</v>
      </c>
      <c r="AEA21">
        <v>0</v>
      </c>
      <c r="AEB21">
        <v>0</v>
      </c>
      <c r="AEC21">
        <v>0</v>
      </c>
      <c r="AED21">
        <v>0</v>
      </c>
      <c r="AEE21">
        <v>0</v>
      </c>
      <c r="AEF21">
        <v>0</v>
      </c>
      <c r="AEG21">
        <v>0</v>
      </c>
      <c r="AEH21">
        <v>0</v>
      </c>
      <c r="AEI21">
        <v>0</v>
      </c>
      <c r="AEJ21">
        <v>0</v>
      </c>
      <c r="AEK21">
        <v>0</v>
      </c>
      <c r="AEL21">
        <v>0</v>
      </c>
      <c r="AEM21">
        <v>0</v>
      </c>
      <c r="AEN21">
        <v>0</v>
      </c>
      <c r="AEO21">
        <v>0</v>
      </c>
      <c r="AEP21">
        <v>0</v>
      </c>
      <c r="AEQ21">
        <v>0</v>
      </c>
      <c r="AER21">
        <v>0</v>
      </c>
      <c r="AES21">
        <v>0</v>
      </c>
      <c r="AET21">
        <v>0</v>
      </c>
      <c r="AEU21">
        <v>0</v>
      </c>
      <c r="AEV21">
        <v>0</v>
      </c>
      <c r="AEW21">
        <v>0</v>
      </c>
      <c r="AEX21">
        <v>0</v>
      </c>
      <c r="AEY21">
        <v>0</v>
      </c>
      <c r="AEZ21">
        <v>0</v>
      </c>
      <c r="AFA21">
        <v>0</v>
      </c>
      <c r="AFB21">
        <v>0</v>
      </c>
      <c r="AFC21">
        <v>0</v>
      </c>
      <c r="AFD21">
        <v>0</v>
      </c>
      <c r="AFE21">
        <v>0</v>
      </c>
      <c r="AFF21">
        <v>0</v>
      </c>
      <c r="AFG21">
        <v>0</v>
      </c>
      <c r="AFH21">
        <v>0</v>
      </c>
      <c r="AFI21">
        <v>0</v>
      </c>
      <c r="AFJ21">
        <v>0</v>
      </c>
      <c r="AFK21">
        <v>0</v>
      </c>
      <c r="AFL21">
        <v>0</v>
      </c>
      <c r="AFM21">
        <v>0</v>
      </c>
      <c r="AFN21">
        <v>0</v>
      </c>
      <c r="AFO21">
        <v>0</v>
      </c>
      <c r="AFP21">
        <v>0</v>
      </c>
      <c r="AFQ21">
        <v>0</v>
      </c>
      <c r="AFR21">
        <v>0</v>
      </c>
      <c r="AFS21">
        <v>0</v>
      </c>
      <c r="AFT21">
        <v>0</v>
      </c>
      <c r="AFU21">
        <v>0</v>
      </c>
      <c r="AFV21">
        <v>0</v>
      </c>
      <c r="AFW21">
        <v>0</v>
      </c>
      <c r="AFX21">
        <v>0</v>
      </c>
      <c r="AFY21">
        <v>0</v>
      </c>
      <c r="AFZ21">
        <v>0</v>
      </c>
      <c r="AGA21">
        <v>0</v>
      </c>
      <c r="AGB21">
        <v>0</v>
      </c>
      <c r="AGC21">
        <v>0</v>
      </c>
      <c r="AGD21">
        <v>0</v>
      </c>
      <c r="AGE21">
        <v>0</v>
      </c>
      <c r="AGF21">
        <v>0</v>
      </c>
      <c r="AGG21">
        <v>0</v>
      </c>
      <c r="AGH21">
        <v>0</v>
      </c>
      <c r="AGI21">
        <v>0</v>
      </c>
      <c r="AGJ21">
        <v>0</v>
      </c>
      <c r="AGK21">
        <v>0</v>
      </c>
      <c r="AGL21">
        <v>0</v>
      </c>
      <c r="AGM21">
        <v>0</v>
      </c>
      <c r="AGN21">
        <v>0</v>
      </c>
      <c r="AGO21">
        <v>0</v>
      </c>
      <c r="AGP21">
        <v>0</v>
      </c>
      <c r="AGQ21">
        <v>0</v>
      </c>
      <c r="AGR21">
        <v>0</v>
      </c>
      <c r="AGS21">
        <v>0</v>
      </c>
      <c r="AGT21">
        <v>0</v>
      </c>
      <c r="AGU21">
        <v>0</v>
      </c>
      <c r="AGV21">
        <v>0</v>
      </c>
      <c r="AGW21">
        <v>0</v>
      </c>
      <c r="AGX21">
        <v>0</v>
      </c>
      <c r="AGY21">
        <v>0</v>
      </c>
      <c r="AGZ21">
        <v>0</v>
      </c>
      <c r="AHA21">
        <v>0</v>
      </c>
      <c r="AHB21">
        <v>0</v>
      </c>
      <c r="AHC21">
        <v>0</v>
      </c>
      <c r="AHD21">
        <v>0</v>
      </c>
      <c r="AHE21">
        <v>0</v>
      </c>
      <c r="AHF21">
        <v>0</v>
      </c>
      <c r="AHG21">
        <v>0</v>
      </c>
      <c r="AHH21">
        <v>0</v>
      </c>
      <c r="AHI21">
        <v>0</v>
      </c>
      <c r="AHJ21">
        <v>0</v>
      </c>
      <c r="AHK21">
        <v>0</v>
      </c>
      <c r="AHL21">
        <v>0</v>
      </c>
      <c r="AHM21">
        <v>0</v>
      </c>
      <c r="AHN21">
        <v>0</v>
      </c>
      <c r="AHO21">
        <v>0</v>
      </c>
      <c r="AHP21">
        <v>0</v>
      </c>
      <c r="AHQ21">
        <v>0</v>
      </c>
      <c r="AHR21">
        <v>0</v>
      </c>
      <c r="AHS21">
        <v>0</v>
      </c>
      <c r="AHT21">
        <v>0</v>
      </c>
      <c r="AHU21">
        <v>0</v>
      </c>
      <c r="AHV21">
        <v>0</v>
      </c>
      <c r="AHW21">
        <v>0</v>
      </c>
      <c r="AHX21">
        <v>0</v>
      </c>
      <c r="AHY21">
        <v>0</v>
      </c>
      <c r="AHZ21">
        <v>0</v>
      </c>
      <c r="AIA21">
        <v>0</v>
      </c>
      <c r="AIB21">
        <v>0</v>
      </c>
      <c r="AIC21">
        <v>0</v>
      </c>
      <c r="AID21">
        <v>0</v>
      </c>
      <c r="AIE21">
        <v>0</v>
      </c>
      <c r="AIF21">
        <v>0</v>
      </c>
      <c r="AIG21">
        <v>0</v>
      </c>
      <c r="AIH21">
        <v>0</v>
      </c>
      <c r="AII21">
        <v>0</v>
      </c>
      <c r="AIJ21">
        <v>0</v>
      </c>
      <c r="AIK21">
        <v>0</v>
      </c>
      <c r="AIL21">
        <v>0</v>
      </c>
      <c r="AIM21">
        <v>0</v>
      </c>
      <c r="AIN21">
        <v>0</v>
      </c>
      <c r="AIO21">
        <v>0</v>
      </c>
      <c r="AIP21">
        <v>0</v>
      </c>
      <c r="AIQ21">
        <v>0</v>
      </c>
      <c r="AIR21">
        <v>0</v>
      </c>
      <c r="AIS21">
        <v>0</v>
      </c>
      <c r="AIT21">
        <v>0</v>
      </c>
      <c r="AIU21">
        <v>0</v>
      </c>
      <c r="AIV21">
        <v>0</v>
      </c>
      <c r="AIW21">
        <v>0</v>
      </c>
      <c r="AIX21">
        <v>0</v>
      </c>
      <c r="AIY21">
        <v>0</v>
      </c>
      <c r="AIZ21">
        <v>0</v>
      </c>
      <c r="AJA21">
        <v>0</v>
      </c>
      <c r="AJB21">
        <v>0</v>
      </c>
      <c r="AJC21">
        <v>0</v>
      </c>
      <c r="AJD21">
        <v>0</v>
      </c>
      <c r="AJE21">
        <v>0</v>
      </c>
      <c r="AJF21">
        <v>0</v>
      </c>
      <c r="AJG21">
        <v>0</v>
      </c>
      <c r="AJH21">
        <v>0</v>
      </c>
      <c r="AJI21">
        <v>0</v>
      </c>
      <c r="AJJ21">
        <v>0</v>
      </c>
      <c r="AJK21">
        <v>0</v>
      </c>
      <c r="AJL21">
        <v>0</v>
      </c>
      <c r="AJM21">
        <v>0</v>
      </c>
      <c r="AJN21">
        <v>0</v>
      </c>
      <c r="AJO21">
        <v>0</v>
      </c>
      <c r="AJP21">
        <v>0</v>
      </c>
      <c r="AJQ21">
        <v>0</v>
      </c>
      <c r="AJR21">
        <v>0</v>
      </c>
      <c r="AJS21">
        <v>0</v>
      </c>
      <c r="AJT21">
        <v>0</v>
      </c>
      <c r="AJU21">
        <v>0</v>
      </c>
      <c r="AJV21">
        <v>0</v>
      </c>
      <c r="AJW21">
        <v>0</v>
      </c>
      <c r="AJX21">
        <v>0</v>
      </c>
      <c r="AJY21">
        <v>0</v>
      </c>
      <c r="AJZ21">
        <v>0</v>
      </c>
      <c r="AKA21">
        <v>0</v>
      </c>
      <c r="AKB21">
        <v>0</v>
      </c>
      <c r="AKC21">
        <v>0</v>
      </c>
      <c r="AKD21">
        <v>0</v>
      </c>
      <c r="AKE21">
        <v>0</v>
      </c>
      <c r="AKF21">
        <v>0</v>
      </c>
      <c r="AKG21">
        <v>0</v>
      </c>
      <c r="AKH21">
        <v>1</v>
      </c>
      <c r="AKI21">
        <v>1</v>
      </c>
      <c r="AKJ21">
        <v>1</v>
      </c>
      <c r="AKK21">
        <v>1</v>
      </c>
      <c r="AKL21">
        <v>1</v>
      </c>
      <c r="AKM21">
        <v>1</v>
      </c>
      <c r="AKN21">
        <v>1</v>
      </c>
      <c r="AKO21">
        <v>1</v>
      </c>
      <c r="AKP21">
        <v>1</v>
      </c>
      <c r="AKQ21">
        <v>1</v>
      </c>
      <c r="AKR21">
        <v>1</v>
      </c>
      <c r="AKS21">
        <v>0</v>
      </c>
      <c r="AKT21">
        <v>0</v>
      </c>
      <c r="AKU21">
        <v>1</v>
      </c>
      <c r="AKV21">
        <v>1</v>
      </c>
      <c r="AKW21">
        <v>1</v>
      </c>
    </row>
    <row r="22" spans="1:985" ht="14.4" customHeight="1" x14ac:dyDescent="0.55000000000000004">
      <c r="A22" t="s">
        <v>33</v>
      </c>
      <c r="B22" t="s">
        <v>618</v>
      </c>
      <c r="C22" s="1" t="s">
        <v>707</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v>1</v>
      </c>
      <c r="AW22">
        <v>1</v>
      </c>
      <c r="AX22">
        <v>1</v>
      </c>
      <c r="AY22">
        <v>1</v>
      </c>
      <c r="AZ22">
        <v>1</v>
      </c>
      <c r="BA22">
        <v>1</v>
      </c>
      <c r="BB22">
        <v>1</v>
      </c>
      <c r="BC22">
        <v>1</v>
      </c>
      <c r="BD22">
        <v>1</v>
      </c>
      <c r="BE22">
        <v>1</v>
      </c>
      <c r="BF22">
        <v>1</v>
      </c>
      <c r="BG22">
        <v>1</v>
      </c>
      <c r="BH22">
        <v>1</v>
      </c>
      <c r="BI22">
        <v>1</v>
      </c>
      <c r="BJ22">
        <v>1</v>
      </c>
      <c r="BK22">
        <v>1</v>
      </c>
      <c r="BL22">
        <v>1</v>
      </c>
      <c r="BM22">
        <v>1</v>
      </c>
      <c r="BN22">
        <v>1</v>
      </c>
      <c r="BO22">
        <v>1</v>
      </c>
      <c r="BP22">
        <v>1</v>
      </c>
      <c r="BQ22">
        <v>1</v>
      </c>
      <c r="BR22">
        <v>1</v>
      </c>
      <c r="BS22">
        <v>1</v>
      </c>
      <c r="BT22">
        <v>1</v>
      </c>
      <c r="BU22">
        <v>1</v>
      </c>
      <c r="BV22">
        <v>1</v>
      </c>
      <c r="BW22">
        <v>1</v>
      </c>
      <c r="BX22">
        <v>1</v>
      </c>
      <c r="BY22">
        <v>1</v>
      </c>
      <c r="BZ22">
        <v>1</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D22">
        <v>0</v>
      </c>
      <c r="HE22">
        <v>0</v>
      </c>
      <c r="HF22">
        <v>0</v>
      </c>
      <c r="HG22">
        <v>0</v>
      </c>
      <c r="HH22">
        <v>0</v>
      </c>
      <c r="HI22">
        <v>0</v>
      </c>
      <c r="HJ22">
        <v>0</v>
      </c>
      <c r="HK22">
        <v>0</v>
      </c>
      <c r="HL22">
        <v>0</v>
      </c>
      <c r="HM22">
        <v>0</v>
      </c>
      <c r="HN22">
        <v>0</v>
      </c>
      <c r="HO22">
        <v>0</v>
      </c>
      <c r="HP22">
        <v>0</v>
      </c>
      <c r="HQ22">
        <v>0</v>
      </c>
      <c r="HR22">
        <v>0</v>
      </c>
      <c r="HS22">
        <v>0</v>
      </c>
      <c r="HT22">
        <v>0</v>
      </c>
      <c r="HU22">
        <v>0</v>
      </c>
      <c r="HV22">
        <v>0</v>
      </c>
      <c r="HW22">
        <v>0</v>
      </c>
      <c r="HX22">
        <v>0</v>
      </c>
      <c r="HY22">
        <v>0</v>
      </c>
      <c r="HZ22">
        <v>0</v>
      </c>
      <c r="IA22">
        <v>0</v>
      </c>
      <c r="IB22">
        <v>0</v>
      </c>
      <c r="IC22">
        <v>0</v>
      </c>
      <c r="ID22">
        <v>0</v>
      </c>
      <c r="IE22">
        <v>0</v>
      </c>
      <c r="IF22">
        <v>0</v>
      </c>
      <c r="IG22">
        <v>0</v>
      </c>
      <c r="IH22">
        <v>0</v>
      </c>
      <c r="II22">
        <v>0</v>
      </c>
      <c r="IJ22">
        <v>0</v>
      </c>
      <c r="IK22">
        <v>0</v>
      </c>
      <c r="IL22">
        <v>0</v>
      </c>
      <c r="IM22">
        <v>0</v>
      </c>
      <c r="IN22">
        <v>0</v>
      </c>
      <c r="IO22">
        <v>0</v>
      </c>
      <c r="IP22">
        <v>0</v>
      </c>
      <c r="IQ22">
        <v>0</v>
      </c>
      <c r="IR22">
        <v>0</v>
      </c>
      <c r="IS22">
        <v>0</v>
      </c>
      <c r="IT22">
        <v>0</v>
      </c>
      <c r="IU22">
        <v>0</v>
      </c>
      <c r="IV22">
        <v>0</v>
      </c>
      <c r="IW22">
        <v>0</v>
      </c>
      <c r="IX22">
        <v>0</v>
      </c>
      <c r="IY22">
        <v>0</v>
      </c>
      <c r="IZ22">
        <v>0</v>
      </c>
      <c r="JA22">
        <v>0</v>
      </c>
      <c r="JB22">
        <v>0</v>
      </c>
      <c r="JC22">
        <v>0</v>
      </c>
      <c r="JD22">
        <v>0</v>
      </c>
      <c r="JE22">
        <v>0</v>
      </c>
      <c r="JF22">
        <v>0</v>
      </c>
      <c r="JG22">
        <v>0</v>
      </c>
      <c r="JH22">
        <v>0</v>
      </c>
      <c r="JI22">
        <v>0</v>
      </c>
      <c r="JJ22">
        <v>0</v>
      </c>
      <c r="JK22">
        <v>0</v>
      </c>
      <c r="JL22">
        <v>0</v>
      </c>
      <c r="JM22">
        <v>0</v>
      </c>
      <c r="JN22">
        <v>0</v>
      </c>
      <c r="JO22">
        <v>0</v>
      </c>
      <c r="JP22">
        <v>0</v>
      </c>
      <c r="JQ22">
        <v>0</v>
      </c>
      <c r="JR22">
        <v>0</v>
      </c>
      <c r="JS22">
        <v>0</v>
      </c>
      <c r="JT22">
        <v>0</v>
      </c>
      <c r="JU22">
        <v>0</v>
      </c>
      <c r="JV22">
        <v>0</v>
      </c>
      <c r="JW22">
        <v>0</v>
      </c>
      <c r="JX22">
        <v>0</v>
      </c>
      <c r="JY22">
        <v>0</v>
      </c>
      <c r="JZ22">
        <v>0</v>
      </c>
      <c r="KA22">
        <v>0</v>
      </c>
      <c r="KB22">
        <v>0</v>
      </c>
      <c r="KC22">
        <v>0</v>
      </c>
      <c r="KD22">
        <v>0</v>
      </c>
      <c r="KE22">
        <v>0</v>
      </c>
      <c r="KF22">
        <v>0</v>
      </c>
      <c r="KG22">
        <v>0</v>
      </c>
      <c r="KH22">
        <v>0</v>
      </c>
      <c r="KI22">
        <v>0</v>
      </c>
      <c r="KJ22">
        <v>0</v>
      </c>
      <c r="KK22">
        <v>0</v>
      </c>
      <c r="KL22">
        <v>0</v>
      </c>
      <c r="KM22">
        <v>0</v>
      </c>
      <c r="KN22">
        <v>0</v>
      </c>
      <c r="KO22">
        <v>0</v>
      </c>
      <c r="KP22">
        <v>0</v>
      </c>
      <c r="KQ22">
        <v>0</v>
      </c>
      <c r="KR22">
        <v>0</v>
      </c>
      <c r="KS22">
        <v>0</v>
      </c>
      <c r="KT22">
        <v>0</v>
      </c>
      <c r="KU22">
        <v>0</v>
      </c>
      <c r="KV22">
        <v>0</v>
      </c>
      <c r="KW22">
        <v>0</v>
      </c>
      <c r="KX22">
        <v>0</v>
      </c>
      <c r="KY22">
        <v>0</v>
      </c>
      <c r="KZ22">
        <v>0</v>
      </c>
      <c r="LA22">
        <v>0</v>
      </c>
      <c r="LB22">
        <v>0</v>
      </c>
      <c r="LC22">
        <v>0</v>
      </c>
      <c r="LD22">
        <v>0</v>
      </c>
      <c r="LE22">
        <v>0</v>
      </c>
      <c r="LF22">
        <v>0</v>
      </c>
      <c r="LG22">
        <v>0</v>
      </c>
      <c r="LH22">
        <v>0</v>
      </c>
      <c r="LI22">
        <v>0</v>
      </c>
      <c r="LJ22">
        <v>0</v>
      </c>
      <c r="LK22">
        <v>0</v>
      </c>
      <c r="LL22">
        <v>0</v>
      </c>
      <c r="LM22">
        <v>0</v>
      </c>
      <c r="LN22">
        <v>0</v>
      </c>
      <c r="LO22">
        <v>0</v>
      </c>
      <c r="LP22">
        <v>0</v>
      </c>
      <c r="LQ22">
        <v>0</v>
      </c>
      <c r="LR22">
        <v>0</v>
      </c>
      <c r="LS22">
        <v>0</v>
      </c>
      <c r="LT22">
        <v>0</v>
      </c>
      <c r="LU22">
        <v>0</v>
      </c>
      <c r="LV22">
        <v>0</v>
      </c>
      <c r="LW22">
        <v>0</v>
      </c>
      <c r="LX22">
        <v>0</v>
      </c>
      <c r="LY22">
        <v>0</v>
      </c>
      <c r="LZ22">
        <v>0</v>
      </c>
      <c r="MA22">
        <v>0</v>
      </c>
      <c r="MB22">
        <v>0</v>
      </c>
      <c r="MC22">
        <v>0</v>
      </c>
      <c r="MD22">
        <v>0</v>
      </c>
      <c r="ME22">
        <v>0</v>
      </c>
      <c r="MF22">
        <v>0</v>
      </c>
      <c r="MG22">
        <v>0</v>
      </c>
      <c r="MH22">
        <v>0</v>
      </c>
      <c r="MI22">
        <v>0</v>
      </c>
      <c r="MJ22">
        <v>0</v>
      </c>
      <c r="MK22">
        <v>0</v>
      </c>
      <c r="ML22">
        <v>0</v>
      </c>
      <c r="MM22">
        <v>0</v>
      </c>
      <c r="MN22">
        <v>0</v>
      </c>
      <c r="MO22">
        <v>0</v>
      </c>
      <c r="MP22">
        <v>0</v>
      </c>
      <c r="MQ22">
        <v>0</v>
      </c>
      <c r="MR22">
        <v>0</v>
      </c>
      <c r="MS22">
        <v>0</v>
      </c>
      <c r="MT22">
        <v>0</v>
      </c>
      <c r="MU22">
        <v>0</v>
      </c>
      <c r="MV22">
        <v>0</v>
      </c>
      <c r="MW22">
        <v>0</v>
      </c>
      <c r="MX22">
        <v>0</v>
      </c>
      <c r="MY22">
        <v>0</v>
      </c>
      <c r="MZ22">
        <v>0</v>
      </c>
      <c r="NA22">
        <v>0</v>
      </c>
      <c r="NB22">
        <v>0</v>
      </c>
      <c r="NC22">
        <v>0</v>
      </c>
      <c r="ND22">
        <v>0</v>
      </c>
      <c r="NE22">
        <v>0</v>
      </c>
      <c r="NF22">
        <v>0</v>
      </c>
      <c r="NG22">
        <v>0</v>
      </c>
      <c r="NH22">
        <v>0</v>
      </c>
      <c r="NI22">
        <v>0</v>
      </c>
      <c r="NJ22">
        <v>0</v>
      </c>
      <c r="NK22">
        <v>0</v>
      </c>
      <c r="NL22">
        <v>0</v>
      </c>
      <c r="NM22">
        <v>0</v>
      </c>
      <c r="NN22">
        <v>0</v>
      </c>
      <c r="NO22">
        <v>0</v>
      </c>
      <c r="NP22">
        <v>0</v>
      </c>
      <c r="NQ22">
        <v>0</v>
      </c>
      <c r="NR22">
        <v>0</v>
      </c>
      <c r="NS22">
        <v>0</v>
      </c>
      <c r="NT22">
        <v>0</v>
      </c>
      <c r="NU22">
        <v>0</v>
      </c>
      <c r="NV22">
        <v>0</v>
      </c>
      <c r="NW22">
        <v>0</v>
      </c>
      <c r="NX22">
        <v>0</v>
      </c>
      <c r="NY22">
        <v>0</v>
      </c>
      <c r="NZ22">
        <v>0</v>
      </c>
      <c r="OA22">
        <v>0</v>
      </c>
      <c r="OB22">
        <v>0</v>
      </c>
      <c r="OC22">
        <v>0</v>
      </c>
      <c r="OD22">
        <v>0</v>
      </c>
      <c r="OE22">
        <v>0</v>
      </c>
      <c r="OF22">
        <v>0</v>
      </c>
      <c r="OG22">
        <v>0</v>
      </c>
      <c r="OH22">
        <v>0</v>
      </c>
      <c r="OI22">
        <v>0</v>
      </c>
      <c r="OJ22">
        <v>0</v>
      </c>
      <c r="OK22">
        <v>0</v>
      </c>
      <c r="OL22">
        <v>0</v>
      </c>
      <c r="OM22">
        <v>0</v>
      </c>
      <c r="ON22">
        <v>0</v>
      </c>
      <c r="OO22">
        <v>0</v>
      </c>
      <c r="OP22">
        <v>0</v>
      </c>
      <c r="OQ22">
        <v>0</v>
      </c>
      <c r="OR22">
        <v>0</v>
      </c>
      <c r="OS22">
        <v>0</v>
      </c>
      <c r="OT22">
        <v>0</v>
      </c>
      <c r="OU22">
        <v>0</v>
      </c>
      <c r="OV22">
        <v>0</v>
      </c>
      <c r="OW22">
        <v>0</v>
      </c>
      <c r="OX22">
        <v>0</v>
      </c>
      <c r="OY22">
        <v>0</v>
      </c>
      <c r="OZ22">
        <v>0</v>
      </c>
      <c r="PA22">
        <v>0</v>
      </c>
      <c r="PB22">
        <v>0</v>
      </c>
      <c r="PC22">
        <v>0</v>
      </c>
      <c r="PD22">
        <v>0</v>
      </c>
      <c r="PE22">
        <v>0</v>
      </c>
      <c r="PF22">
        <v>0</v>
      </c>
      <c r="PG22">
        <v>0</v>
      </c>
      <c r="PH22">
        <v>0</v>
      </c>
      <c r="PI22">
        <v>0</v>
      </c>
      <c r="PJ22">
        <v>0</v>
      </c>
      <c r="PK22">
        <v>0</v>
      </c>
      <c r="PL22">
        <v>0</v>
      </c>
      <c r="PM22">
        <v>0</v>
      </c>
      <c r="PN22">
        <v>0</v>
      </c>
      <c r="PO22">
        <v>0</v>
      </c>
      <c r="PP22">
        <v>0</v>
      </c>
      <c r="PQ22">
        <v>0</v>
      </c>
      <c r="PR22">
        <v>0</v>
      </c>
      <c r="PS22">
        <v>0</v>
      </c>
      <c r="PT22">
        <v>0</v>
      </c>
      <c r="PU22">
        <v>0</v>
      </c>
      <c r="PV22">
        <v>0</v>
      </c>
      <c r="PW22">
        <v>0</v>
      </c>
      <c r="PX22">
        <v>0</v>
      </c>
      <c r="PY22">
        <v>0</v>
      </c>
      <c r="PZ22">
        <v>0</v>
      </c>
      <c r="QA22">
        <v>0</v>
      </c>
      <c r="QB22">
        <v>0</v>
      </c>
      <c r="QC22">
        <v>0</v>
      </c>
      <c r="QD22">
        <v>0</v>
      </c>
      <c r="QE22">
        <v>0</v>
      </c>
      <c r="QF22">
        <v>0</v>
      </c>
      <c r="QG22">
        <v>0</v>
      </c>
      <c r="QH22">
        <v>0</v>
      </c>
      <c r="QI22">
        <v>0</v>
      </c>
      <c r="QJ22">
        <v>0</v>
      </c>
      <c r="QK22">
        <v>0</v>
      </c>
      <c r="QL22">
        <v>0</v>
      </c>
      <c r="QM22">
        <v>0</v>
      </c>
      <c r="QN22">
        <v>0</v>
      </c>
      <c r="QO22">
        <v>0</v>
      </c>
      <c r="QP22">
        <v>0</v>
      </c>
      <c r="QQ22">
        <v>0</v>
      </c>
      <c r="QR22">
        <v>0</v>
      </c>
      <c r="QS22">
        <v>0</v>
      </c>
      <c r="QT22">
        <v>0</v>
      </c>
      <c r="QU22">
        <v>0</v>
      </c>
      <c r="QV22">
        <v>0</v>
      </c>
      <c r="QW22">
        <v>0</v>
      </c>
      <c r="QX22">
        <v>0</v>
      </c>
      <c r="QY22">
        <v>0</v>
      </c>
      <c r="QZ22">
        <v>0</v>
      </c>
      <c r="RA22">
        <v>0</v>
      </c>
      <c r="RB22">
        <v>0</v>
      </c>
      <c r="RC22">
        <v>0</v>
      </c>
      <c r="RD22">
        <v>0</v>
      </c>
      <c r="RE22">
        <v>0</v>
      </c>
      <c r="RF22">
        <v>0</v>
      </c>
      <c r="RG22">
        <v>0</v>
      </c>
      <c r="RH22">
        <v>0</v>
      </c>
      <c r="RI22">
        <v>0</v>
      </c>
      <c r="RJ22">
        <v>0</v>
      </c>
      <c r="RK22">
        <v>0</v>
      </c>
      <c r="RL22">
        <v>0</v>
      </c>
      <c r="RM22">
        <v>0</v>
      </c>
      <c r="RN22">
        <v>0</v>
      </c>
      <c r="RO22">
        <v>0</v>
      </c>
      <c r="RP22">
        <v>0</v>
      </c>
      <c r="RQ22">
        <v>0</v>
      </c>
      <c r="RR22">
        <v>0</v>
      </c>
      <c r="RS22">
        <v>0</v>
      </c>
      <c r="RT22">
        <v>0</v>
      </c>
      <c r="RU22">
        <v>0</v>
      </c>
      <c r="RV22">
        <v>0</v>
      </c>
      <c r="RW22">
        <v>0</v>
      </c>
      <c r="RX22">
        <v>0</v>
      </c>
      <c r="RY22">
        <v>0</v>
      </c>
      <c r="RZ22">
        <v>0</v>
      </c>
      <c r="SA22">
        <v>0</v>
      </c>
      <c r="SB22">
        <v>0</v>
      </c>
      <c r="SC22">
        <v>0</v>
      </c>
      <c r="SD22">
        <v>0</v>
      </c>
      <c r="SE22">
        <v>0</v>
      </c>
      <c r="SF22">
        <v>0</v>
      </c>
      <c r="SG22">
        <v>0</v>
      </c>
      <c r="SH22">
        <v>0</v>
      </c>
      <c r="SI22">
        <v>0</v>
      </c>
      <c r="SJ22">
        <v>0</v>
      </c>
      <c r="SK22">
        <v>0</v>
      </c>
      <c r="SL22">
        <v>0</v>
      </c>
      <c r="SM22">
        <v>0</v>
      </c>
      <c r="SN22">
        <v>0</v>
      </c>
      <c r="SO22">
        <v>0</v>
      </c>
      <c r="SP22">
        <v>0</v>
      </c>
      <c r="SQ22">
        <v>0</v>
      </c>
      <c r="SR22">
        <v>0</v>
      </c>
      <c r="SS22">
        <v>0</v>
      </c>
      <c r="ST22">
        <v>0</v>
      </c>
      <c r="SU22">
        <v>0</v>
      </c>
      <c r="SV22">
        <v>0</v>
      </c>
      <c r="SW22">
        <v>0</v>
      </c>
      <c r="SX22">
        <v>0</v>
      </c>
      <c r="SY22">
        <v>0</v>
      </c>
      <c r="SZ22">
        <v>0</v>
      </c>
      <c r="TA22">
        <v>0</v>
      </c>
      <c r="TB22">
        <v>0</v>
      </c>
      <c r="TC22">
        <v>0</v>
      </c>
      <c r="TD22">
        <v>0</v>
      </c>
      <c r="TE22">
        <v>0</v>
      </c>
      <c r="TF22">
        <v>0</v>
      </c>
      <c r="TG22">
        <v>0</v>
      </c>
      <c r="TH22">
        <v>0</v>
      </c>
      <c r="TI22">
        <v>0</v>
      </c>
      <c r="TJ22">
        <v>0</v>
      </c>
      <c r="TK22">
        <v>0</v>
      </c>
      <c r="TL22">
        <v>0</v>
      </c>
      <c r="TM22">
        <v>0</v>
      </c>
      <c r="TN22">
        <v>0</v>
      </c>
      <c r="TO22">
        <v>0</v>
      </c>
      <c r="TP22">
        <v>0</v>
      </c>
      <c r="TQ22">
        <v>0</v>
      </c>
      <c r="TR22">
        <v>0</v>
      </c>
      <c r="TS22">
        <v>0</v>
      </c>
      <c r="TT22">
        <v>0</v>
      </c>
      <c r="TU22">
        <v>0</v>
      </c>
      <c r="TV22">
        <v>0</v>
      </c>
      <c r="TW22">
        <v>0</v>
      </c>
      <c r="TX22">
        <v>0</v>
      </c>
      <c r="TY22">
        <v>0</v>
      </c>
      <c r="TZ22">
        <v>0</v>
      </c>
      <c r="UA22">
        <v>0</v>
      </c>
      <c r="UB22">
        <v>0</v>
      </c>
      <c r="UC22">
        <v>0</v>
      </c>
      <c r="UD22">
        <v>0</v>
      </c>
      <c r="UE22">
        <v>0</v>
      </c>
      <c r="UF22">
        <v>0</v>
      </c>
      <c r="UG22">
        <v>0</v>
      </c>
      <c r="UH22">
        <v>0</v>
      </c>
      <c r="UI22">
        <v>0</v>
      </c>
      <c r="UJ22">
        <v>0</v>
      </c>
      <c r="UK22">
        <v>0</v>
      </c>
      <c r="UL22">
        <v>0</v>
      </c>
      <c r="UM22">
        <v>0</v>
      </c>
      <c r="UN22">
        <v>0</v>
      </c>
      <c r="UO22">
        <v>0</v>
      </c>
      <c r="UP22">
        <v>0</v>
      </c>
      <c r="UQ22">
        <v>0</v>
      </c>
      <c r="UR22">
        <v>0</v>
      </c>
      <c r="US22">
        <v>0</v>
      </c>
      <c r="UT22">
        <v>0</v>
      </c>
      <c r="UU22">
        <v>0</v>
      </c>
      <c r="UV22">
        <v>0</v>
      </c>
      <c r="UW22">
        <v>0</v>
      </c>
      <c r="UX22">
        <v>0</v>
      </c>
      <c r="UY22">
        <v>0</v>
      </c>
      <c r="UZ22">
        <v>0</v>
      </c>
      <c r="VA22">
        <v>0</v>
      </c>
      <c r="VB22">
        <v>0</v>
      </c>
      <c r="VC22">
        <v>0</v>
      </c>
      <c r="VD22">
        <v>0</v>
      </c>
      <c r="VE22">
        <v>0</v>
      </c>
      <c r="VF22">
        <v>0</v>
      </c>
      <c r="VG22">
        <v>0</v>
      </c>
      <c r="VH22">
        <v>0</v>
      </c>
      <c r="VI22">
        <v>0</v>
      </c>
      <c r="VJ22">
        <v>0</v>
      </c>
      <c r="VK22">
        <v>0</v>
      </c>
      <c r="VL22">
        <v>0</v>
      </c>
      <c r="VM22">
        <v>0</v>
      </c>
      <c r="VN22">
        <v>0</v>
      </c>
      <c r="VO22">
        <v>0</v>
      </c>
      <c r="VP22">
        <v>0</v>
      </c>
      <c r="VQ22">
        <v>0</v>
      </c>
      <c r="VR22">
        <v>0</v>
      </c>
      <c r="VS22">
        <v>0</v>
      </c>
      <c r="VT22">
        <v>0</v>
      </c>
      <c r="VU22">
        <v>0</v>
      </c>
      <c r="VV22">
        <v>0</v>
      </c>
      <c r="VW22">
        <v>0</v>
      </c>
      <c r="VX22">
        <v>0</v>
      </c>
      <c r="VY22">
        <v>0</v>
      </c>
      <c r="VZ22">
        <v>0</v>
      </c>
      <c r="WA22">
        <v>0</v>
      </c>
      <c r="WB22">
        <v>0</v>
      </c>
      <c r="WC22">
        <v>0</v>
      </c>
      <c r="WD22">
        <v>0</v>
      </c>
      <c r="WE22">
        <v>0</v>
      </c>
      <c r="WF22">
        <v>0</v>
      </c>
      <c r="WG22">
        <v>0</v>
      </c>
      <c r="WH22">
        <v>0</v>
      </c>
      <c r="WI22">
        <v>0</v>
      </c>
      <c r="WJ22">
        <v>0</v>
      </c>
      <c r="WK22">
        <v>0</v>
      </c>
      <c r="WL22">
        <v>0</v>
      </c>
      <c r="WM22">
        <v>0</v>
      </c>
      <c r="WN22">
        <v>0</v>
      </c>
      <c r="WO22">
        <v>0</v>
      </c>
      <c r="WP22">
        <v>0</v>
      </c>
      <c r="WQ22">
        <v>0</v>
      </c>
      <c r="WR22">
        <v>0</v>
      </c>
      <c r="WS22">
        <v>0</v>
      </c>
      <c r="WT22">
        <v>0</v>
      </c>
      <c r="WU22">
        <v>0</v>
      </c>
      <c r="WV22">
        <v>0</v>
      </c>
      <c r="WW22">
        <v>0</v>
      </c>
      <c r="WX22">
        <v>0</v>
      </c>
      <c r="WY22">
        <v>0</v>
      </c>
      <c r="WZ22">
        <v>0</v>
      </c>
      <c r="XA22">
        <v>0</v>
      </c>
      <c r="XB22">
        <v>0</v>
      </c>
      <c r="XC22">
        <v>0</v>
      </c>
      <c r="XD22">
        <v>0</v>
      </c>
      <c r="XE22">
        <v>0</v>
      </c>
      <c r="XF22">
        <v>0</v>
      </c>
      <c r="XG22">
        <v>0</v>
      </c>
      <c r="XH22">
        <v>0</v>
      </c>
      <c r="XI22">
        <v>0</v>
      </c>
      <c r="XJ22">
        <v>0</v>
      </c>
      <c r="XK22">
        <v>0</v>
      </c>
      <c r="XL22">
        <v>0</v>
      </c>
      <c r="XM22">
        <v>0</v>
      </c>
      <c r="XN22">
        <v>0</v>
      </c>
      <c r="XO22">
        <v>0</v>
      </c>
      <c r="XP22">
        <v>0</v>
      </c>
      <c r="XQ22">
        <v>0</v>
      </c>
      <c r="XR22">
        <v>0</v>
      </c>
      <c r="XS22">
        <v>0</v>
      </c>
      <c r="XT22">
        <v>0</v>
      </c>
      <c r="XU22">
        <v>0</v>
      </c>
      <c r="XV22">
        <v>0</v>
      </c>
      <c r="XW22">
        <v>0</v>
      </c>
      <c r="XX22">
        <v>0</v>
      </c>
      <c r="XY22">
        <v>0</v>
      </c>
      <c r="XZ22">
        <v>0</v>
      </c>
      <c r="YA22">
        <v>0</v>
      </c>
      <c r="YB22">
        <v>0</v>
      </c>
      <c r="YC22">
        <v>0</v>
      </c>
      <c r="YD22">
        <v>0</v>
      </c>
      <c r="YE22">
        <v>0</v>
      </c>
      <c r="YF22">
        <v>0</v>
      </c>
      <c r="YG22">
        <v>0</v>
      </c>
      <c r="YH22">
        <v>0</v>
      </c>
      <c r="YI22">
        <v>0</v>
      </c>
      <c r="YJ22">
        <v>0</v>
      </c>
      <c r="YK22">
        <v>0</v>
      </c>
      <c r="YL22">
        <v>0</v>
      </c>
      <c r="YM22">
        <v>0</v>
      </c>
      <c r="YN22">
        <v>0</v>
      </c>
      <c r="YO22">
        <v>0</v>
      </c>
      <c r="YP22">
        <v>0</v>
      </c>
      <c r="YQ22">
        <v>0</v>
      </c>
      <c r="YR22">
        <v>0</v>
      </c>
      <c r="YS22">
        <v>0</v>
      </c>
      <c r="YT22">
        <v>0</v>
      </c>
      <c r="YU22">
        <v>0</v>
      </c>
      <c r="YV22">
        <v>0</v>
      </c>
      <c r="YW22">
        <v>0</v>
      </c>
      <c r="YX22">
        <v>0</v>
      </c>
      <c r="YY22">
        <v>0</v>
      </c>
      <c r="YZ22">
        <v>0</v>
      </c>
      <c r="ZA22">
        <v>0</v>
      </c>
      <c r="ZB22">
        <v>0</v>
      </c>
      <c r="ZC22">
        <v>0</v>
      </c>
      <c r="ZD22">
        <v>0</v>
      </c>
      <c r="ZE22">
        <v>0</v>
      </c>
      <c r="ZF22">
        <v>0</v>
      </c>
      <c r="ZG22">
        <v>0</v>
      </c>
      <c r="ZH22">
        <v>0</v>
      </c>
      <c r="ZI22">
        <v>0</v>
      </c>
      <c r="ZJ22">
        <v>0</v>
      </c>
      <c r="ZK22">
        <v>0</v>
      </c>
      <c r="ZL22">
        <v>0</v>
      </c>
      <c r="ZM22">
        <v>0</v>
      </c>
      <c r="ZN22">
        <v>0</v>
      </c>
      <c r="ZO22">
        <v>0</v>
      </c>
      <c r="ZP22">
        <v>0</v>
      </c>
      <c r="ZQ22">
        <v>0</v>
      </c>
      <c r="ZR22">
        <v>0</v>
      </c>
      <c r="ZS22">
        <v>0</v>
      </c>
      <c r="ZT22">
        <v>0</v>
      </c>
      <c r="ZU22">
        <v>0</v>
      </c>
      <c r="ZV22">
        <v>0</v>
      </c>
      <c r="ZW22">
        <v>0</v>
      </c>
      <c r="ZX22">
        <v>0</v>
      </c>
      <c r="ZY22">
        <v>0</v>
      </c>
      <c r="ZZ22">
        <v>0</v>
      </c>
      <c r="AAA22">
        <v>0</v>
      </c>
      <c r="AAB22">
        <v>0</v>
      </c>
      <c r="AAC22">
        <v>0</v>
      </c>
      <c r="AAD22">
        <v>0</v>
      </c>
      <c r="AAE22">
        <v>0</v>
      </c>
      <c r="AAF22">
        <v>0</v>
      </c>
      <c r="AAG22">
        <v>0</v>
      </c>
      <c r="AAH22">
        <v>0</v>
      </c>
      <c r="AAI22">
        <v>0</v>
      </c>
      <c r="AAJ22">
        <v>0</v>
      </c>
      <c r="AAK22">
        <v>0</v>
      </c>
      <c r="AAL22">
        <v>0</v>
      </c>
      <c r="AAM22">
        <v>0</v>
      </c>
      <c r="AAN22">
        <v>0</v>
      </c>
      <c r="AAO22">
        <v>0</v>
      </c>
      <c r="AAP22">
        <v>0</v>
      </c>
      <c r="AAQ22">
        <v>0</v>
      </c>
      <c r="AAR22">
        <v>0</v>
      </c>
      <c r="AAS22">
        <v>0</v>
      </c>
      <c r="AAT22">
        <v>0</v>
      </c>
      <c r="AAU22">
        <v>0</v>
      </c>
      <c r="AAV22">
        <v>0</v>
      </c>
      <c r="AAW22">
        <v>0</v>
      </c>
      <c r="AAX22">
        <v>0</v>
      </c>
      <c r="AAY22">
        <v>0</v>
      </c>
      <c r="AAZ22">
        <v>0</v>
      </c>
      <c r="ABA22">
        <v>0</v>
      </c>
      <c r="ABB22">
        <v>0</v>
      </c>
      <c r="ABC22">
        <v>0</v>
      </c>
      <c r="ABD22">
        <v>0</v>
      </c>
      <c r="ABE22">
        <v>0</v>
      </c>
      <c r="ABF22">
        <v>0</v>
      </c>
      <c r="ABG22">
        <v>0</v>
      </c>
      <c r="ABH22">
        <v>0</v>
      </c>
      <c r="ABI22">
        <v>0</v>
      </c>
      <c r="ABJ22">
        <v>0</v>
      </c>
      <c r="ABK22">
        <v>0</v>
      </c>
      <c r="ABL22">
        <v>0</v>
      </c>
      <c r="ABM22">
        <v>0</v>
      </c>
      <c r="ABN22">
        <v>0</v>
      </c>
      <c r="ABO22">
        <v>0</v>
      </c>
      <c r="ABP22">
        <v>0</v>
      </c>
      <c r="ABQ22">
        <v>0</v>
      </c>
      <c r="ABR22">
        <v>0</v>
      </c>
      <c r="ABS22">
        <v>0</v>
      </c>
      <c r="ABT22">
        <v>0</v>
      </c>
      <c r="ABU22">
        <v>0</v>
      </c>
      <c r="ABV22">
        <v>0</v>
      </c>
      <c r="ABW22">
        <v>0</v>
      </c>
      <c r="ABX22">
        <v>0</v>
      </c>
      <c r="ABY22">
        <v>0</v>
      </c>
      <c r="ABZ22">
        <v>0</v>
      </c>
      <c r="ACA22">
        <v>0</v>
      </c>
      <c r="ACB22">
        <v>0</v>
      </c>
      <c r="ACC22">
        <v>0</v>
      </c>
      <c r="ACD22">
        <v>0</v>
      </c>
      <c r="ACE22">
        <v>0</v>
      </c>
      <c r="ACF22">
        <v>0</v>
      </c>
      <c r="ACG22">
        <v>0</v>
      </c>
      <c r="ACH22">
        <v>0</v>
      </c>
      <c r="ACI22">
        <v>0</v>
      </c>
      <c r="ACJ22">
        <v>0</v>
      </c>
      <c r="ACK22">
        <v>0</v>
      </c>
      <c r="ACL22">
        <v>0</v>
      </c>
      <c r="ACM22">
        <v>0</v>
      </c>
      <c r="ACN22">
        <v>0</v>
      </c>
      <c r="ACO22">
        <v>0</v>
      </c>
      <c r="ACP22">
        <v>0</v>
      </c>
      <c r="ACQ22">
        <v>0</v>
      </c>
      <c r="ACR22">
        <v>0</v>
      </c>
      <c r="ACS22">
        <v>0</v>
      </c>
      <c r="ACT22">
        <v>0</v>
      </c>
      <c r="ACU22">
        <v>0</v>
      </c>
      <c r="ACV22">
        <v>0</v>
      </c>
      <c r="ACW22">
        <v>0</v>
      </c>
      <c r="ACX22">
        <v>0</v>
      </c>
      <c r="ACY22">
        <v>0</v>
      </c>
      <c r="ACZ22">
        <v>0</v>
      </c>
      <c r="ADA22">
        <v>0</v>
      </c>
      <c r="ADB22">
        <v>0</v>
      </c>
      <c r="ADC22">
        <v>0</v>
      </c>
      <c r="ADD22">
        <v>0</v>
      </c>
      <c r="ADE22">
        <v>0</v>
      </c>
      <c r="ADF22">
        <v>0</v>
      </c>
      <c r="ADG22">
        <v>0</v>
      </c>
      <c r="ADH22">
        <v>0</v>
      </c>
      <c r="ADI22">
        <v>0</v>
      </c>
      <c r="ADJ22">
        <v>0</v>
      </c>
      <c r="ADK22">
        <v>0</v>
      </c>
      <c r="ADL22">
        <v>0</v>
      </c>
      <c r="ADM22">
        <v>0</v>
      </c>
      <c r="ADN22">
        <v>0</v>
      </c>
      <c r="ADO22">
        <v>0</v>
      </c>
      <c r="ADP22">
        <v>0</v>
      </c>
      <c r="ADQ22">
        <v>0</v>
      </c>
      <c r="ADR22">
        <v>0</v>
      </c>
      <c r="ADS22">
        <v>0</v>
      </c>
      <c r="ADT22">
        <v>0</v>
      </c>
      <c r="ADU22">
        <v>0</v>
      </c>
      <c r="ADV22">
        <v>0</v>
      </c>
      <c r="ADW22">
        <v>0</v>
      </c>
      <c r="ADX22">
        <v>0</v>
      </c>
      <c r="ADY22">
        <v>0</v>
      </c>
      <c r="ADZ22">
        <v>0</v>
      </c>
      <c r="AEA22">
        <v>0</v>
      </c>
      <c r="AEB22">
        <v>0</v>
      </c>
      <c r="AEC22">
        <v>0</v>
      </c>
      <c r="AED22">
        <v>0</v>
      </c>
      <c r="AEE22">
        <v>0</v>
      </c>
      <c r="AEF22">
        <v>0</v>
      </c>
      <c r="AEG22">
        <v>0</v>
      </c>
      <c r="AEH22">
        <v>0</v>
      </c>
      <c r="AEI22">
        <v>0</v>
      </c>
      <c r="AEJ22">
        <v>0</v>
      </c>
      <c r="AEK22">
        <v>0</v>
      </c>
      <c r="AEL22">
        <v>0</v>
      </c>
      <c r="AEM22">
        <v>0</v>
      </c>
      <c r="AEN22">
        <v>0</v>
      </c>
      <c r="AEO22">
        <v>0</v>
      </c>
      <c r="AEP22">
        <v>0</v>
      </c>
      <c r="AEQ22">
        <v>0</v>
      </c>
      <c r="AER22">
        <v>0</v>
      </c>
      <c r="AES22">
        <v>0</v>
      </c>
      <c r="AET22">
        <v>0</v>
      </c>
      <c r="AEU22">
        <v>0</v>
      </c>
      <c r="AEV22">
        <v>0</v>
      </c>
      <c r="AEW22">
        <v>0</v>
      </c>
      <c r="AEX22">
        <v>0</v>
      </c>
      <c r="AEY22">
        <v>0</v>
      </c>
      <c r="AEZ22">
        <v>0</v>
      </c>
      <c r="AFA22">
        <v>0</v>
      </c>
      <c r="AFB22">
        <v>0</v>
      </c>
      <c r="AFC22">
        <v>0</v>
      </c>
      <c r="AFD22">
        <v>0</v>
      </c>
      <c r="AFE22">
        <v>0</v>
      </c>
      <c r="AFF22">
        <v>0</v>
      </c>
      <c r="AFG22">
        <v>0</v>
      </c>
      <c r="AFH22">
        <v>0</v>
      </c>
      <c r="AFI22">
        <v>0</v>
      </c>
      <c r="AFJ22">
        <v>0</v>
      </c>
      <c r="AFK22">
        <v>0</v>
      </c>
      <c r="AFL22">
        <v>0</v>
      </c>
      <c r="AFM22">
        <v>0</v>
      </c>
      <c r="AFN22">
        <v>0</v>
      </c>
      <c r="AFO22">
        <v>0</v>
      </c>
      <c r="AFP22">
        <v>0</v>
      </c>
      <c r="AFQ22">
        <v>0</v>
      </c>
      <c r="AFR22">
        <v>0</v>
      </c>
      <c r="AFS22">
        <v>0</v>
      </c>
      <c r="AFT22">
        <v>0</v>
      </c>
      <c r="AFU22">
        <v>0</v>
      </c>
      <c r="AFV22">
        <v>0</v>
      </c>
      <c r="AFW22">
        <v>0</v>
      </c>
      <c r="AFX22">
        <v>0</v>
      </c>
      <c r="AFY22">
        <v>0</v>
      </c>
      <c r="AFZ22">
        <v>0</v>
      </c>
      <c r="AGA22">
        <v>0</v>
      </c>
      <c r="AGB22">
        <v>0</v>
      </c>
      <c r="AGC22">
        <v>0</v>
      </c>
      <c r="AGD22">
        <v>0</v>
      </c>
      <c r="AGE22">
        <v>0</v>
      </c>
      <c r="AGF22">
        <v>0</v>
      </c>
      <c r="AGG22">
        <v>0</v>
      </c>
      <c r="AGH22">
        <v>0</v>
      </c>
      <c r="AGI22">
        <v>0</v>
      </c>
      <c r="AGJ22">
        <v>0</v>
      </c>
      <c r="AGK22">
        <v>0</v>
      </c>
      <c r="AGL22">
        <v>0</v>
      </c>
      <c r="AGM22">
        <v>0</v>
      </c>
      <c r="AGN22">
        <v>0</v>
      </c>
      <c r="AGO22">
        <v>0</v>
      </c>
      <c r="AGP22">
        <v>0</v>
      </c>
      <c r="AGQ22">
        <v>0</v>
      </c>
      <c r="AGR22">
        <v>0</v>
      </c>
      <c r="AGS22">
        <v>0</v>
      </c>
      <c r="AGT22">
        <v>0</v>
      </c>
      <c r="AGU22">
        <v>0</v>
      </c>
      <c r="AGV22">
        <v>0</v>
      </c>
      <c r="AGW22">
        <v>0</v>
      </c>
      <c r="AGX22">
        <v>0</v>
      </c>
      <c r="AGY22">
        <v>0</v>
      </c>
      <c r="AGZ22">
        <v>0</v>
      </c>
      <c r="AHA22">
        <v>0</v>
      </c>
      <c r="AHB22">
        <v>0</v>
      </c>
      <c r="AHC22">
        <v>0</v>
      </c>
      <c r="AHD22">
        <v>0</v>
      </c>
      <c r="AHE22">
        <v>0</v>
      </c>
      <c r="AHF22">
        <v>0</v>
      </c>
      <c r="AHG22">
        <v>0</v>
      </c>
      <c r="AHH22">
        <v>0</v>
      </c>
      <c r="AHI22">
        <v>0</v>
      </c>
      <c r="AHJ22">
        <v>0</v>
      </c>
      <c r="AHK22">
        <v>0</v>
      </c>
      <c r="AHL22">
        <v>0</v>
      </c>
      <c r="AHM22">
        <v>0</v>
      </c>
      <c r="AHN22">
        <v>0</v>
      </c>
      <c r="AHO22">
        <v>0</v>
      </c>
      <c r="AHP22">
        <v>0</v>
      </c>
      <c r="AHQ22">
        <v>0</v>
      </c>
      <c r="AHR22">
        <v>0</v>
      </c>
      <c r="AHS22">
        <v>0</v>
      </c>
      <c r="AHT22">
        <v>0</v>
      </c>
      <c r="AHU22">
        <v>0</v>
      </c>
      <c r="AHV22">
        <v>0</v>
      </c>
      <c r="AHW22">
        <v>0</v>
      </c>
      <c r="AHX22">
        <v>0</v>
      </c>
      <c r="AHY22">
        <v>0</v>
      </c>
      <c r="AHZ22">
        <v>0</v>
      </c>
      <c r="AIA22">
        <v>0</v>
      </c>
      <c r="AIB22">
        <v>0</v>
      </c>
      <c r="AIC22">
        <v>0</v>
      </c>
      <c r="AID22">
        <v>0</v>
      </c>
      <c r="AIE22">
        <v>0</v>
      </c>
      <c r="AIF22">
        <v>0</v>
      </c>
      <c r="AIG22">
        <v>0</v>
      </c>
      <c r="AIH22">
        <v>0</v>
      </c>
      <c r="AII22">
        <v>0</v>
      </c>
      <c r="AIJ22">
        <v>0</v>
      </c>
      <c r="AIK22">
        <v>0</v>
      </c>
      <c r="AIL22">
        <v>0</v>
      </c>
      <c r="AIM22">
        <v>0</v>
      </c>
      <c r="AIN22">
        <v>0</v>
      </c>
      <c r="AIO22">
        <v>0</v>
      </c>
      <c r="AIP22">
        <v>0</v>
      </c>
      <c r="AIQ22">
        <v>0</v>
      </c>
      <c r="AIR22">
        <v>0</v>
      </c>
      <c r="AIS22">
        <v>0</v>
      </c>
      <c r="AIT22">
        <v>0</v>
      </c>
      <c r="AIU22">
        <v>0</v>
      </c>
      <c r="AIV22">
        <v>0</v>
      </c>
      <c r="AIW22">
        <v>0</v>
      </c>
      <c r="AIX22">
        <v>0</v>
      </c>
      <c r="AIY22">
        <v>0</v>
      </c>
      <c r="AIZ22">
        <v>0</v>
      </c>
      <c r="AJA22">
        <v>0</v>
      </c>
      <c r="AJB22">
        <v>0</v>
      </c>
      <c r="AJC22">
        <v>0</v>
      </c>
      <c r="AJD22">
        <v>0</v>
      </c>
      <c r="AJE22">
        <v>0</v>
      </c>
      <c r="AJF22">
        <v>0</v>
      </c>
      <c r="AJG22">
        <v>0</v>
      </c>
      <c r="AJH22">
        <v>0</v>
      </c>
      <c r="AJI22">
        <v>0</v>
      </c>
      <c r="AJJ22">
        <v>0</v>
      </c>
      <c r="AJK22">
        <v>0</v>
      </c>
      <c r="AJL22">
        <v>0</v>
      </c>
      <c r="AJM22">
        <v>0</v>
      </c>
      <c r="AJN22">
        <v>0</v>
      </c>
      <c r="AJO22">
        <v>0</v>
      </c>
      <c r="AJP22">
        <v>0</v>
      </c>
      <c r="AJQ22">
        <v>0</v>
      </c>
      <c r="AJR22">
        <v>1</v>
      </c>
      <c r="AJS22">
        <v>1</v>
      </c>
      <c r="AJT22">
        <v>1</v>
      </c>
      <c r="AJU22">
        <v>1</v>
      </c>
      <c r="AJV22">
        <v>1</v>
      </c>
      <c r="AJW22">
        <v>1</v>
      </c>
      <c r="AJX22">
        <v>1</v>
      </c>
      <c r="AJY22">
        <v>1</v>
      </c>
      <c r="AJZ22">
        <v>1</v>
      </c>
      <c r="AKA22">
        <v>1</v>
      </c>
      <c r="AKB22">
        <v>1</v>
      </c>
      <c r="AKC22">
        <v>1</v>
      </c>
      <c r="AKD22">
        <v>1</v>
      </c>
      <c r="AKE22">
        <v>1</v>
      </c>
      <c r="AKF22">
        <v>1</v>
      </c>
      <c r="AKG22">
        <v>1</v>
      </c>
      <c r="AKH22">
        <v>0</v>
      </c>
      <c r="AKI22">
        <v>0</v>
      </c>
      <c r="AKJ22">
        <v>0</v>
      </c>
      <c r="AKK22">
        <v>0</v>
      </c>
      <c r="AKL22">
        <v>0</v>
      </c>
      <c r="AKM22">
        <v>0</v>
      </c>
      <c r="AKN22">
        <v>0</v>
      </c>
      <c r="AKO22">
        <v>0</v>
      </c>
      <c r="AKP22">
        <v>0</v>
      </c>
      <c r="AKQ22">
        <v>0</v>
      </c>
      <c r="AKR22">
        <v>0</v>
      </c>
      <c r="AKS22">
        <v>1</v>
      </c>
      <c r="AKT22">
        <v>1</v>
      </c>
      <c r="AKU22">
        <v>0</v>
      </c>
      <c r="AKV22">
        <v>0</v>
      </c>
      <c r="AKW22">
        <v>0</v>
      </c>
    </row>
    <row r="23" spans="1:985" ht="14.4" customHeight="1" x14ac:dyDescent="0.55000000000000004">
      <c r="A23" t="s">
        <v>66</v>
      </c>
      <c r="B23" t="s">
        <v>619</v>
      </c>
      <c r="C23" s="1" t="s">
        <v>708</v>
      </c>
      <c r="D23">
        <v>4</v>
      </c>
      <c r="E23">
        <v>4</v>
      </c>
      <c r="F23">
        <v>4</v>
      </c>
      <c r="G23">
        <v>4</v>
      </c>
      <c r="H23">
        <v>4</v>
      </c>
      <c r="I23">
        <v>4</v>
      </c>
      <c r="J23">
        <v>4</v>
      </c>
      <c r="K23">
        <v>4</v>
      </c>
      <c r="L23">
        <v>4</v>
      </c>
      <c r="M23">
        <v>4</v>
      </c>
      <c r="N23">
        <v>4</v>
      </c>
      <c r="O23">
        <v>4</v>
      </c>
      <c r="P23">
        <v>4</v>
      </c>
      <c r="Q23">
        <v>4</v>
      </c>
      <c r="R23">
        <v>4</v>
      </c>
      <c r="S23">
        <v>4</v>
      </c>
      <c r="T23">
        <v>4</v>
      </c>
      <c r="U23">
        <v>4</v>
      </c>
      <c r="V23">
        <v>4</v>
      </c>
      <c r="W23">
        <v>4</v>
      </c>
      <c r="X23">
        <v>4</v>
      </c>
      <c r="Y23">
        <v>4</v>
      </c>
      <c r="Z23">
        <v>4</v>
      </c>
      <c r="AA23">
        <v>4</v>
      </c>
      <c r="AB23">
        <v>4</v>
      </c>
      <c r="AC23">
        <v>4</v>
      </c>
      <c r="AD23">
        <v>4</v>
      </c>
      <c r="AE23">
        <v>4</v>
      </c>
      <c r="AF23">
        <v>4</v>
      </c>
      <c r="AG23">
        <v>4</v>
      </c>
      <c r="AH23">
        <v>4</v>
      </c>
      <c r="AI23">
        <v>4</v>
      </c>
      <c r="AJ23">
        <v>4</v>
      </c>
      <c r="AK23">
        <v>4</v>
      </c>
      <c r="AL23">
        <v>4</v>
      </c>
      <c r="AM23">
        <v>4</v>
      </c>
      <c r="AN23">
        <v>4</v>
      </c>
      <c r="AO23">
        <v>4</v>
      </c>
      <c r="AP23">
        <v>4</v>
      </c>
      <c r="AQ23">
        <v>4</v>
      </c>
      <c r="AR23">
        <v>4</v>
      </c>
      <c r="AS23">
        <v>9</v>
      </c>
      <c r="AT23">
        <v>9</v>
      </c>
      <c r="AU23">
        <v>9</v>
      </c>
      <c r="AV23">
        <v>9</v>
      </c>
      <c r="AW23">
        <v>9</v>
      </c>
      <c r="AX23">
        <v>9</v>
      </c>
      <c r="AY23">
        <v>9</v>
      </c>
      <c r="AZ23">
        <v>9</v>
      </c>
      <c r="BA23">
        <v>9</v>
      </c>
      <c r="BB23">
        <v>9</v>
      </c>
      <c r="BC23">
        <v>9</v>
      </c>
      <c r="BD23">
        <v>9</v>
      </c>
      <c r="BE23">
        <v>9</v>
      </c>
      <c r="BF23">
        <v>9</v>
      </c>
      <c r="BG23">
        <v>4</v>
      </c>
      <c r="BH23">
        <v>4</v>
      </c>
      <c r="BI23">
        <v>4</v>
      </c>
      <c r="BJ23">
        <v>4</v>
      </c>
      <c r="BK23">
        <v>4</v>
      </c>
      <c r="BL23">
        <v>4</v>
      </c>
      <c r="BM23">
        <v>4</v>
      </c>
      <c r="BN23">
        <v>9</v>
      </c>
      <c r="BO23">
        <v>9</v>
      </c>
      <c r="BP23">
        <v>9</v>
      </c>
      <c r="BQ23">
        <v>4</v>
      </c>
      <c r="BR23">
        <v>4</v>
      </c>
      <c r="BS23">
        <v>4</v>
      </c>
      <c r="BT23">
        <v>4</v>
      </c>
      <c r="BU23">
        <v>4</v>
      </c>
      <c r="BV23">
        <v>4</v>
      </c>
      <c r="BW23">
        <v>4</v>
      </c>
      <c r="BX23">
        <v>9</v>
      </c>
      <c r="BY23">
        <v>9</v>
      </c>
      <c r="BZ23">
        <v>9</v>
      </c>
    </row>
    <row r="24" spans="1:985" ht="14.4" customHeight="1" x14ac:dyDescent="0.55000000000000004">
      <c r="A24" t="s">
        <v>503</v>
      </c>
      <c r="B24" t="s">
        <v>619</v>
      </c>
      <c r="C24" s="1" t="s">
        <v>709</v>
      </c>
      <c r="AKH24">
        <v>3</v>
      </c>
      <c r="AKI24">
        <v>3</v>
      </c>
      <c r="AKJ24">
        <v>1</v>
      </c>
      <c r="AKK24">
        <v>1</v>
      </c>
      <c r="AKL24">
        <v>1</v>
      </c>
      <c r="AKM24">
        <v>1</v>
      </c>
      <c r="AKN24">
        <v>3.1</v>
      </c>
      <c r="AKO24">
        <v>3.1</v>
      </c>
      <c r="AKP24">
        <v>3.1</v>
      </c>
      <c r="AKQ24">
        <v>3.1</v>
      </c>
      <c r="AKR24">
        <v>3.1</v>
      </c>
      <c r="AKU24">
        <v>3.1</v>
      </c>
      <c r="AKV24">
        <v>3.1</v>
      </c>
      <c r="AKW24">
        <v>3.1</v>
      </c>
    </row>
    <row r="25" spans="1:985" ht="14.4" customHeight="1" x14ac:dyDescent="0.55000000000000004">
      <c r="A25" t="s">
        <v>94</v>
      </c>
      <c r="B25" t="s">
        <v>521</v>
      </c>
      <c r="C25" s="1" t="s">
        <v>710</v>
      </c>
      <c r="D25" t="s">
        <v>39</v>
      </c>
      <c r="E25" t="s">
        <v>39</v>
      </c>
      <c r="F25" t="s">
        <v>39</v>
      </c>
      <c r="G25" t="s">
        <v>39</v>
      </c>
      <c r="H25" t="s">
        <v>39</v>
      </c>
      <c r="I25" t="s">
        <v>39</v>
      </c>
      <c r="J25" t="s">
        <v>39</v>
      </c>
      <c r="K25" t="s">
        <v>39</v>
      </c>
      <c r="L25" t="s">
        <v>39</v>
      </c>
      <c r="M25" t="s">
        <v>39</v>
      </c>
      <c r="N25" t="s">
        <v>39</v>
      </c>
      <c r="O25" t="s">
        <v>39</v>
      </c>
      <c r="P25" t="s">
        <v>39</v>
      </c>
      <c r="Q25" t="s">
        <v>39</v>
      </c>
      <c r="R25" t="s">
        <v>39</v>
      </c>
      <c r="S25" t="s">
        <v>39</v>
      </c>
      <c r="T25" t="s">
        <v>39</v>
      </c>
      <c r="U25" t="s">
        <v>39</v>
      </c>
      <c r="V25" t="s">
        <v>39</v>
      </c>
      <c r="W25" t="s">
        <v>39</v>
      </c>
      <c r="X25" t="s">
        <v>39</v>
      </c>
      <c r="Y25" t="s">
        <v>39</v>
      </c>
      <c r="Z25" t="s">
        <v>39</v>
      </c>
      <c r="AA25" t="s">
        <v>39</v>
      </c>
      <c r="AB25" t="s">
        <v>39</v>
      </c>
      <c r="AC25" t="s">
        <v>39</v>
      </c>
      <c r="AD25" t="s">
        <v>39</v>
      </c>
      <c r="AE25" t="s">
        <v>39</v>
      </c>
      <c r="AF25" t="s">
        <v>39</v>
      </c>
      <c r="AG25" t="s">
        <v>39</v>
      </c>
      <c r="AH25" t="s">
        <v>39</v>
      </c>
      <c r="AI25" t="s">
        <v>39</v>
      </c>
      <c r="AJ25" t="s">
        <v>39</v>
      </c>
      <c r="AK25" t="s">
        <v>39</v>
      </c>
      <c r="AL25" t="s">
        <v>39</v>
      </c>
      <c r="AM25" t="s">
        <v>39</v>
      </c>
      <c r="AN25" t="s">
        <v>39</v>
      </c>
      <c r="AO25" t="s">
        <v>39</v>
      </c>
      <c r="AP25" t="s">
        <v>39</v>
      </c>
      <c r="AQ25" t="s">
        <v>39</v>
      </c>
      <c r="AR25" t="s">
        <v>39</v>
      </c>
      <c r="AS25" t="s">
        <v>39</v>
      </c>
      <c r="AT25" t="s">
        <v>39</v>
      </c>
      <c r="AU25" t="s">
        <v>39</v>
      </c>
      <c r="AV25" t="s">
        <v>39</v>
      </c>
      <c r="AW25" t="s">
        <v>39</v>
      </c>
      <c r="AX25" t="s">
        <v>39</v>
      </c>
      <c r="AY25" t="s">
        <v>39</v>
      </c>
      <c r="AZ25" t="s">
        <v>39</v>
      </c>
      <c r="BA25" t="s">
        <v>39</v>
      </c>
      <c r="BB25" t="s">
        <v>39</v>
      </c>
      <c r="BC25" t="s">
        <v>39</v>
      </c>
      <c r="BD25" t="s">
        <v>39</v>
      </c>
      <c r="BE25" t="s">
        <v>39</v>
      </c>
      <c r="BF25" t="s">
        <v>39</v>
      </c>
      <c r="BG25" t="s">
        <v>54</v>
      </c>
      <c r="BH25" t="s">
        <v>54</v>
      </c>
      <c r="BI25" t="s">
        <v>54</v>
      </c>
      <c r="BJ25" t="s">
        <v>54</v>
      </c>
      <c r="BK25" t="s">
        <v>54</v>
      </c>
      <c r="BL25" t="s">
        <v>54</v>
      </c>
      <c r="BM25" t="s">
        <v>54</v>
      </c>
      <c r="BN25" t="s">
        <v>54</v>
      </c>
      <c r="BO25" t="s">
        <v>54</v>
      </c>
      <c r="BP25" t="s">
        <v>54</v>
      </c>
      <c r="BQ25" t="s">
        <v>73</v>
      </c>
      <c r="BR25" t="s">
        <v>73</v>
      </c>
      <c r="BS25" t="s">
        <v>73</v>
      </c>
      <c r="BT25" t="s">
        <v>73</v>
      </c>
      <c r="BU25" t="s">
        <v>73</v>
      </c>
      <c r="BV25" t="s">
        <v>73</v>
      </c>
      <c r="BW25" t="s">
        <v>73</v>
      </c>
      <c r="BX25" t="s">
        <v>73</v>
      </c>
      <c r="BY25" t="s">
        <v>73</v>
      </c>
      <c r="BZ25" t="s">
        <v>73</v>
      </c>
      <c r="CA25" t="s">
        <v>91</v>
      </c>
      <c r="CB25" t="s">
        <v>91</v>
      </c>
      <c r="CC25" t="s">
        <v>91</v>
      </c>
      <c r="CD25" t="s">
        <v>91</v>
      </c>
      <c r="CE25" t="s">
        <v>91</v>
      </c>
      <c r="CF25" t="s">
        <v>91</v>
      </c>
      <c r="CG25" t="s">
        <v>91</v>
      </c>
      <c r="CH25" t="s">
        <v>91</v>
      </c>
      <c r="CI25" t="s">
        <v>91</v>
      </c>
      <c r="CJ25" t="s">
        <v>91</v>
      </c>
      <c r="CK25" t="s">
        <v>91</v>
      </c>
      <c r="CL25" t="s">
        <v>91</v>
      </c>
      <c r="CM25" t="s">
        <v>91</v>
      </c>
      <c r="CN25" t="s">
        <v>91</v>
      </c>
      <c r="CO25" t="s">
        <v>91</v>
      </c>
      <c r="CP25" t="s">
        <v>91</v>
      </c>
      <c r="CQ25" t="s">
        <v>91</v>
      </c>
      <c r="CR25" t="s">
        <v>91</v>
      </c>
      <c r="CS25" t="s">
        <v>91</v>
      </c>
      <c r="CT25" t="s">
        <v>91</v>
      </c>
      <c r="CU25" t="s">
        <v>91</v>
      </c>
      <c r="CV25" t="s">
        <v>91</v>
      </c>
      <c r="CW25" t="s">
        <v>91</v>
      </c>
      <c r="CX25" t="s">
        <v>91</v>
      </c>
      <c r="CY25" t="s">
        <v>91</v>
      </c>
      <c r="CZ25" t="s">
        <v>91</v>
      </c>
      <c r="DA25" t="s">
        <v>91</v>
      </c>
      <c r="DB25" t="s">
        <v>91</v>
      </c>
      <c r="DC25" t="s">
        <v>91</v>
      </c>
      <c r="DD25" t="s">
        <v>91</v>
      </c>
      <c r="DE25" t="s">
        <v>91</v>
      </c>
      <c r="DF25" t="s">
        <v>91</v>
      </c>
      <c r="DG25" t="s">
        <v>91</v>
      </c>
      <c r="DH25" t="s">
        <v>91</v>
      </c>
      <c r="DI25" t="s">
        <v>91</v>
      </c>
      <c r="DJ25" t="s">
        <v>91</v>
      </c>
      <c r="DK25" t="s">
        <v>91</v>
      </c>
      <c r="DL25" t="s">
        <v>91</v>
      </c>
      <c r="DM25" t="s">
        <v>91</v>
      </c>
      <c r="DN25" t="s">
        <v>91</v>
      </c>
      <c r="DO25" t="s">
        <v>91</v>
      </c>
      <c r="DP25" t="s">
        <v>91</v>
      </c>
      <c r="DQ25" t="s">
        <v>91</v>
      </c>
      <c r="DR25" t="s">
        <v>91</v>
      </c>
      <c r="DS25" t="s">
        <v>91</v>
      </c>
      <c r="DT25" t="s">
        <v>91</v>
      </c>
      <c r="DU25" t="s">
        <v>91</v>
      </c>
      <c r="DV25" t="s">
        <v>91</v>
      </c>
      <c r="DW25" t="s">
        <v>91</v>
      </c>
      <c r="DX25" t="s">
        <v>91</v>
      </c>
      <c r="DY25" t="s">
        <v>91</v>
      </c>
      <c r="DZ25" t="s">
        <v>91</v>
      </c>
      <c r="EA25" t="s">
        <v>91</v>
      </c>
      <c r="EB25" t="s">
        <v>91</v>
      </c>
      <c r="EC25" t="s">
        <v>91</v>
      </c>
      <c r="ED25" t="s">
        <v>91</v>
      </c>
      <c r="EE25" t="s">
        <v>91</v>
      </c>
      <c r="EF25" t="s">
        <v>91</v>
      </c>
      <c r="EG25" t="s">
        <v>91</v>
      </c>
      <c r="EH25" t="s">
        <v>91</v>
      </c>
      <c r="EI25" t="s">
        <v>91</v>
      </c>
      <c r="EJ25" t="s">
        <v>91</v>
      </c>
      <c r="EK25" t="s">
        <v>91</v>
      </c>
      <c r="EL25" t="s">
        <v>91</v>
      </c>
      <c r="EM25" t="s">
        <v>91</v>
      </c>
      <c r="EN25" t="s">
        <v>91</v>
      </c>
      <c r="EO25" t="s">
        <v>91</v>
      </c>
      <c r="EP25" t="s">
        <v>91</v>
      </c>
      <c r="EQ25" t="s">
        <v>91</v>
      </c>
      <c r="ER25" t="s">
        <v>91</v>
      </c>
      <c r="ES25" t="s">
        <v>91</v>
      </c>
      <c r="ET25" t="s">
        <v>91</v>
      </c>
      <c r="EU25" t="s">
        <v>91</v>
      </c>
      <c r="EV25" t="s">
        <v>91</v>
      </c>
      <c r="EW25" t="s">
        <v>91</v>
      </c>
      <c r="EX25" t="s">
        <v>91</v>
      </c>
      <c r="EY25" t="s">
        <v>91</v>
      </c>
      <c r="EZ25" t="s">
        <v>91</v>
      </c>
      <c r="FA25" t="s">
        <v>91</v>
      </c>
      <c r="FB25" t="s">
        <v>91</v>
      </c>
      <c r="FC25" t="s">
        <v>91</v>
      </c>
      <c r="FD25" t="s">
        <v>91</v>
      </c>
      <c r="FE25" t="s">
        <v>91</v>
      </c>
      <c r="FF25" t="s">
        <v>91</v>
      </c>
      <c r="FG25" t="s">
        <v>91</v>
      </c>
      <c r="FH25" t="s">
        <v>91</v>
      </c>
      <c r="FI25" t="s">
        <v>91</v>
      </c>
      <c r="FJ25" t="s">
        <v>91</v>
      </c>
      <c r="FK25" t="s">
        <v>91</v>
      </c>
      <c r="FL25" t="s">
        <v>91</v>
      </c>
      <c r="FM25" t="s">
        <v>91</v>
      </c>
      <c r="FN25" t="s">
        <v>91</v>
      </c>
      <c r="FO25" t="s">
        <v>91</v>
      </c>
      <c r="FP25" t="s">
        <v>91</v>
      </c>
      <c r="FQ25" t="s">
        <v>91</v>
      </c>
      <c r="FR25" t="s">
        <v>91</v>
      </c>
      <c r="FS25" t="s">
        <v>91</v>
      </c>
      <c r="FT25" t="s">
        <v>91</v>
      </c>
      <c r="FU25" t="s">
        <v>91</v>
      </c>
      <c r="FV25" t="s">
        <v>91</v>
      </c>
      <c r="FW25" t="s">
        <v>91</v>
      </c>
      <c r="FX25" t="s">
        <v>91</v>
      </c>
      <c r="FY25" t="s">
        <v>91</v>
      </c>
      <c r="FZ25" t="s">
        <v>91</v>
      </c>
      <c r="GA25" t="s">
        <v>91</v>
      </c>
      <c r="GB25" t="s">
        <v>91</v>
      </c>
      <c r="GC25" t="s">
        <v>91</v>
      </c>
      <c r="GD25" t="s">
        <v>91</v>
      </c>
      <c r="GE25" t="s">
        <v>91</v>
      </c>
      <c r="GF25" t="s">
        <v>91</v>
      </c>
      <c r="GG25" t="s">
        <v>91</v>
      </c>
      <c r="GH25" t="s">
        <v>91</v>
      </c>
      <c r="GI25" t="s">
        <v>91</v>
      </c>
      <c r="GJ25" t="s">
        <v>91</v>
      </c>
      <c r="GK25" t="s">
        <v>91</v>
      </c>
      <c r="GL25" t="s">
        <v>91</v>
      </c>
      <c r="GM25" t="s">
        <v>91</v>
      </c>
      <c r="GN25" t="s">
        <v>91</v>
      </c>
      <c r="GO25" t="s">
        <v>91</v>
      </c>
      <c r="GP25" t="s">
        <v>91</v>
      </c>
      <c r="GQ25" t="s">
        <v>91</v>
      </c>
      <c r="GR25" t="s">
        <v>91</v>
      </c>
      <c r="GS25" t="s">
        <v>91</v>
      </c>
      <c r="GT25" t="s">
        <v>91</v>
      </c>
      <c r="GU25" t="s">
        <v>91</v>
      </c>
      <c r="GV25" t="s">
        <v>91</v>
      </c>
      <c r="GW25" t="s">
        <v>91</v>
      </c>
      <c r="GX25" t="s">
        <v>91</v>
      </c>
      <c r="GY25" t="s">
        <v>91</v>
      </c>
      <c r="GZ25" t="s">
        <v>91</v>
      </c>
      <c r="HA25" t="s">
        <v>91</v>
      </c>
      <c r="HB25" t="s">
        <v>91</v>
      </c>
      <c r="HC25" t="s">
        <v>91</v>
      </c>
      <c r="HD25" t="s">
        <v>91</v>
      </c>
      <c r="HE25" t="s">
        <v>91</v>
      </c>
      <c r="HF25" t="s">
        <v>91</v>
      </c>
      <c r="HG25" t="s">
        <v>91</v>
      </c>
      <c r="HH25" t="s">
        <v>91</v>
      </c>
      <c r="HI25" t="s">
        <v>91</v>
      </c>
      <c r="HJ25" t="s">
        <v>91</v>
      </c>
      <c r="HK25" t="s">
        <v>91</v>
      </c>
      <c r="HL25" t="s">
        <v>91</v>
      </c>
      <c r="HM25" t="s">
        <v>91</v>
      </c>
      <c r="HN25" t="s">
        <v>91</v>
      </c>
      <c r="HO25" t="s">
        <v>91</v>
      </c>
      <c r="HP25" t="s">
        <v>91</v>
      </c>
      <c r="HQ25" t="s">
        <v>91</v>
      </c>
      <c r="HR25" t="s">
        <v>91</v>
      </c>
      <c r="HS25" t="s">
        <v>91</v>
      </c>
      <c r="HT25" t="s">
        <v>91</v>
      </c>
      <c r="HU25" t="s">
        <v>91</v>
      </c>
      <c r="HV25" t="s">
        <v>91</v>
      </c>
      <c r="HW25" t="s">
        <v>91</v>
      </c>
      <c r="HX25" t="s">
        <v>91</v>
      </c>
      <c r="HY25" t="s">
        <v>91</v>
      </c>
      <c r="HZ25" t="s">
        <v>91</v>
      </c>
      <c r="IA25" t="s">
        <v>91</v>
      </c>
      <c r="IB25" t="s">
        <v>91</v>
      </c>
      <c r="IC25" t="s">
        <v>91</v>
      </c>
      <c r="ID25" t="s">
        <v>233</v>
      </c>
      <c r="IE25" t="s">
        <v>234</v>
      </c>
      <c r="IF25" t="s">
        <v>235</v>
      </c>
      <c r="IG25" t="s">
        <v>236</v>
      </c>
      <c r="IH25" t="s">
        <v>237</v>
      </c>
      <c r="II25" t="s">
        <v>238</v>
      </c>
      <c r="IJ25" t="s">
        <v>239</v>
      </c>
      <c r="IK25" t="s">
        <v>240</v>
      </c>
      <c r="IL25" t="s">
        <v>241</v>
      </c>
      <c r="IM25" t="s">
        <v>242</v>
      </c>
      <c r="IN25" t="s">
        <v>243</v>
      </c>
      <c r="IO25" t="s">
        <v>244</v>
      </c>
      <c r="IP25" t="s">
        <v>245</v>
      </c>
      <c r="IQ25" t="s">
        <v>246</v>
      </c>
      <c r="IR25" t="s">
        <v>247</v>
      </c>
      <c r="IS25" t="s">
        <v>248</v>
      </c>
      <c r="IT25" t="s">
        <v>249</v>
      </c>
      <c r="IU25" t="s">
        <v>250</v>
      </c>
      <c r="IV25" t="s">
        <v>251</v>
      </c>
      <c r="IW25" t="s">
        <v>252</v>
      </c>
      <c r="IX25" t="s">
        <v>91</v>
      </c>
      <c r="IY25" t="s">
        <v>91</v>
      </c>
      <c r="IZ25" t="s">
        <v>91</v>
      </c>
      <c r="JA25" t="s">
        <v>91</v>
      </c>
      <c r="JB25" t="s">
        <v>91</v>
      </c>
      <c r="JC25" t="s">
        <v>91</v>
      </c>
      <c r="JD25" t="s">
        <v>91</v>
      </c>
      <c r="JE25" t="s">
        <v>91</v>
      </c>
      <c r="JF25" t="s">
        <v>91</v>
      </c>
      <c r="JG25" t="s">
        <v>91</v>
      </c>
      <c r="JH25" t="s">
        <v>91</v>
      </c>
      <c r="JI25" t="s">
        <v>91</v>
      </c>
      <c r="JJ25" t="s">
        <v>91</v>
      </c>
      <c r="JK25" t="s">
        <v>91</v>
      </c>
      <c r="JL25" t="s">
        <v>91</v>
      </c>
      <c r="JM25" t="s">
        <v>91</v>
      </c>
      <c r="JN25" t="s">
        <v>91</v>
      </c>
      <c r="JO25" t="s">
        <v>91</v>
      </c>
      <c r="JP25" t="s">
        <v>91</v>
      </c>
      <c r="JQ25" t="s">
        <v>91</v>
      </c>
      <c r="JR25" t="s">
        <v>91</v>
      </c>
      <c r="JS25" t="s">
        <v>91</v>
      </c>
      <c r="JT25" t="s">
        <v>91</v>
      </c>
      <c r="JU25" t="s">
        <v>91</v>
      </c>
      <c r="JV25" t="s">
        <v>91</v>
      </c>
      <c r="JW25" t="s">
        <v>91</v>
      </c>
      <c r="JX25" t="s">
        <v>91</v>
      </c>
      <c r="JY25" t="s">
        <v>91</v>
      </c>
      <c r="JZ25" t="s">
        <v>91</v>
      </c>
      <c r="KA25" t="s">
        <v>91</v>
      </c>
      <c r="KB25" t="s">
        <v>91</v>
      </c>
      <c r="KC25" t="s">
        <v>91</v>
      </c>
      <c r="KD25" t="s">
        <v>91</v>
      </c>
      <c r="KE25" t="s">
        <v>91</v>
      </c>
      <c r="KF25" t="s">
        <v>91</v>
      </c>
      <c r="KG25" t="s">
        <v>91</v>
      </c>
      <c r="KH25" t="s">
        <v>91</v>
      </c>
      <c r="KI25" t="s">
        <v>91</v>
      </c>
      <c r="KJ25" t="s">
        <v>91</v>
      </c>
      <c r="KK25" t="s">
        <v>91</v>
      </c>
      <c r="KL25" t="s">
        <v>91</v>
      </c>
      <c r="KM25" t="s">
        <v>91</v>
      </c>
      <c r="KN25" t="s">
        <v>91</v>
      </c>
      <c r="KO25" t="s">
        <v>91</v>
      </c>
      <c r="KP25" t="s">
        <v>91</v>
      </c>
      <c r="KQ25" t="s">
        <v>91</v>
      </c>
      <c r="KR25" t="s">
        <v>91</v>
      </c>
      <c r="KS25" t="s">
        <v>91</v>
      </c>
      <c r="KT25" t="s">
        <v>91</v>
      </c>
      <c r="KU25" t="s">
        <v>91</v>
      </c>
      <c r="KV25" t="s">
        <v>91</v>
      </c>
      <c r="KW25" t="s">
        <v>91</v>
      </c>
      <c r="KX25" t="s">
        <v>91</v>
      </c>
      <c r="KY25" t="s">
        <v>233</v>
      </c>
      <c r="KZ25" t="s">
        <v>234</v>
      </c>
      <c r="LA25" t="s">
        <v>235</v>
      </c>
      <c r="LB25" t="s">
        <v>236</v>
      </c>
      <c r="LC25" t="s">
        <v>237</v>
      </c>
      <c r="LD25" t="s">
        <v>238</v>
      </c>
      <c r="LE25" t="s">
        <v>239</v>
      </c>
      <c r="LF25" t="s">
        <v>240</v>
      </c>
      <c r="LG25" t="s">
        <v>241</v>
      </c>
      <c r="LH25" t="s">
        <v>242</v>
      </c>
      <c r="LI25" t="s">
        <v>243</v>
      </c>
      <c r="LJ25" t="s">
        <v>244</v>
      </c>
      <c r="LK25" t="s">
        <v>245</v>
      </c>
      <c r="LL25" t="s">
        <v>246</v>
      </c>
      <c r="LM25" t="s">
        <v>247</v>
      </c>
      <c r="LN25" t="s">
        <v>248</v>
      </c>
      <c r="LO25" t="s">
        <v>249</v>
      </c>
      <c r="LP25" t="s">
        <v>250</v>
      </c>
      <c r="LQ25" t="s">
        <v>251</v>
      </c>
      <c r="LR25" t="s">
        <v>252</v>
      </c>
      <c r="LS25" t="s">
        <v>253</v>
      </c>
      <c r="LT25" t="s">
        <v>254</v>
      </c>
      <c r="LU25" t="s">
        <v>255</v>
      </c>
      <c r="LV25" t="s">
        <v>256</v>
      </c>
      <c r="LW25" t="s">
        <v>257</v>
      </c>
      <c r="LX25" t="s">
        <v>258</v>
      </c>
      <c r="LY25" t="s">
        <v>259</v>
      </c>
      <c r="LZ25" t="s">
        <v>260</v>
      </c>
      <c r="MA25" t="s">
        <v>261</v>
      </c>
      <c r="MB25" t="s">
        <v>262</v>
      </c>
      <c r="MC25" t="s">
        <v>263</v>
      </c>
      <c r="MD25" t="s">
        <v>264</v>
      </c>
      <c r="ME25" t="s">
        <v>265</v>
      </c>
      <c r="MF25" t="s">
        <v>266</v>
      </c>
      <c r="MG25" t="s">
        <v>91</v>
      </c>
      <c r="MH25" t="s">
        <v>91</v>
      </c>
      <c r="MI25" t="s">
        <v>91</v>
      </c>
      <c r="MJ25" t="s">
        <v>91</v>
      </c>
      <c r="MK25" t="s">
        <v>91</v>
      </c>
      <c r="ML25" t="s">
        <v>91</v>
      </c>
      <c r="MM25" t="s">
        <v>91</v>
      </c>
      <c r="MN25" t="s">
        <v>91</v>
      </c>
      <c r="MO25" t="s">
        <v>91</v>
      </c>
      <c r="MP25" t="s">
        <v>91</v>
      </c>
      <c r="MQ25" t="s">
        <v>91</v>
      </c>
      <c r="MR25" t="s">
        <v>91</v>
      </c>
      <c r="MS25" t="s">
        <v>91</v>
      </c>
      <c r="MT25" t="s">
        <v>91</v>
      </c>
      <c r="MU25" t="s">
        <v>91</v>
      </c>
      <c r="MV25" t="s">
        <v>91</v>
      </c>
      <c r="MW25" t="s">
        <v>91</v>
      </c>
      <c r="MX25" t="s">
        <v>91</v>
      </c>
      <c r="MY25" t="s">
        <v>91</v>
      </c>
      <c r="MZ25" t="s">
        <v>91</v>
      </c>
      <c r="NA25" t="s">
        <v>91</v>
      </c>
      <c r="NB25" t="s">
        <v>91</v>
      </c>
      <c r="NC25" t="s">
        <v>91</v>
      </c>
      <c r="ND25" t="s">
        <v>91</v>
      </c>
      <c r="NE25" t="s">
        <v>91</v>
      </c>
      <c r="NF25" t="s">
        <v>91</v>
      </c>
      <c r="NG25" t="s">
        <v>91</v>
      </c>
      <c r="NH25" t="s">
        <v>91</v>
      </c>
      <c r="NI25" t="s">
        <v>91</v>
      </c>
      <c r="NJ25" t="s">
        <v>91</v>
      </c>
      <c r="NK25" t="s">
        <v>91</v>
      </c>
      <c r="NL25" t="s">
        <v>91</v>
      </c>
      <c r="NM25" t="s">
        <v>91</v>
      </c>
      <c r="NN25" t="s">
        <v>91</v>
      </c>
      <c r="NO25" t="s">
        <v>91</v>
      </c>
      <c r="NP25" t="s">
        <v>91</v>
      </c>
      <c r="NQ25" t="s">
        <v>91</v>
      </c>
      <c r="NR25" t="s">
        <v>91</v>
      </c>
      <c r="NS25" t="s">
        <v>91</v>
      </c>
      <c r="NT25" t="s">
        <v>91</v>
      </c>
      <c r="NU25" t="s">
        <v>91</v>
      </c>
      <c r="NV25" t="s">
        <v>91</v>
      </c>
      <c r="NW25" t="s">
        <v>91</v>
      </c>
      <c r="NX25" t="s">
        <v>91</v>
      </c>
      <c r="NY25" t="s">
        <v>91</v>
      </c>
      <c r="NZ25" t="s">
        <v>91</v>
      </c>
      <c r="OA25" t="s">
        <v>91</v>
      </c>
      <c r="OB25" t="s">
        <v>91</v>
      </c>
      <c r="OC25" t="s">
        <v>91</v>
      </c>
      <c r="OD25" t="s">
        <v>91</v>
      </c>
      <c r="OE25" t="s">
        <v>91</v>
      </c>
      <c r="OF25" t="s">
        <v>91</v>
      </c>
      <c r="OG25" t="s">
        <v>91</v>
      </c>
      <c r="OH25" t="s">
        <v>233</v>
      </c>
      <c r="OI25" t="s">
        <v>234</v>
      </c>
      <c r="OJ25" t="s">
        <v>235</v>
      </c>
      <c r="OK25" t="s">
        <v>236</v>
      </c>
      <c r="OL25" t="s">
        <v>237</v>
      </c>
      <c r="OM25" t="s">
        <v>238</v>
      </c>
      <c r="ON25" t="s">
        <v>239</v>
      </c>
      <c r="OO25" t="s">
        <v>240</v>
      </c>
      <c r="OP25" t="s">
        <v>241</v>
      </c>
      <c r="OQ25" t="s">
        <v>242</v>
      </c>
      <c r="OR25" t="s">
        <v>243</v>
      </c>
      <c r="OS25" t="s">
        <v>244</v>
      </c>
      <c r="OT25" t="s">
        <v>245</v>
      </c>
      <c r="OU25" t="s">
        <v>246</v>
      </c>
      <c r="OV25" t="s">
        <v>247</v>
      </c>
      <c r="OW25" t="s">
        <v>248</v>
      </c>
      <c r="OX25" t="s">
        <v>249</v>
      </c>
      <c r="OY25" t="s">
        <v>250</v>
      </c>
      <c r="OZ25" t="s">
        <v>251</v>
      </c>
      <c r="PA25" t="s">
        <v>252</v>
      </c>
      <c r="PB25" t="s">
        <v>253</v>
      </c>
      <c r="PC25" t="s">
        <v>254</v>
      </c>
      <c r="PD25" t="s">
        <v>255</v>
      </c>
      <c r="PE25" t="s">
        <v>256</v>
      </c>
      <c r="PF25" t="s">
        <v>257</v>
      </c>
      <c r="PG25" t="s">
        <v>258</v>
      </c>
      <c r="PH25" t="s">
        <v>259</v>
      </c>
      <c r="PI25" t="s">
        <v>260</v>
      </c>
      <c r="PJ25" t="s">
        <v>261</v>
      </c>
      <c r="PK25" t="s">
        <v>262</v>
      </c>
      <c r="PL25" t="s">
        <v>263</v>
      </c>
      <c r="PM25" t="s">
        <v>264</v>
      </c>
      <c r="PN25" t="s">
        <v>265</v>
      </c>
      <c r="PO25" t="s">
        <v>266</v>
      </c>
      <c r="PP25" t="s">
        <v>91</v>
      </c>
      <c r="PQ25" t="s">
        <v>91</v>
      </c>
      <c r="PR25" t="s">
        <v>91</v>
      </c>
      <c r="PS25" t="s">
        <v>91</v>
      </c>
      <c r="PT25" t="s">
        <v>91</v>
      </c>
      <c r="PU25" t="s">
        <v>91</v>
      </c>
      <c r="PV25" t="s">
        <v>91</v>
      </c>
      <c r="PW25" t="s">
        <v>91</v>
      </c>
      <c r="PX25" t="s">
        <v>91</v>
      </c>
      <c r="PY25" t="s">
        <v>91</v>
      </c>
      <c r="PZ25" t="s">
        <v>91</v>
      </c>
      <c r="QA25" t="s">
        <v>91</v>
      </c>
      <c r="QB25" t="s">
        <v>91</v>
      </c>
      <c r="QC25" t="s">
        <v>91</v>
      </c>
      <c r="QD25" t="s">
        <v>91</v>
      </c>
      <c r="QE25" t="s">
        <v>91</v>
      </c>
      <c r="QF25" t="s">
        <v>91</v>
      </c>
      <c r="QG25" t="s">
        <v>91</v>
      </c>
      <c r="QH25" t="s">
        <v>91</v>
      </c>
      <c r="QI25" t="s">
        <v>91</v>
      </c>
      <c r="QJ25" t="s">
        <v>91</v>
      </c>
      <c r="QK25" t="s">
        <v>91</v>
      </c>
      <c r="QL25" t="s">
        <v>91</v>
      </c>
      <c r="QM25" t="s">
        <v>91</v>
      </c>
      <c r="QN25" t="s">
        <v>91</v>
      </c>
      <c r="QO25" t="s">
        <v>91</v>
      </c>
      <c r="QP25" t="s">
        <v>91</v>
      </c>
      <c r="QQ25" t="s">
        <v>91</v>
      </c>
      <c r="QR25" t="s">
        <v>91</v>
      </c>
      <c r="QS25" t="s">
        <v>91</v>
      </c>
      <c r="QT25" t="s">
        <v>91</v>
      </c>
      <c r="QU25" t="s">
        <v>91</v>
      </c>
      <c r="QV25" t="s">
        <v>91</v>
      </c>
      <c r="QW25" t="s">
        <v>91</v>
      </c>
      <c r="QX25" t="s">
        <v>91</v>
      </c>
      <c r="QY25" t="s">
        <v>91</v>
      </c>
      <c r="QZ25" t="s">
        <v>91</v>
      </c>
      <c r="RA25" t="s">
        <v>91</v>
      </c>
      <c r="RB25" t="s">
        <v>91</v>
      </c>
      <c r="RC25" t="s">
        <v>91</v>
      </c>
      <c r="RD25" t="s">
        <v>91</v>
      </c>
      <c r="RE25" t="s">
        <v>91</v>
      </c>
      <c r="RF25" t="s">
        <v>91</v>
      </c>
      <c r="RG25" t="s">
        <v>91</v>
      </c>
      <c r="RH25" t="s">
        <v>91</v>
      </c>
      <c r="RI25" t="s">
        <v>91</v>
      </c>
      <c r="RJ25" t="s">
        <v>91</v>
      </c>
      <c r="RK25" t="s">
        <v>91</v>
      </c>
      <c r="RL25" t="s">
        <v>91</v>
      </c>
      <c r="RM25" t="s">
        <v>91</v>
      </c>
      <c r="RN25" t="s">
        <v>91</v>
      </c>
      <c r="RO25" t="s">
        <v>91</v>
      </c>
      <c r="RP25" t="s">
        <v>91</v>
      </c>
      <c r="RQ25" t="s">
        <v>233</v>
      </c>
      <c r="RR25" t="s">
        <v>234</v>
      </c>
      <c r="RS25" t="s">
        <v>235</v>
      </c>
      <c r="RT25" t="s">
        <v>236</v>
      </c>
      <c r="RU25" t="s">
        <v>237</v>
      </c>
      <c r="RV25" t="s">
        <v>238</v>
      </c>
      <c r="RW25" t="s">
        <v>239</v>
      </c>
      <c r="RX25" t="s">
        <v>240</v>
      </c>
      <c r="RY25" t="s">
        <v>241</v>
      </c>
      <c r="RZ25" t="s">
        <v>242</v>
      </c>
      <c r="SA25" t="s">
        <v>243</v>
      </c>
      <c r="SB25" t="s">
        <v>244</v>
      </c>
      <c r="SC25" t="s">
        <v>245</v>
      </c>
      <c r="SD25" t="s">
        <v>246</v>
      </c>
      <c r="SE25" t="s">
        <v>247</v>
      </c>
      <c r="SF25" t="s">
        <v>248</v>
      </c>
      <c r="SG25" t="s">
        <v>249</v>
      </c>
      <c r="SH25" t="s">
        <v>250</v>
      </c>
      <c r="SI25" t="s">
        <v>251</v>
      </c>
      <c r="SJ25" t="s">
        <v>252</v>
      </c>
      <c r="SK25" t="s">
        <v>253</v>
      </c>
      <c r="SL25" t="s">
        <v>254</v>
      </c>
      <c r="SM25" t="s">
        <v>255</v>
      </c>
      <c r="SN25" t="s">
        <v>256</v>
      </c>
      <c r="SO25" t="s">
        <v>257</v>
      </c>
      <c r="SP25" t="s">
        <v>258</v>
      </c>
      <c r="SQ25" t="s">
        <v>259</v>
      </c>
      <c r="SR25" t="s">
        <v>260</v>
      </c>
      <c r="SS25" t="s">
        <v>261</v>
      </c>
      <c r="ST25" t="s">
        <v>262</v>
      </c>
      <c r="SU25" t="s">
        <v>263</v>
      </c>
      <c r="SV25" t="s">
        <v>264</v>
      </c>
      <c r="SW25" t="s">
        <v>265</v>
      </c>
      <c r="SX25" t="s">
        <v>266</v>
      </c>
      <c r="SY25" t="s">
        <v>91</v>
      </c>
      <c r="SZ25" t="s">
        <v>91</v>
      </c>
      <c r="TA25" t="s">
        <v>91</v>
      </c>
      <c r="TB25" t="s">
        <v>91</v>
      </c>
      <c r="TC25" t="s">
        <v>91</v>
      </c>
      <c r="TD25" t="s">
        <v>91</v>
      </c>
      <c r="TE25" t="s">
        <v>91</v>
      </c>
      <c r="TF25" t="s">
        <v>91</v>
      </c>
      <c r="TG25" t="s">
        <v>91</v>
      </c>
      <c r="TH25" t="s">
        <v>91</v>
      </c>
      <c r="TI25" t="s">
        <v>91</v>
      </c>
      <c r="TJ25" t="s">
        <v>91</v>
      </c>
      <c r="TK25" t="s">
        <v>91</v>
      </c>
      <c r="TL25" t="s">
        <v>91</v>
      </c>
      <c r="TM25" t="s">
        <v>91</v>
      </c>
      <c r="TN25" t="s">
        <v>91</v>
      </c>
      <c r="TO25" t="s">
        <v>91</v>
      </c>
      <c r="TP25" t="s">
        <v>91</v>
      </c>
      <c r="TQ25" t="s">
        <v>91</v>
      </c>
      <c r="TR25" t="s">
        <v>91</v>
      </c>
      <c r="TS25" t="s">
        <v>91</v>
      </c>
      <c r="TT25" t="s">
        <v>91</v>
      </c>
      <c r="TU25" t="s">
        <v>91</v>
      </c>
      <c r="TV25" t="s">
        <v>91</v>
      </c>
      <c r="TW25" t="s">
        <v>91</v>
      </c>
      <c r="TX25" t="s">
        <v>91</v>
      </c>
      <c r="TY25" t="s">
        <v>91</v>
      </c>
      <c r="TZ25" t="s">
        <v>91</v>
      </c>
      <c r="UA25" t="s">
        <v>91</v>
      </c>
      <c r="UB25" t="s">
        <v>91</v>
      </c>
      <c r="UC25" t="s">
        <v>91</v>
      </c>
      <c r="UD25" t="s">
        <v>91</v>
      </c>
      <c r="UE25" t="s">
        <v>91</v>
      </c>
      <c r="UF25" t="s">
        <v>91</v>
      </c>
      <c r="UG25" t="s">
        <v>91</v>
      </c>
      <c r="UH25" t="s">
        <v>91</v>
      </c>
      <c r="UI25" t="s">
        <v>91</v>
      </c>
      <c r="UJ25" t="s">
        <v>91</v>
      </c>
      <c r="UK25" t="s">
        <v>91</v>
      </c>
      <c r="UL25" t="s">
        <v>91</v>
      </c>
      <c r="UM25" t="s">
        <v>91</v>
      </c>
      <c r="UN25" t="s">
        <v>91</v>
      </c>
      <c r="UO25" t="s">
        <v>91</v>
      </c>
      <c r="UP25" t="s">
        <v>91</v>
      </c>
      <c r="UQ25" t="s">
        <v>91</v>
      </c>
      <c r="UR25" t="s">
        <v>91</v>
      </c>
      <c r="US25" t="s">
        <v>91</v>
      </c>
      <c r="UT25" t="s">
        <v>91</v>
      </c>
      <c r="UU25" t="s">
        <v>91</v>
      </c>
      <c r="UV25" t="s">
        <v>91</v>
      </c>
      <c r="UW25" t="s">
        <v>91</v>
      </c>
      <c r="UX25" t="s">
        <v>91</v>
      </c>
      <c r="UY25" t="s">
        <v>91</v>
      </c>
      <c r="UZ25" t="s">
        <v>233</v>
      </c>
      <c r="VA25" t="s">
        <v>234</v>
      </c>
      <c r="VB25" t="s">
        <v>235</v>
      </c>
      <c r="VC25" t="s">
        <v>236</v>
      </c>
      <c r="VD25" t="s">
        <v>237</v>
      </c>
      <c r="VE25" t="s">
        <v>238</v>
      </c>
      <c r="VF25" t="s">
        <v>239</v>
      </c>
      <c r="VG25" t="s">
        <v>240</v>
      </c>
      <c r="VH25" t="s">
        <v>241</v>
      </c>
      <c r="VI25" t="s">
        <v>242</v>
      </c>
      <c r="VJ25" t="s">
        <v>243</v>
      </c>
      <c r="VK25" t="s">
        <v>244</v>
      </c>
      <c r="VL25" t="s">
        <v>245</v>
      </c>
      <c r="VM25" t="s">
        <v>246</v>
      </c>
      <c r="VN25" t="s">
        <v>247</v>
      </c>
      <c r="VO25" t="s">
        <v>248</v>
      </c>
      <c r="VP25" t="s">
        <v>249</v>
      </c>
      <c r="VQ25" t="s">
        <v>250</v>
      </c>
      <c r="VR25" t="s">
        <v>251</v>
      </c>
      <c r="VS25" t="s">
        <v>252</v>
      </c>
      <c r="VT25" t="s">
        <v>253</v>
      </c>
      <c r="VU25" t="s">
        <v>254</v>
      </c>
      <c r="VV25" t="s">
        <v>255</v>
      </c>
      <c r="VW25" t="s">
        <v>256</v>
      </c>
      <c r="VX25" t="s">
        <v>257</v>
      </c>
      <c r="VY25" t="s">
        <v>258</v>
      </c>
      <c r="VZ25" t="s">
        <v>259</v>
      </c>
      <c r="WA25" t="s">
        <v>260</v>
      </c>
      <c r="WB25" t="s">
        <v>261</v>
      </c>
      <c r="WC25" t="s">
        <v>262</v>
      </c>
      <c r="WD25" t="s">
        <v>263</v>
      </c>
      <c r="WE25" t="s">
        <v>264</v>
      </c>
      <c r="WF25" t="s">
        <v>265</v>
      </c>
      <c r="WG25" t="s">
        <v>266</v>
      </c>
      <c r="WH25" t="s">
        <v>91</v>
      </c>
      <c r="WI25" t="s">
        <v>91</v>
      </c>
      <c r="WJ25" t="s">
        <v>91</v>
      </c>
      <c r="WK25" t="s">
        <v>91</v>
      </c>
      <c r="WL25" t="s">
        <v>91</v>
      </c>
      <c r="WM25" t="s">
        <v>91</v>
      </c>
      <c r="WN25" t="s">
        <v>91</v>
      </c>
      <c r="WO25" t="s">
        <v>91</v>
      </c>
      <c r="WP25" t="s">
        <v>91</v>
      </c>
      <c r="WQ25" t="s">
        <v>91</v>
      </c>
      <c r="WR25" t="s">
        <v>91</v>
      </c>
      <c r="WS25" t="s">
        <v>91</v>
      </c>
      <c r="WT25" t="s">
        <v>91</v>
      </c>
      <c r="WU25" t="s">
        <v>91</v>
      </c>
      <c r="WV25" t="s">
        <v>91</v>
      </c>
      <c r="WW25" t="s">
        <v>91</v>
      </c>
      <c r="WX25" t="s">
        <v>91</v>
      </c>
      <c r="WY25" t="s">
        <v>91</v>
      </c>
      <c r="WZ25" t="s">
        <v>91</v>
      </c>
      <c r="XA25" t="s">
        <v>91</v>
      </c>
      <c r="XB25" t="s">
        <v>91</v>
      </c>
      <c r="XC25" t="s">
        <v>91</v>
      </c>
      <c r="XD25" t="s">
        <v>91</v>
      </c>
      <c r="XE25" t="s">
        <v>91</v>
      </c>
      <c r="XF25" t="s">
        <v>91</v>
      </c>
      <c r="XG25" t="s">
        <v>91</v>
      </c>
      <c r="XH25" t="s">
        <v>91</v>
      </c>
      <c r="XI25" t="s">
        <v>91</v>
      </c>
      <c r="XJ25" t="s">
        <v>91</v>
      </c>
      <c r="XK25" t="s">
        <v>91</v>
      </c>
      <c r="XL25" t="s">
        <v>91</v>
      </c>
      <c r="XM25" t="s">
        <v>91</v>
      </c>
      <c r="XN25" t="s">
        <v>91</v>
      </c>
      <c r="XO25" t="s">
        <v>91</v>
      </c>
      <c r="XP25" t="s">
        <v>91</v>
      </c>
      <c r="XQ25" t="s">
        <v>91</v>
      </c>
      <c r="XR25" t="s">
        <v>91</v>
      </c>
      <c r="XS25" t="s">
        <v>91</v>
      </c>
      <c r="XT25" t="s">
        <v>91</v>
      </c>
      <c r="XU25" t="s">
        <v>91</v>
      </c>
      <c r="XV25" t="s">
        <v>91</v>
      </c>
      <c r="XW25" t="s">
        <v>91</v>
      </c>
      <c r="XX25" t="s">
        <v>91</v>
      </c>
      <c r="XY25" t="s">
        <v>91</v>
      </c>
      <c r="XZ25" t="s">
        <v>91</v>
      </c>
      <c r="YA25" t="s">
        <v>91</v>
      </c>
      <c r="YB25" t="s">
        <v>91</v>
      </c>
      <c r="YC25" t="s">
        <v>91</v>
      </c>
      <c r="YD25" t="s">
        <v>91</v>
      </c>
      <c r="YE25" t="s">
        <v>91</v>
      </c>
      <c r="YF25" t="s">
        <v>91</v>
      </c>
      <c r="YG25" t="s">
        <v>91</v>
      </c>
      <c r="YH25" t="s">
        <v>91</v>
      </c>
      <c r="YI25" t="s">
        <v>233</v>
      </c>
      <c r="YJ25" t="s">
        <v>234</v>
      </c>
      <c r="YK25" t="s">
        <v>235</v>
      </c>
      <c r="YL25" t="s">
        <v>236</v>
      </c>
      <c r="YM25" t="s">
        <v>237</v>
      </c>
      <c r="YN25" t="s">
        <v>238</v>
      </c>
      <c r="YO25" t="s">
        <v>239</v>
      </c>
      <c r="YP25" t="s">
        <v>240</v>
      </c>
      <c r="YQ25" t="s">
        <v>241</v>
      </c>
      <c r="YR25" t="s">
        <v>242</v>
      </c>
      <c r="YS25" t="s">
        <v>243</v>
      </c>
      <c r="YT25" t="s">
        <v>244</v>
      </c>
      <c r="YU25" t="s">
        <v>245</v>
      </c>
      <c r="YV25" t="s">
        <v>246</v>
      </c>
      <c r="YW25" t="s">
        <v>247</v>
      </c>
      <c r="YX25" t="s">
        <v>248</v>
      </c>
      <c r="YY25" t="s">
        <v>249</v>
      </c>
      <c r="YZ25" t="s">
        <v>250</v>
      </c>
      <c r="ZA25" t="s">
        <v>251</v>
      </c>
      <c r="ZB25" t="s">
        <v>252</v>
      </c>
      <c r="ZC25" t="s">
        <v>253</v>
      </c>
      <c r="ZD25" t="s">
        <v>254</v>
      </c>
      <c r="ZE25" t="s">
        <v>255</v>
      </c>
      <c r="ZF25" t="s">
        <v>256</v>
      </c>
      <c r="ZG25" t="s">
        <v>257</v>
      </c>
      <c r="ZH25" t="s">
        <v>258</v>
      </c>
      <c r="ZI25" t="s">
        <v>259</v>
      </c>
      <c r="ZJ25" t="s">
        <v>260</v>
      </c>
      <c r="ZK25" t="s">
        <v>261</v>
      </c>
      <c r="ZL25" t="s">
        <v>262</v>
      </c>
      <c r="ZM25" t="s">
        <v>263</v>
      </c>
      <c r="ZN25" t="s">
        <v>264</v>
      </c>
      <c r="ZO25" t="s">
        <v>265</v>
      </c>
      <c r="ZP25" t="s">
        <v>266</v>
      </c>
      <c r="ZQ25" t="s">
        <v>182</v>
      </c>
      <c r="ZR25" t="s">
        <v>183</v>
      </c>
      <c r="ZS25" t="s">
        <v>184</v>
      </c>
      <c r="ZT25" t="s">
        <v>185</v>
      </c>
      <c r="ZU25" t="s">
        <v>186</v>
      </c>
      <c r="ZV25" t="s">
        <v>187</v>
      </c>
      <c r="ZW25" t="s">
        <v>188</v>
      </c>
      <c r="ZX25" t="s">
        <v>189</v>
      </c>
      <c r="ZY25" t="s">
        <v>190</v>
      </c>
      <c r="ZZ25" t="s">
        <v>191</v>
      </c>
      <c r="AAA25" t="s">
        <v>192</v>
      </c>
      <c r="AAB25" t="s">
        <v>193</v>
      </c>
      <c r="AAC25" t="s">
        <v>194</v>
      </c>
      <c r="AAD25" t="s">
        <v>195</v>
      </c>
      <c r="AAE25" t="s">
        <v>196</v>
      </c>
      <c r="AAF25" t="s">
        <v>197</v>
      </c>
      <c r="AAG25" t="s">
        <v>198</v>
      </c>
      <c r="AAH25" t="s">
        <v>199</v>
      </c>
      <c r="AAI25" t="s">
        <v>200</v>
      </c>
      <c r="AAJ25" t="s">
        <v>201</v>
      </c>
      <c r="AAK25" t="s">
        <v>202</v>
      </c>
      <c r="AAL25" t="s">
        <v>203</v>
      </c>
      <c r="AAM25" t="s">
        <v>204</v>
      </c>
      <c r="AAN25" t="s">
        <v>205</v>
      </c>
      <c r="AAO25" t="s">
        <v>206</v>
      </c>
      <c r="AAP25" t="s">
        <v>207</v>
      </c>
      <c r="AAQ25" t="s">
        <v>208</v>
      </c>
      <c r="AAR25" t="s">
        <v>209</v>
      </c>
      <c r="AAS25" t="s">
        <v>210</v>
      </c>
      <c r="AAT25" t="s">
        <v>211</v>
      </c>
      <c r="AAU25" t="s">
        <v>212</v>
      </c>
      <c r="AAV25" t="s">
        <v>213</v>
      </c>
      <c r="AAW25" t="s">
        <v>214</v>
      </c>
      <c r="AAX25" t="s">
        <v>215</v>
      </c>
      <c r="AAY25" t="s">
        <v>215</v>
      </c>
      <c r="AAZ25" t="s">
        <v>216</v>
      </c>
      <c r="ABA25" t="s">
        <v>217</v>
      </c>
      <c r="ABB25" t="s">
        <v>218</v>
      </c>
      <c r="ABC25" t="s">
        <v>219</v>
      </c>
      <c r="ABD25" t="s">
        <v>219</v>
      </c>
      <c r="ABE25" t="s">
        <v>220</v>
      </c>
      <c r="ABF25" t="s">
        <v>221</v>
      </c>
      <c r="ABG25" t="s">
        <v>222</v>
      </c>
      <c r="ABH25" t="s">
        <v>223</v>
      </c>
      <c r="ABI25" t="s">
        <v>224</v>
      </c>
      <c r="ABJ25" t="s">
        <v>225</v>
      </c>
      <c r="ABK25" t="s">
        <v>226</v>
      </c>
      <c r="ABL25" t="s">
        <v>227</v>
      </c>
      <c r="ABM25" t="s">
        <v>228</v>
      </c>
      <c r="ABN25" t="s">
        <v>229</v>
      </c>
      <c r="ABO25" t="s">
        <v>230</v>
      </c>
      <c r="ABP25" t="s">
        <v>231</v>
      </c>
      <c r="ABQ25" t="s">
        <v>232</v>
      </c>
      <c r="ABR25" t="s">
        <v>233</v>
      </c>
      <c r="ABS25" t="s">
        <v>234</v>
      </c>
      <c r="ABT25" t="s">
        <v>235</v>
      </c>
      <c r="ABU25" t="s">
        <v>236</v>
      </c>
      <c r="ABV25" t="s">
        <v>237</v>
      </c>
      <c r="ABW25" t="s">
        <v>238</v>
      </c>
      <c r="ABX25" t="s">
        <v>239</v>
      </c>
      <c r="ABY25" t="s">
        <v>240</v>
      </c>
      <c r="ABZ25" t="s">
        <v>241</v>
      </c>
      <c r="ACA25" t="s">
        <v>242</v>
      </c>
      <c r="ACB25" t="s">
        <v>243</v>
      </c>
      <c r="ACC25" t="s">
        <v>244</v>
      </c>
      <c r="ACD25" t="s">
        <v>245</v>
      </c>
      <c r="ACE25" t="s">
        <v>246</v>
      </c>
      <c r="ACF25" t="s">
        <v>247</v>
      </c>
      <c r="ACG25" t="s">
        <v>248</v>
      </c>
      <c r="ACH25" t="s">
        <v>249</v>
      </c>
      <c r="ACI25" t="s">
        <v>250</v>
      </c>
      <c r="ACJ25" t="s">
        <v>251</v>
      </c>
      <c r="ACK25" t="s">
        <v>252</v>
      </c>
      <c r="ACL25" t="s">
        <v>253</v>
      </c>
      <c r="ACM25" t="s">
        <v>254</v>
      </c>
      <c r="ACN25" t="s">
        <v>255</v>
      </c>
      <c r="ACO25" t="s">
        <v>256</v>
      </c>
      <c r="ACP25" t="s">
        <v>257</v>
      </c>
      <c r="ACQ25" t="s">
        <v>258</v>
      </c>
      <c r="ACR25" t="s">
        <v>259</v>
      </c>
      <c r="ACS25" t="s">
        <v>260</v>
      </c>
      <c r="ACT25" t="s">
        <v>261</v>
      </c>
      <c r="ACU25" t="s">
        <v>262</v>
      </c>
      <c r="ACV25" t="s">
        <v>263</v>
      </c>
      <c r="ACW25" t="s">
        <v>264</v>
      </c>
      <c r="ACX25" t="s">
        <v>265</v>
      </c>
      <c r="ACY25" t="s">
        <v>266</v>
      </c>
      <c r="ACZ25" t="s">
        <v>182</v>
      </c>
      <c r="ADA25" t="s">
        <v>183</v>
      </c>
      <c r="ADB25" t="s">
        <v>184</v>
      </c>
      <c r="ADC25" t="s">
        <v>185</v>
      </c>
      <c r="ADD25" t="s">
        <v>186</v>
      </c>
      <c r="ADE25" t="s">
        <v>187</v>
      </c>
      <c r="ADF25" t="s">
        <v>188</v>
      </c>
      <c r="ADG25" t="s">
        <v>189</v>
      </c>
      <c r="ADH25" t="s">
        <v>190</v>
      </c>
      <c r="ADI25" t="s">
        <v>191</v>
      </c>
      <c r="ADJ25" t="s">
        <v>192</v>
      </c>
      <c r="ADK25" t="s">
        <v>193</v>
      </c>
      <c r="ADL25" t="s">
        <v>194</v>
      </c>
      <c r="ADM25" t="s">
        <v>195</v>
      </c>
      <c r="ADN25" t="s">
        <v>196</v>
      </c>
      <c r="ADO25" t="s">
        <v>197</v>
      </c>
      <c r="ADP25" t="s">
        <v>198</v>
      </c>
      <c r="ADQ25" t="s">
        <v>199</v>
      </c>
      <c r="ADR25" t="s">
        <v>200</v>
      </c>
      <c r="ADS25" t="s">
        <v>201</v>
      </c>
      <c r="ADT25" t="s">
        <v>202</v>
      </c>
      <c r="ADU25" t="s">
        <v>203</v>
      </c>
      <c r="ADV25" t="s">
        <v>204</v>
      </c>
      <c r="ADW25" t="s">
        <v>205</v>
      </c>
      <c r="ADX25" t="s">
        <v>206</v>
      </c>
      <c r="ADY25" t="s">
        <v>207</v>
      </c>
      <c r="ADZ25" t="s">
        <v>208</v>
      </c>
      <c r="AEA25" t="s">
        <v>209</v>
      </c>
      <c r="AEB25" t="s">
        <v>210</v>
      </c>
      <c r="AEC25" t="s">
        <v>211</v>
      </c>
      <c r="AED25" t="s">
        <v>212</v>
      </c>
      <c r="AEE25" t="s">
        <v>213</v>
      </c>
      <c r="AEF25" t="s">
        <v>214</v>
      </c>
      <c r="AEG25" t="s">
        <v>215</v>
      </c>
      <c r="AEH25" t="s">
        <v>215</v>
      </c>
      <c r="AEI25" t="s">
        <v>216</v>
      </c>
      <c r="AEJ25" t="s">
        <v>217</v>
      </c>
      <c r="AEK25" t="s">
        <v>218</v>
      </c>
      <c r="AEL25" t="s">
        <v>219</v>
      </c>
      <c r="AEM25" t="s">
        <v>219</v>
      </c>
      <c r="AEN25" t="s">
        <v>220</v>
      </c>
      <c r="AEO25" t="s">
        <v>221</v>
      </c>
      <c r="AEP25" t="s">
        <v>222</v>
      </c>
      <c r="AEQ25" t="s">
        <v>223</v>
      </c>
      <c r="AER25" t="s">
        <v>224</v>
      </c>
      <c r="AES25" t="s">
        <v>225</v>
      </c>
      <c r="AET25" t="s">
        <v>226</v>
      </c>
      <c r="AEU25" t="s">
        <v>227</v>
      </c>
      <c r="AEV25" t="s">
        <v>228</v>
      </c>
      <c r="AEW25" t="s">
        <v>229</v>
      </c>
      <c r="AEX25" t="s">
        <v>230</v>
      </c>
      <c r="AEY25" t="s">
        <v>231</v>
      </c>
      <c r="AEZ25" t="s">
        <v>232</v>
      </c>
      <c r="AFA25" t="s">
        <v>233</v>
      </c>
      <c r="AFB25" t="s">
        <v>234</v>
      </c>
      <c r="AFC25" t="s">
        <v>235</v>
      </c>
      <c r="AFD25" t="s">
        <v>236</v>
      </c>
      <c r="AFE25" t="s">
        <v>237</v>
      </c>
      <c r="AFF25" t="s">
        <v>238</v>
      </c>
      <c r="AFG25" t="s">
        <v>239</v>
      </c>
      <c r="AFH25" t="s">
        <v>240</v>
      </c>
      <c r="AFI25" t="s">
        <v>241</v>
      </c>
      <c r="AFJ25" t="s">
        <v>242</v>
      </c>
      <c r="AFK25" t="s">
        <v>243</v>
      </c>
      <c r="AFL25" t="s">
        <v>244</v>
      </c>
      <c r="AFM25" t="s">
        <v>245</v>
      </c>
      <c r="AFN25" t="s">
        <v>246</v>
      </c>
      <c r="AFO25" t="s">
        <v>247</v>
      </c>
      <c r="AFP25" t="s">
        <v>248</v>
      </c>
      <c r="AFQ25" t="s">
        <v>249</v>
      </c>
      <c r="AFR25" t="s">
        <v>250</v>
      </c>
      <c r="AFS25" t="s">
        <v>251</v>
      </c>
      <c r="AFT25" t="s">
        <v>252</v>
      </c>
      <c r="AFU25" t="s">
        <v>253</v>
      </c>
      <c r="AFV25" t="s">
        <v>254</v>
      </c>
      <c r="AFW25" t="s">
        <v>255</v>
      </c>
      <c r="AFX25" t="s">
        <v>256</v>
      </c>
      <c r="AFY25" t="s">
        <v>257</v>
      </c>
      <c r="AFZ25" t="s">
        <v>258</v>
      </c>
      <c r="AGA25" t="s">
        <v>259</v>
      </c>
      <c r="AGB25" t="s">
        <v>260</v>
      </c>
      <c r="AGC25" t="s">
        <v>261</v>
      </c>
      <c r="AGD25" t="s">
        <v>262</v>
      </c>
      <c r="AGE25" t="s">
        <v>263</v>
      </c>
      <c r="AGF25" t="s">
        <v>264</v>
      </c>
      <c r="AGG25" t="s">
        <v>265</v>
      </c>
      <c r="AGH25" t="s">
        <v>266</v>
      </c>
      <c r="AGI25" t="s">
        <v>182</v>
      </c>
      <c r="AGJ25" t="s">
        <v>183</v>
      </c>
      <c r="AGK25" t="s">
        <v>184</v>
      </c>
      <c r="AGL25" t="s">
        <v>185</v>
      </c>
      <c r="AGM25" t="s">
        <v>186</v>
      </c>
      <c r="AGN25" t="s">
        <v>187</v>
      </c>
      <c r="AGO25" t="s">
        <v>188</v>
      </c>
      <c r="AGP25" t="s">
        <v>189</v>
      </c>
      <c r="AGQ25" t="s">
        <v>190</v>
      </c>
      <c r="AGR25" t="s">
        <v>191</v>
      </c>
      <c r="AGS25" t="s">
        <v>192</v>
      </c>
      <c r="AGT25" t="s">
        <v>193</v>
      </c>
      <c r="AGU25" t="s">
        <v>194</v>
      </c>
      <c r="AGV25" t="s">
        <v>195</v>
      </c>
      <c r="AGW25" t="s">
        <v>196</v>
      </c>
      <c r="AGX25" t="s">
        <v>197</v>
      </c>
      <c r="AGY25" t="s">
        <v>198</v>
      </c>
      <c r="AGZ25" t="s">
        <v>199</v>
      </c>
      <c r="AHA25" t="s">
        <v>200</v>
      </c>
      <c r="AHB25" t="s">
        <v>201</v>
      </c>
      <c r="AHC25" t="s">
        <v>202</v>
      </c>
      <c r="AHD25" t="s">
        <v>203</v>
      </c>
      <c r="AHE25" t="s">
        <v>204</v>
      </c>
      <c r="AHF25" t="s">
        <v>205</v>
      </c>
      <c r="AHG25" t="s">
        <v>206</v>
      </c>
      <c r="AHH25" t="s">
        <v>207</v>
      </c>
      <c r="AHI25" t="s">
        <v>208</v>
      </c>
      <c r="AHJ25" t="s">
        <v>209</v>
      </c>
      <c r="AHK25" t="s">
        <v>210</v>
      </c>
      <c r="AHL25" t="s">
        <v>211</v>
      </c>
      <c r="AHM25" t="s">
        <v>212</v>
      </c>
      <c r="AHN25" t="s">
        <v>213</v>
      </c>
      <c r="AHO25" t="s">
        <v>214</v>
      </c>
      <c r="AHP25" t="s">
        <v>215</v>
      </c>
      <c r="AHQ25" t="s">
        <v>215</v>
      </c>
      <c r="AHR25" t="s">
        <v>216</v>
      </c>
      <c r="AHS25" t="s">
        <v>217</v>
      </c>
      <c r="AHT25" t="s">
        <v>218</v>
      </c>
      <c r="AHU25" t="s">
        <v>219</v>
      </c>
      <c r="AHV25" t="s">
        <v>219</v>
      </c>
      <c r="AHW25" t="s">
        <v>220</v>
      </c>
      <c r="AHX25" t="s">
        <v>221</v>
      </c>
      <c r="AHY25" t="s">
        <v>222</v>
      </c>
      <c r="AHZ25" t="s">
        <v>223</v>
      </c>
      <c r="AIA25" t="s">
        <v>224</v>
      </c>
      <c r="AIB25" t="s">
        <v>225</v>
      </c>
      <c r="AIC25" t="s">
        <v>226</v>
      </c>
      <c r="AID25" t="s">
        <v>227</v>
      </c>
      <c r="AIE25" t="s">
        <v>228</v>
      </c>
      <c r="AIF25" t="s">
        <v>229</v>
      </c>
      <c r="AIG25" t="s">
        <v>230</v>
      </c>
      <c r="AIH25" t="s">
        <v>231</v>
      </c>
      <c r="AII25" t="s">
        <v>232</v>
      </c>
      <c r="AIJ25" t="s">
        <v>233</v>
      </c>
      <c r="AIK25" t="s">
        <v>234</v>
      </c>
      <c r="AIL25" t="s">
        <v>235</v>
      </c>
      <c r="AIM25" t="s">
        <v>236</v>
      </c>
      <c r="AIN25" t="s">
        <v>237</v>
      </c>
      <c r="AIO25" t="s">
        <v>238</v>
      </c>
      <c r="AIP25" t="s">
        <v>239</v>
      </c>
      <c r="AIQ25" t="s">
        <v>240</v>
      </c>
      <c r="AIR25" t="s">
        <v>241</v>
      </c>
      <c r="AIS25" t="s">
        <v>242</v>
      </c>
      <c r="AIT25" t="s">
        <v>243</v>
      </c>
      <c r="AIU25" t="s">
        <v>244</v>
      </c>
      <c r="AIV25" t="s">
        <v>245</v>
      </c>
      <c r="AIW25" t="s">
        <v>246</v>
      </c>
      <c r="AIX25" t="s">
        <v>247</v>
      </c>
      <c r="AIY25" t="s">
        <v>248</v>
      </c>
      <c r="AIZ25" t="s">
        <v>249</v>
      </c>
      <c r="AJA25" t="s">
        <v>250</v>
      </c>
      <c r="AJB25" t="s">
        <v>251</v>
      </c>
      <c r="AJC25" t="s">
        <v>252</v>
      </c>
      <c r="AJD25" t="s">
        <v>253</v>
      </c>
      <c r="AJE25" t="s">
        <v>254</v>
      </c>
      <c r="AJF25" t="s">
        <v>255</v>
      </c>
      <c r="AJG25" t="s">
        <v>256</v>
      </c>
      <c r="AJH25" t="s">
        <v>257</v>
      </c>
      <c r="AJI25" t="s">
        <v>258</v>
      </c>
      <c r="AJJ25" t="s">
        <v>259</v>
      </c>
      <c r="AJK25" t="s">
        <v>260</v>
      </c>
      <c r="AJL25" t="s">
        <v>261</v>
      </c>
      <c r="AJM25" t="s">
        <v>262</v>
      </c>
      <c r="AJN25" t="s">
        <v>263</v>
      </c>
      <c r="AJO25" t="s">
        <v>264</v>
      </c>
      <c r="AJP25" t="s">
        <v>265</v>
      </c>
      <c r="AJQ25" t="s">
        <v>266</v>
      </c>
      <c r="AJR25" t="s">
        <v>479</v>
      </c>
      <c r="AJS25" t="s">
        <v>479</v>
      </c>
      <c r="AJT25" t="s">
        <v>479</v>
      </c>
      <c r="AJU25" t="s">
        <v>479</v>
      </c>
      <c r="AJV25" t="s">
        <v>479</v>
      </c>
      <c r="AJW25" t="s">
        <v>479</v>
      </c>
      <c r="AJX25" t="s">
        <v>479</v>
      </c>
      <c r="AJY25" t="s">
        <v>479</v>
      </c>
      <c r="AJZ25" t="s">
        <v>479</v>
      </c>
      <c r="AKH25" t="s">
        <v>544</v>
      </c>
      <c r="AKI25" t="s">
        <v>544</v>
      </c>
      <c r="AKJ25" t="s">
        <v>548</v>
      </c>
      <c r="AKK25" t="s">
        <v>548</v>
      </c>
      <c r="AKL25" t="s">
        <v>548</v>
      </c>
      <c r="AKM25" t="s">
        <v>548</v>
      </c>
      <c r="AKN25" t="s">
        <v>556</v>
      </c>
      <c r="AKO25" t="s">
        <v>556</v>
      </c>
      <c r="AKP25" t="s">
        <v>577</v>
      </c>
      <c r="AKQ25" t="s">
        <v>577</v>
      </c>
      <c r="AKR25" t="s">
        <v>577</v>
      </c>
      <c r="AKS25" t="s">
        <v>583</v>
      </c>
      <c r="AKT25" t="s">
        <v>587</v>
      </c>
      <c r="AKU25" t="s">
        <v>591</v>
      </c>
      <c r="AKV25" t="s">
        <v>591</v>
      </c>
      <c r="AKW25" t="s">
        <v>591</v>
      </c>
    </row>
    <row r="26" spans="1:985" ht="14.4" customHeight="1" x14ac:dyDescent="0.55000000000000004">
      <c r="A26" t="s">
        <v>40</v>
      </c>
      <c r="B26" t="s">
        <v>521</v>
      </c>
      <c r="C26" s="1" t="s">
        <v>711</v>
      </c>
      <c r="D26" t="s">
        <v>41</v>
      </c>
      <c r="E26" t="s">
        <v>41</v>
      </c>
      <c r="F26" t="s">
        <v>41</v>
      </c>
      <c r="G26" t="s">
        <v>41</v>
      </c>
      <c r="H26" t="s">
        <v>41</v>
      </c>
      <c r="I26" t="s">
        <v>41</v>
      </c>
      <c r="J26" t="s">
        <v>41</v>
      </c>
      <c r="K26" t="s">
        <v>41</v>
      </c>
      <c r="L26" t="s">
        <v>41</v>
      </c>
      <c r="M26" t="s">
        <v>41</v>
      </c>
      <c r="N26" t="s">
        <v>41</v>
      </c>
      <c r="O26" t="s">
        <v>41</v>
      </c>
      <c r="P26" t="s">
        <v>41</v>
      </c>
      <c r="Q26" t="s">
        <v>41</v>
      </c>
      <c r="R26" t="s">
        <v>41</v>
      </c>
      <c r="S26" t="s">
        <v>41</v>
      </c>
      <c r="T26" t="s">
        <v>41</v>
      </c>
      <c r="U26" t="s">
        <v>41</v>
      </c>
      <c r="V26" t="s">
        <v>41</v>
      </c>
      <c r="W26" t="s">
        <v>41</v>
      </c>
      <c r="X26" t="s">
        <v>41</v>
      </c>
      <c r="Y26" t="s">
        <v>41</v>
      </c>
      <c r="Z26" t="s">
        <v>41</v>
      </c>
      <c r="AA26" t="s">
        <v>41</v>
      </c>
      <c r="AB26" t="s">
        <v>41</v>
      </c>
      <c r="AC26" t="s">
        <v>41</v>
      </c>
      <c r="AD26" t="s">
        <v>41</v>
      </c>
      <c r="AE26" t="s">
        <v>41</v>
      </c>
      <c r="AF26" t="s">
        <v>41</v>
      </c>
      <c r="AG26" t="s">
        <v>41</v>
      </c>
      <c r="AH26" t="s">
        <v>41</v>
      </c>
      <c r="AI26" t="s">
        <v>41</v>
      </c>
      <c r="AJ26" t="s">
        <v>41</v>
      </c>
      <c r="AK26" t="s">
        <v>41</v>
      </c>
      <c r="AL26" t="s">
        <v>41</v>
      </c>
      <c r="AM26" t="s">
        <v>41</v>
      </c>
      <c r="AN26" t="s">
        <v>41</v>
      </c>
      <c r="AO26" t="s">
        <v>41</v>
      </c>
      <c r="AP26" t="s">
        <v>41</v>
      </c>
      <c r="AQ26" t="s">
        <v>41</v>
      </c>
      <c r="AR26" t="s">
        <v>41</v>
      </c>
      <c r="AS26" t="s">
        <v>41</v>
      </c>
      <c r="AT26" t="s">
        <v>41</v>
      </c>
      <c r="AU26" t="s">
        <v>41</v>
      </c>
      <c r="AV26" t="s">
        <v>41</v>
      </c>
      <c r="AW26" t="s">
        <v>41</v>
      </c>
      <c r="AX26" t="s">
        <v>41</v>
      </c>
      <c r="AY26" t="s">
        <v>41</v>
      </c>
      <c r="AZ26" t="s">
        <v>41</v>
      </c>
      <c r="BA26" t="s">
        <v>41</v>
      </c>
      <c r="BB26" t="s">
        <v>41</v>
      </c>
      <c r="BC26" t="s">
        <v>41</v>
      </c>
      <c r="BD26" t="s">
        <v>41</v>
      </c>
      <c r="BE26" t="s">
        <v>41</v>
      </c>
      <c r="BF26" t="s">
        <v>41</v>
      </c>
      <c r="ZQ26" t="s">
        <v>267</v>
      </c>
      <c r="ZR26" t="s">
        <v>268</v>
      </c>
      <c r="ZS26" t="s">
        <v>79</v>
      </c>
      <c r="ZT26" t="s">
        <v>269</v>
      </c>
      <c r="ZU26" t="s">
        <v>270</v>
      </c>
      <c r="ZV26" t="s">
        <v>271</v>
      </c>
      <c r="ZW26" t="s">
        <v>272</v>
      </c>
      <c r="ZX26" t="s">
        <v>273</v>
      </c>
      <c r="ZY26" t="s">
        <v>274</v>
      </c>
      <c r="ZZ26" t="s">
        <v>275</v>
      </c>
      <c r="AAA26" t="s">
        <v>276</v>
      </c>
      <c r="AAB26" t="s">
        <v>277</v>
      </c>
      <c r="AAC26" t="s">
        <v>278</v>
      </c>
      <c r="AAD26" t="s">
        <v>279</v>
      </c>
      <c r="AAE26" t="s">
        <v>280</v>
      </c>
      <c r="AAF26" t="s">
        <v>281</v>
      </c>
      <c r="AAG26" t="s">
        <v>282</v>
      </c>
      <c r="AAH26" t="s">
        <v>283</v>
      </c>
      <c r="AAI26" t="s">
        <v>284</v>
      </c>
      <c r="AAJ26" t="s">
        <v>285</v>
      </c>
      <c r="AAK26" t="s">
        <v>286</v>
      </c>
      <c r="AAL26" t="s">
        <v>287</v>
      </c>
      <c r="AAM26" t="s">
        <v>288</v>
      </c>
      <c r="AAN26" t="s">
        <v>289</v>
      </c>
      <c r="AAO26" t="s">
        <v>290</v>
      </c>
      <c r="AAP26" t="s">
        <v>291</v>
      </c>
      <c r="AAQ26" t="s">
        <v>292</v>
      </c>
      <c r="AAR26" t="s">
        <v>293</v>
      </c>
      <c r="AAS26" t="s">
        <v>294</v>
      </c>
      <c r="AAT26" t="s">
        <v>295</v>
      </c>
      <c r="AAU26" t="s">
        <v>296</v>
      </c>
      <c r="AAV26" t="s">
        <v>297</v>
      </c>
      <c r="AAW26" t="s">
        <v>298</v>
      </c>
      <c r="AAX26" t="s">
        <v>299</v>
      </c>
      <c r="AAY26" t="s">
        <v>300</v>
      </c>
      <c r="AAZ26" t="s">
        <v>301</v>
      </c>
      <c r="ABA26" t="s">
        <v>302</v>
      </c>
      <c r="ABB26" t="s">
        <v>303</v>
      </c>
      <c r="ABC26" t="s">
        <v>304</v>
      </c>
      <c r="ABD26" t="s">
        <v>305</v>
      </c>
      <c r="ABE26" t="s">
        <v>306</v>
      </c>
      <c r="ABF26" t="s">
        <v>307</v>
      </c>
      <c r="ABG26" t="s">
        <v>308</v>
      </c>
      <c r="ABH26" t="s">
        <v>309</v>
      </c>
      <c r="ABI26" t="s">
        <v>310</v>
      </c>
      <c r="ABJ26" t="s">
        <v>311</v>
      </c>
      <c r="ABK26" t="s">
        <v>312</v>
      </c>
      <c r="ABL26" t="s">
        <v>313</v>
      </c>
      <c r="ABM26" t="s">
        <v>314</v>
      </c>
      <c r="ABN26" t="s">
        <v>315</v>
      </c>
      <c r="ABO26" t="s">
        <v>316</v>
      </c>
      <c r="ABP26" t="s">
        <v>317</v>
      </c>
      <c r="ABQ26" t="s">
        <v>318</v>
      </c>
      <c r="ABR26" t="s">
        <v>319</v>
      </c>
      <c r="ABS26" t="s">
        <v>320</v>
      </c>
      <c r="ABT26" t="s">
        <v>321</v>
      </c>
      <c r="ABU26" t="s">
        <v>322</v>
      </c>
      <c r="ABV26" t="s">
        <v>323</v>
      </c>
      <c r="ABW26" t="s">
        <v>324</v>
      </c>
      <c r="ABX26" t="s">
        <v>325</v>
      </c>
      <c r="ABY26" t="s">
        <v>326</v>
      </c>
      <c r="ABZ26" t="s">
        <v>327</v>
      </c>
      <c r="ACA26" t="s">
        <v>328</v>
      </c>
      <c r="ACB26" t="s">
        <v>329</v>
      </c>
      <c r="ACC26" t="s">
        <v>330</v>
      </c>
      <c r="ACD26" t="s">
        <v>331</v>
      </c>
      <c r="ACE26" t="s">
        <v>332</v>
      </c>
      <c r="ACF26" t="s">
        <v>333</v>
      </c>
      <c r="ACG26" t="s">
        <v>334</v>
      </c>
      <c r="ACH26" t="s">
        <v>335</v>
      </c>
      <c r="ACI26" t="s">
        <v>336</v>
      </c>
      <c r="ACJ26" t="s">
        <v>337</v>
      </c>
      <c r="ACK26" t="s">
        <v>338</v>
      </c>
      <c r="ACL26" t="s">
        <v>339</v>
      </c>
      <c r="ACM26" t="s">
        <v>340</v>
      </c>
      <c r="ACN26" t="s">
        <v>341</v>
      </c>
      <c r="ACO26" t="s">
        <v>342</v>
      </c>
      <c r="ACP26" t="s">
        <v>343</v>
      </c>
      <c r="ACQ26" t="s">
        <v>344</v>
      </c>
      <c r="ACR26" t="s">
        <v>345</v>
      </c>
      <c r="ACS26" t="s">
        <v>346</v>
      </c>
      <c r="ACT26" t="s">
        <v>347</v>
      </c>
      <c r="ACU26" t="s">
        <v>348</v>
      </c>
      <c r="ACV26" t="s">
        <v>349</v>
      </c>
      <c r="ACW26" t="s">
        <v>350</v>
      </c>
      <c r="ACX26" t="s">
        <v>351</v>
      </c>
      <c r="ACY26" t="s">
        <v>79</v>
      </c>
      <c r="ACZ26" t="s">
        <v>267</v>
      </c>
      <c r="ADA26" t="s">
        <v>268</v>
      </c>
      <c r="ADB26" t="s">
        <v>79</v>
      </c>
      <c r="ADC26" t="s">
        <v>269</v>
      </c>
      <c r="ADD26" t="s">
        <v>270</v>
      </c>
      <c r="ADE26" t="s">
        <v>271</v>
      </c>
      <c r="ADF26" t="s">
        <v>272</v>
      </c>
      <c r="ADG26" t="s">
        <v>273</v>
      </c>
      <c r="ADH26" t="s">
        <v>274</v>
      </c>
      <c r="ADI26" t="s">
        <v>275</v>
      </c>
      <c r="ADJ26" t="s">
        <v>276</v>
      </c>
      <c r="ADK26" t="s">
        <v>277</v>
      </c>
      <c r="ADL26" t="s">
        <v>278</v>
      </c>
      <c r="ADM26" t="s">
        <v>279</v>
      </c>
      <c r="ADN26" t="s">
        <v>280</v>
      </c>
      <c r="ADO26" t="s">
        <v>281</v>
      </c>
      <c r="ADP26" t="s">
        <v>282</v>
      </c>
      <c r="ADQ26" t="s">
        <v>283</v>
      </c>
      <c r="ADR26" t="s">
        <v>284</v>
      </c>
      <c r="ADS26" t="s">
        <v>285</v>
      </c>
      <c r="ADT26" t="s">
        <v>286</v>
      </c>
      <c r="ADU26" t="s">
        <v>287</v>
      </c>
      <c r="ADV26" t="s">
        <v>288</v>
      </c>
      <c r="ADW26" t="s">
        <v>289</v>
      </c>
      <c r="ADX26" t="s">
        <v>290</v>
      </c>
      <c r="ADY26" t="s">
        <v>291</v>
      </c>
      <c r="ADZ26" t="s">
        <v>292</v>
      </c>
      <c r="AEA26" t="s">
        <v>293</v>
      </c>
      <c r="AEB26" t="s">
        <v>294</v>
      </c>
      <c r="AEC26" t="s">
        <v>295</v>
      </c>
      <c r="AED26" t="s">
        <v>296</v>
      </c>
      <c r="AEE26" t="s">
        <v>297</v>
      </c>
      <c r="AEF26" t="s">
        <v>298</v>
      </c>
      <c r="AEG26" t="s">
        <v>299</v>
      </c>
      <c r="AEH26" t="s">
        <v>300</v>
      </c>
      <c r="AEI26" t="s">
        <v>301</v>
      </c>
      <c r="AEJ26" t="s">
        <v>302</v>
      </c>
      <c r="AEK26" t="s">
        <v>303</v>
      </c>
      <c r="AEL26" t="s">
        <v>304</v>
      </c>
      <c r="AEM26" t="s">
        <v>305</v>
      </c>
      <c r="AEN26" t="s">
        <v>306</v>
      </c>
      <c r="AEO26" t="s">
        <v>307</v>
      </c>
      <c r="AEP26" t="s">
        <v>308</v>
      </c>
      <c r="AEQ26" t="s">
        <v>309</v>
      </c>
      <c r="AER26" t="s">
        <v>310</v>
      </c>
      <c r="AES26" t="s">
        <v>311</v>
      </c>
      <c r="AET26" t="s">
        <v>312</v>
      </c>
      <c r="AEU26" t="s">
        <v>313</v>
      </c>
      <c r="AEV26" t="s">
        <v>314</v>
      </c>
      <c r="AEW26" t="s">
        <v>315</v>
      </c>
      <c r="AEX26" t="s">
        <v>316</v>
      </c>
      <c r="AEY26" t="s">
        <v>317</v>
      </c>
      <c r="AEZ26" t="s">
        <v>318</v>
      </c>
      <c r="AFA26" t="s">
        <v>319</v>
      </c>
      <c r="AFB26" t="s">
        <v>320</v>
      </c>
      <c r="AFC26" t="s">
        <v>321</v>
      </c>
      <c r="AFD26" t="s">
        <v>322</v>
      </c>
      <c r="AFE26" t="s">
        <v>323</v>
      </c>
      <c r="AFF26" t="s">
        <v>324</v>
      </c>
      <c r="AFG26" t="s">
        <v>325</v>
      </c>
      <c r="AFH26" t="s">
        <v>326</v>
      </c>
      <c r="AFI26" t="s">
        <v>327</v>
      </c>
      <c r="AFJ26" t="s">
        <v>328</v>
      </c>
      <c r="AFK26" t="s">
        <v>329</v>
      </c>
      <c r="AFL26" t="s">
        <v>330</v>
      </c>
      <c r="AFM26" t="s">
        <v>331</v>
      </c>
      <c r="AFN26" t="s">
        <v>332</v>
      </c>
      <c r="AFO26" t="s">
        <v>333</v>
      </c>
      <c r="AFP26" t="s">
        <v>334</v>
      </c>
      <c r="AFQ26" t="s">
        <v>335</v>
      </c>
      <c r="AFR26" t="s">
        <v>336</v>
      </c>
      <c r="AFS26" t="s">
        <v>337</v>
      </c>
      <c r="AFT26" t="s">
        <v>338</v>
      </c>
      <c r="AFU26" t="s">
        <v>339</v>
      </c>
      <c r="AFV26" t="s">
        <v>340</v>
      </c>
      <c r="AFW26" t="s">
        <v>341</v>
      </c>
      <c r="AFX26" t="s">
        <v>342</v>
      </c>
      <c r="AFY26" t="s">
        <v>343</v>
      </c>
      <c r="AFZ26" t="s">
        <v>344</v>
      </c>
      <c r="AGA26" t="s">
        <v>345</v>
      </c>
      <c r="AGB26" t="s">
        <v>346</v>
      </c>
      <c r="AGC26" t="s">
        <v>347</v>
      </c>
      <c r="AGD26" t="s">
        <v>348</v>
      </c>
      <c r="AGE26" t="s">
        <v>349</v>
      </c>
      <c r="AGF26" t="s">
        <v>350</v>
      </c>
      <c r="AGG26" t="s">
        <v>351</v>
      </c>
      <c r="AGH26" t="s">
        <v>79</v>
      </c>
      <c r="AGI26" t="s">
        <v>267</v>
      </c>
      <c r="AGJ26" t="s">
        <v>268</v>
      </c>
      <c r="AGK26" t="s">
        <v>79</v>
      </c>
      <c r="AGL26" t="s">
        <v>269</v>
      </c>
      <c r="AGM26" t="s">
        <v>270</v>
      </c>
      <c r="AGN26" t="s">
        <v>271</v>
      </c>
      <c r="AGO26" t="s">
        <v>272</v>
      </c>
      <c r="AGP26" t="s">
        <v>273</v>
      </c>
      <c r="AGQ26" t="s">
        <v>274</v>
      </c>
      <c r="AGR26" t="s">
        <v>275</v>
      </c>
      <c r="AGS26" t="s">
        <v>276</v>
      </c>
      <c r="AGT26" t="s">
        <v>277</v>
      </c>
      <c r="AGU26" t="s">
        <v>278</v>
      </c>
      <c r="AGV26" t="s">
        <v>279</v>
      </c>
      <c r="AGW26" t="s">
        <v>280</v>
      </c>
      <c r="AGX26" t="s">
        <v>281</v>
      </c>
      <c r="AGY26" t="s">
        <v>282</v>
      </c>
      <c r="AGZ26" t="s">
        <v>283</v>
      </c>
      <c r="AHA26" t="s">
        <v>284</v>
      </c>
      <c r="AHB26" t="s">
        <v>285</v>
      </c>
      <c r="AHC26" t="s">
        <v>286</v>
      </c>
      <c r="AHD26" t="s">
        <v>287</v>
      </c>
      <c r="AHE26" t="s">
        <v>288</v>
      </c>
      <c r="AHF26" t="s">
        <v>289</v>
      </c>
      <c r="AHG26" t="s">
        <v>290</v>
      </c>
      <c r="AHH26" t="s">
        <v>291</v>
      </c>
      <c r="AHI26" t="s">
        <v>292</v>
      </c>
      <c r="AHJ26" t="s">
        <v>293</v>
      </c>
      <c r="AHK26" t="s">
        <v>294</v>
      </c>
      <c r="AHL26" t="s">
        <v>295</v>
      </c>
      <c r="AHM26" t="s">
        <v>296</v>
      </c>
      <c r="AHN26" t="s">
        <v>297</v>
      </c>
      <c r="AHO26" t="s">
        <v>298</v>
      </c>
      <c r="AHP26" t="s">
        <v>299</v>
      </c>
      <c r="AHQ26" t="s">
        <v>300</v>
      </c>
      <c r="AHR26" t="s">
        <v>301</v>
      </c>
      <c r="AHS26" t="s">
        <v>302</v>
      </c>
      <c r="AHT26" t="s">
        <v>303</v>
      </c>
      <c r="AHU26" t="s">
        <v>304</v>
      </c>
      <c r="AHV26" t="s">
        <v>305</v>
      </c>
      <c r="AHW26" t="s">
        <v>306</v>
      </c>
      <c r="AHX26" t="s">
        <v>307</v>
      </c>
      <c r="AHY26" t="s">
        <v>308</v>
      </c>
      <c r="AHZ26" t="s">
        <v>309</v>
      </c>
      <c r="AIA26" t="s">
        <v>310</v>
      </c>
      <c r="AIB26" t="s">
        <v>311</v>
      </c>
      <c r="AIC26" t="s">
        <v>312</v>
      </c>
      <c r="AID26" t="s">
        <v>313</v>
      </c>
      <c r="AIE26" t="s">
        <v>314</v>
      </c>
      <c r="AIF26" t="s">
        <v>315</v>
      </c>
      <c r="AIG26" t="s">
        <v>316</v>
      </c>
      <c r="AIH26" t="s">
        <v>317</v>
      </c>
      <c r="AII26" t="s">
        <v>318</v>
      </c>
      <c r="AIJ26" t="s">
        <v>319</v>
      </c>
      <c r="AIK26" t="s">
        <v>320</v>
      </c>
      <c r="AIL26" t="s">
        <v>321</v>
      </c>
      <c r="AIM26" t="s">
        <v>322</v>
      </c>
      <c r="AIN26" t="s">
        <v>323</v>
      </c>
      <c r="AIO26" t="s">
        <v>324</v>
      </c>
      <c r="AIP26" t="s">
        <v>325</v>
      </c>
      <c r="AIQ26" t="s">
        <v>326</v>
      </c>
      <c r="AIR26" t="s">
        <v>327</v>
      </c>
      <c r="AIS26" t="s">
        <v>328</v>
      </c>
      <c r="AIT26" t="s">
        <v>329</v>
      </c>
      <c r="AIU26" t="s">
        <v>330</v>
      </c>
      <c r="AIV26" t="s">
        <v>331</v>
      </c>
      <c r="AIW26" t="s">
        <v>332</v>
      </c>
      <c r="AIX26" t="s">
        <v>333</v>
      </c>
      <c r="AIY26" t="s">
        <v>334</v>
      </c>
      <c r="AIZ26" t="s">
        <v>335</v>
      </c>
      <c r="AJA26" t="s">
        <v>336</v>
      </c>
      <c r="AJB26" t="s">
        <v>337</v>
      </c>
      <c r="AJC26" t="s">
        <v>338</v>
      </c>
      <c r="AJD26" t="s">
        <v>339</v>
      </c>
      <c r="AJE26" t="s">
        <v>340</v>
      </c>
      <c r="AJF26" t="s">
        <v>341</v>
      </c>
      <c r="AJG26" t="s">
        <v>342</v>
      </c>
      <c r="AJH26" t="s">
        <v>343</v>
      </c>
      <c r="AJI26" t="s">
        <v>344</v>
      </c>
      <c r="AJJ26" t="s">
        <v>345</v>
      </c>
      <c r="AJK26" t="s">
        <v>346</v>
      </c>
      <c r="AJL26" t="s">
        <v>347</v>
      </c>
      <c r="AJM26" t="s">
        <v>348</v>
      </c>
      <c r="AJN26" t="s">
        <v>349</v>
      </c>
      <c r="AJO26" t="s">
        <v>350</v>
      </c>
      <c r="AJP26" t="s">
        <v>351</v>
      </c>
      <c r="AJQ26" t="s">
        <v>79</v>
      </c>
      <c r="AJR26" t="s">
        <v>479</v>
      </c>
      <c r="AJS26" t="s">
        <v>479</v>
      </c>
      <c r="AJT26" t="s">
        <v>479</v>
      </c>
      <c r="AJU26" t="s">
        <v>479</v>
      </c>
      <c r="AJV26" t="s">
        <v>479</v>
      </c>
      <c r="AJW26" t="s">
        <v>479</v>
      </c>
      <c r="AJX26" t="s">
        <v>479</v>
      </c>
      <c r="AJY26" t="s">
        <v>479</v>
      </c>
      <c r="AJZ26" t="s">
        <v>479</v>
      </c>
      <c r="AKA26" t="s">
        <v>551</v>
      </c>
      <c r="AKB26" t="s">
        <v>551</v>
      </c>
      <c r="AKC26" t="s">
        <v>551</v>
      </c>
      <c r="AKD26" t="s">
        <v>551</v>
      </c>
      <c r="AKE26" t="s">
        <v>551</v>
      </c>
      <c r="AKF26" t="s">
        <v>551</v>
      </c>
      <c r="AKG26" t="s">
        <v>551</v>
      </c>
      <c r="AKH26" t="s">
        <v>544</v>
      </c>
      <c r="AKI26" t="s">
        <v>544</v>
      </c>
      <c r="AKJ26" t="s">
        <v>548</v>
      </c>
      <c r="AKK26" t="s">
        <v>548</v>
      </c>
      <c r="AKL26" t="s">
        <v>548</v>
      </c>
      <c r="AKM26" t="s">
        <v>548</v>
      </c>
      <c r="AKN26" t="s">
        <v>556</v>
      </c>
      <c r="AKO26" t="s">
        <v>556</v>
      </c>
      <c r="AKP26" t="s">
        <v>577</v>
      </c>
      <c r="AKQ26" t="s">
        <v>577</v>
      </c>
      <c r="AKR26" t="s">
        <v>577</v>
      </c>
      <c r="AKS26" t="s">
        <v>583</v>
      </c>
      <c r="AKT26" t="s">
        <v>587</v>
      </c>
      <c r="AKU26" t="s">
        <v>591</v>
      </c>
      <c r="AKV26" t="s">
        <v>591</v>
      </c>
      <c r="AKW26" t="s">
        <v>591</v>
      </c>
    </row>
    <row r="27" spans="1:985" ht="14.4" customHeight="1" x14ac:dyDescent="0.55000000000000004">
      <c r="A27" t="s">
        <v>610</v>
      </c>
      <c r="B27" t="s">
        <v>652</v>
      </c>
      <c r="C27" s="1" t="s">
        <v>712</v>
      </c>
      <c r="D27">
        <v>2933571</v>
      </c>
      <c r="E27">
        <v>2933571</v>
      </c>
      <c r="F27">
        <v>2933571</v>
      </c>
      <c r="G27">
        <v>2933571</v>
      </c>
      <c r="H27">
        <v>2933571</v>
      </c>
      <c r="I27">
        <v>2933571</v>
      </c>
      <c r="J27">
        <v>2933571</v>
      </c>
      <c r="K27">
        <v>2933571</v>
      </c>
      <c r="L27">
        <v>2933571</v>
      </c>
      <c r="M27">
        <v>2933571</v>
      </c>
      <c r="N27">
        <v>2933571</v>
      </c>
      <c r="O27">
        <v>2933571</v>
      </c>
      <c r="P27">
        <v>2933571</v>
      </c>
      <c r="Q27">
        <v>2933571</v>
      </c>
      <c r="R27">
        <v>2933571</v>
      </c>
      <c r="S27">
        <v>2933571</v>
      </c>
      <c r="T27">
        <v>2933571</v>
      </c>
      <c r="U27">
        <v>2933571</v>
      </c>
      <c r="V27">
        <v>2933571</v>
      </c>
      <c r="W27">
        <v>2933571</v>
      </c>
      <c r="X27">
        <v>2933571</v>
      </c>
      <c r="Y27">
        <v>2933571</v>
      </c>
      <c r="Z27">
        <v>2933571</v>
      </c>
      <c r="AA27">
        <v>2933571</v>
      </c>
      <c r="AB27">
        <v>2933571</v>
      </c>
      <c r="AC27">
        <v>2933571</v>
      </c>
      <c r="AD27">
        <v>2933571</v>
      </c>
      <c r="AE27">
        <v>2933571</v>
      </c>
      <c r="AF27">
        <v>2933571</v>
      </c>
      <c r="AG27">
        <v>2933571</v>
      </c>
      <c r="AH27">
        <v>2933571</v>
      </c>
      <c r="AI27">
        <v>2933571</v>
      </c>
      <c r="AJ27">
        <v>2933571</v>
      </c>
      <c r="AK27">
        <v>2933571</v>
      </c>
      <c r="AL27">
        <v>2933571</v>
      </c>
      <c r="AM27">
        <v>2933571</v>
      </c>
      <c r="AN27">
        <v>2933571</v>
      </c>
      <c r="AO27">
        <v>2933571</v>
      </c>
      <c r="AP27">
        <v>2933571</v>
      </c>
      <c r="AQ27">
        <v>2933571</v>
      </c>
      <c r="AR27">
        <v>2933571</v>
      </c>
      <c r="AS27">
        <v>2933571</v>
      </c>
      <c r="AT27">
        <v>2933571</v>
      </c>
      <c r="AU27">
        <v>2933571</v>
      </c>
      <c r="AV27">
        <v>2933571</v>
      </c>
      <c r="AW27">
        <v>2933571</v>
      </c>
      <c r="AX27">
        <v>2933571</v>
      </c>
      <c r="AY27">
        <v>2933571</v>
      </c>
      <c r="AZ27">
        <v>2933571</v>
      </c>
      <c r="BA27">
        <v>2933571</v>
      </c>
      <c r="BB27">
        <v>2933571</v>
      </c>
      <c r="BC27">
        <v>2933571</v>
      </c>
      <c r="BD27">
        <v>2933571</v>
      </c>
      <c r="BE27">
        <v>2933571</v>
      </c>
      <c r="BF27">
        <v>2933571</v>
      </c>
      <c r="BG27">
        <v>976316</v>
      </c>
      <c r="BH27">
        <v>976316</v>
      </c>
      <c r="BI27">
        <v>976316</v>
      </c>
      <c r="BJ27">
        <v>976316</v>
      </c>
      <c r="BK27">
        <v>976316</v>
      </c>
      <c r="BL27">
        <v>976316</v>
      </c>
      <c r="BM27">
        <v>976316</v>
      </c>
      <c r="BN27">
        <v>976316</v>
      </c>
      <c r="BO27">
        <v>976316</v>
      </c>
      <c r="BP27">
        <v>976316</v>
      </c>
      <c r="BQ27">
        <v>561754</v>
      </c>
      <c r="BR27">
        <v>561754</v>
      </c>
      <c r="BS27">
        <v>561754</v>
      </c>
      <c r="BT27">
        <v>561754</v>
      </c>
      <c r="BU27">
        <v>561754</v>
      </c>
      <c r="BV27">
        <v>561754</v>
      </c>
      <c r="BW27">
        <v>561754</v>
      </c>
      <c r="BX27">
        <v>561754</v>
      </c>
      <c r="BY27">
        <v>561754</v>
      </c>
      <c r="BZ27">
        <v>561754</v>
      </c>
    </row>
    <row r="28" spans="1:985" ht="14.4" customHeight="1" x14ac:dyDescent="0.55000000000000004">
      <c r="A28" t="s">
        <v>46</v>
      </c>
      <c r="B28" t="s">
        <v>619</v>
      </c>
      <c r="C28" s="1" t="s">
        <v>713</v>
      </c>
      <c r="D28">
        <v>1</v>
      </c>
      <c r="E28">
        <v>1</v>
      </c>
      <c r="F28">
        <v>1</v>
      </c>
      <c r="G28">
        <v>1</v>
      </c>
      <c r="H28">
        <v>2</v>
      </c>
      <c r="I28">
        <v>2</v>
      </c>
      <c r="J28">
        <v>2</v>
      </c>
      <c r="K28">
        <v>2</v>
      </c>
      <c r="L28">
        <v>2</v>
      </c>
      <c r="M28">
        <v>3</v>
      </c>
      <c r="N28">
        <v>3</v>
      </c>
      <c r="O28">
        <v>3</v>
      </c>
      <c r="P28">
        <v>3</v>
      </c>
      <c r="Q28">
        <v>3</v>
      </c>
      <c r="R28">
        <v>3</v>
      </c>
      <c r="S28">
        <v>3</v>
      </c>
      <c r="T28">
        <v>4</v>
      </c>
      <c r="U28">
        <v>4</v>
      </c>
      <c r="V28">
        <v>4</v>
      </c>
      <c r="W28">
        <v>4</v>
      </c>
      <c r="X28">
        <v>4</v>
      </c>
      <c r="Y28">
        <v>4</v>
      </c>
      <c r="Z28">
        <v>4</v>
      </c>
      <c r="AA28">
        <v>4</v>
      </c>
      <c r="AB28">
        <v>5</v>
      </c>
      <c r="AC28">
        <v>5</v>
      </c>
      <c r="AD28">
        <v>5</v>
      </c>
      <c r="AE28">
        <v>5</v>
      </c>
      <c r="AF28">
        <v>5</v>
      </c>
      <c r="AG28">
        <v>5</v>
      </c>
      <c r="AH28">
        <v>5</v>
      </c>
      <c r="AI28">
        <v>5</v>
      </c>
      <c r="AJ28">
        <v>6</v>
      </c>
      <c r="AK28">
        <v>6</v>
      </c>
      <c r="AL28">
        <v>6</v>
      </c>
      <c r="AM28">
        <v>6</v>
      </c>
      <c r="AN28">
        <v>6</v>
      </c>
      <c r="AO28">
        <v>6</v>
      </c>
      <c r="AP28">
        <v>6</v>
      </c>
      <c r="AQ28">
        <v>6</v>
      </c>
      <c r="AR28">
        <v>6</v>
      </c>
      <c r="AS28">
        <v>7</v>
      </c>
      <c r="AT28">
        <v>7</v>
      </c>
      <c r="AU28">
        <v>7</v>
      </c>
      <c r="AV28">
        <v>7</v>
      </c>
      <c r="AW28">
        <v>7</v>
      </c>
      <c r="AX28">
        <v>7</v>
      </c>
      <c r="AY28">
        <v>7</v>
      </c>
      <c r="AZ28">
        <v>7</v>
      </c>
      <c r="BA28">
        <v>8</v>
      </c>
      <c r="BB28">
        <v>8</v>
      </c>
      <c r="BC28">
        <v>8</v>
      </c>
      <c r="BD28">
        <v>8</v>
      </c>
      <c r="BE28">
        <v>8</v>
      </c>
      <c r="BF28">
        <v>8</v>
      </c>
      <c r="BG28">
        <v>1</v>
      </c>
      <c r="BH28">
        <v>2</v>
      </c>
      <c r="BI28">
        <v>3</v>
      </c>
      <c r="BJ28">
        <v>4</v>
      </c>
      <c r="BK28">
        <v>5</v>
      </c>
      <c r="BL28">
        <v>6</v>
      </c>
      <c r="BM28">
        <v>7</v>
      </c>
      <c r="BN28">
        <v>8</v>
      </c>
      <c r="BO28">
        <v>9</v>
      </c>
      <c r="BP28">
        <v>10</v>
      </c>
      <c r="BQ28">
        <v>1</v>
      </c>
      <c r="BR28">
        <v>2</v>
      </c>
      <c r="BS28">
        <v>3</v>
      </c>
      <c r="BT28">
        <v>4</v>
      </c>
      <c r="BU28">
        <v>5</v>
      </c>
      <c r="BV28">
        <v>6</v>
      </c>
      <c r="BW28">
        <v>7</v>
      </c>
      <c r="BX28">
        <v>8</v>
      </c>
      <c r="BY28">
        <v>9</v>
      </c>
      <c r="BZ28">
        <v>10</v>
      </c>
      <c r="CA28">
        <v>1</v>
      </c>
      <c r="CB28">
        <v>1</v>
      </c>
      <c r="CC28">
        <v>1</v>
      </c>
      <c r="CD28">
        <v>1</v>
      </c>
      <c r="CE28">
        <v>1</v>
      </c>
      <c r="CF28">
        <v>1</v>
      </c>
      <c r="CG28">
        <v>1</v>
      </c>
      <c r="CH28">
        <v>1</v>
      </c>
      <c r="CI28">
        <v>1</v>
      </c>
      <c r="CJ28">
        <v>1</v>
      </c>
      <c r="CK28">
        <v>1</v>
      </c>
      <c r="CL28">
        <v>1</v>
      </c>
      <c r="CM28">
        <v>1</v>
      </c>
      <c r="CN28">
        <v>1</v>
      </c>
      <c r="CO28">
        <v>1</v>
      </c>
      <c r="CP28">
        <v>1</v>
      </c>
      <c r="CQ28">
        <v>1</v>
      </c>
      <c r="CR28">
        <v>1</v>
      </c>
      <c r="CS28">
        <v>1</v>
      </c>
      <c r="CT28">
        <v>1</v>
      </c>
      <c r="CU28">
        <v>1</v>
      </c>
      <c r="CV28">
        <v>1</v>
      </c>
      <c r="CW28">
        <v>1</v>
      </c>
      <c r="CX28">
        <v>1</v>
      </c>
      <c r="CY28">
        <v>1</v>
      </c>
      <c r="CZ28">
        <v>1</v>
      </c>
      <c r="DA28">
        <v>1</v>
      </c>
      <c r="DB28">
        <v>1</v>
      </c>
      <c r="DC28">
        <v>1</v>
      </c>
      <c r="DD28">
        <v>1</v>
      </c>
      <c r="DE28">
        <v>1</v>
      </c>
      <c r="DF28">
        <v>1</v>
      </c>
      <c r="DG28">
        <v>1</v>
      </c>
      <c r="DH28">
        <v>1</v>
      </c>
      <c r="DI28">
        <v>1</v>
      </c>
      <c r="DJ28">
        <v>1</v>
      </c>
      <c r="DK28">
        <v>1</v>
      </c>
      <c r="DL28">
        <v>1</v>
      </c>
      <c r="DM28">
        <v>1</v>
      </c>
      <c r="DN28">
        <v>1</v>
      </c>
      <c r="DO28">
        <v>1</v>
      </c>
      <c r="DP28">
        <v>1</v>
      </c>
      <c r="DQ28">
        <v>1</v>
      </c>
      <c r="DR28">
        <v>1</v>
      </c>
      <c r="DS28">
        <v>1</v>
      </c>
      <c r="DT28">
        <v>1</v>
      </c>
      <c r="DU28">
        <v>1</v>
      </c>
      <c r="DV28">
        <v>1</v>
      </c>
      <c r="DW28">
        <v>1</v>
      </c>
      <c r="DX28">
        <v>1</v>
      </c>
      <c r="DY28">
        <v>1</v>
      </c>
      <c r="DZ28">
        <v>1</v>
      </c>
      <c r="EA28">
        <v>1</v>
      </c>
      <c r="EB28">
        <v>2</v>
      </c>
      <c r="EC28">
        <v>2</v>
      </c>
      <c r="ED28">
        <v>2</v>
      </c>
      <c r="EE28">
        <v>2</v>
      </c>
      <c r="EF28">
        <v>2</v>
      </c>
      <c r="EG28">
        <v>2</v>
      </c>
      <c r="EH28">
        <v>2</v>
      </c>
      <c r="EI28">
        <v>2</v>
      </c>
      <c r="EJ28">
        <v>2</v>
      </c>
      <c r="EK28">
        <v>2</v>
      </c>
      <c r="EL28">
        <v>2</v>
      </c>
      <c r="EM28">
        <v>2</v>
      </c>
      <c r="EN28">
        <v>2</v>
      </c>
      <c r="EO28">
        <v>2</v>
      </c>
      <c r="EP28">
        <v>2</v>
      </c>
      <c r="EQ28">
        <v>2</v>
      </c>
      <c r="ER28">
        <v>2</v>
      </c>
      <c r="ES28">
        <v>2</v>
      </c>
      <c r="ET28">
        <v>2</v>
      </c>
      <c r="EU28">
        <v>2</v>
      </c>
      <c r="EV28">
        <v>2</v>
      </c>
      <c r="EW28">
        <v>2</v>
      </c>
      <c r="EX28">
        <v>2</v>
      </c>
      <c r="EY28">
        <v>2</v>
      </c>
      <c r="EZ28">
        <v>2</v>
      </c>
      <c r="FA28">
        <v>2</v>
      </c>
      <c r="FB28">
        <v>2</v>
      </c>
      <c r="FC28">
        <v>2</v>
      </c>
      <c r="FD28">
        <v>2</v>
      </c>
      <c r="FE28">
        <v>2</v>
      </c>
      <c r="FF28">
        <v>2</v>
      </c>
      <c r="FG28">
        <v>2</v>
      </c>
      <c r="FH28">
        <v>2</v>
      </c>
      <c r="FI28">
        <v>2</v>
      </c>
      <c r="FJ28">
        <v>2</v>
      </c>
      <c r="FK28">
        <v>2</v>
      </c>
      <c r="FL28">
        <v>2</v>
      </c>
      <c r="FM28">
        <v>2</v>
      </c>
      <c r="FN28">
        <v>2</v>
      </c>
      <c r="FO28">
        <v>2</v>
      </c>
      <c r="FP28">
        <v>2</v>
      </c>
      <c r="FQ28">
        <v>2</v>
      </c>
      <c r="FR28">
        <v>2</v>
      </c>
      <c r="FS28">
        <v>2</v>
      </c>
      <c r="FT28">
        <v>2</v>
      </c>
      <c r="FU28">
        <v>2</v>
      </c>
      <c r="FV28">
        <v>2</v>
      </c>
      <c r="FW28">
        <v>2</v>
      </c>
      <c r="FX28">
        <v>2</v>
      </c>
      <c r="FY28">
        <v>2</v>
      </c>
      <c r="FZ28">
        <v>2</v>
      </c>
      <c r="GA28">
        <v>2</v>
      </c>
      <c r="GB28">
        <v>2</v>
      </c>
      <c r="GC28">
        <v>3</v>
      </c>
      <c r="GD28">
        <v>3</v>
      </c>
      <c r="GE28">
        <v>3</v>
      </c>
      <c r="GF28">
        <v>3</v>
      </c>
      <c r="GG28">
        <v>3</v>
      </c>
      <c r="GH28">
        <v>3</v>
      </c>
      <c r="GI28">
        <v>3</v>
      </c>
      <c r="GJ28">
        <v>3</v>
      </c>
      <c r="GK28">
        <v>3</v>
      </c>
      <c r="GL28">
        <v>3</v>
      </c>
      <c r="GM28">
        <v>3</v>
      </c>
      <c r="GN28">
        <v>3</v>
      </c>
      <c r="GO28">
        <v>3</v>
      </c>
      <c r="GP28">
        <v>3</v>
      </c>
      <c r="GQ28">
        <v>3</v>
      </c>
      <c r="GR28">
        <v>3</v>
      </c>
      <c r="GS28">
        <v>3</v>
      </c>
      <c r="GT28">
        <v>3</v>
      </c>
      <c r="GU28">
        <v>3</v>
      </c>
      <c r="GV28">
        <v>3</v>
      </c>
      <c r="GW28">
        <v>3</v>
      </c>
      <c r="GX28">
        <v>3</v>
      </c>
      <c r="GY28">
        <v>3</v>
      </c>
      <c r="GZ28">
        <v>3</v>
      </c>
      <c r="HA28">
        <v>3</v>
      </c>
      <c r="HB28">
        <v>3</v>
      </c>
      <c r="HC28">
        <v>3</v>
      </c>
      <c r="HD28">
        <v>3</v>
      </c>
      <c r="HE28">
        <v>3</v>
      </c>
      <c r="HF28">
        <v>3</v>
      </c>
      <c r="HG28">
        <v>3</v>
      </c>
      <c r="HH28">
        <v>3</v>
      </c>
      <c r="HI28">
        <v>3</v>
      </c>
      <c r="HJ28">
        <v>3</v>
      </c>
      <c r="HK28">
        <v>3</v>
      </c>
      <c r="HL28">
        <v>3</v>
      </c>
      <c r="HM28">
        <v>3</v>
      </c>
      <c r="HN28">
        <v>3</v>
      </c>
      <c r="HO28">
        <v>3</v>
      </c>
      <c r="HP28">
        <v>3</v>
      </c>
      <c r="HQ28">
        <v>3</v>
      </c>
      <c r="HR28">
        <v>3</v>
      </c>
      <c r="HS28">
        <v>3</v>
      </c>
      <c r="HT28">
        <v>3</v>
      </c>
      <c r="HU28">
        <v>3</v>
      </c>
      <c r="HV28">
        <v>3</v>
      </c>
      <c r="HW28">
        <v>3</v>
      </c>
      <c r="HX28">
        <v>3</v>
      </c>
      <c r="HY28">
        <v>3</v>
      </c>
      <c r="HZ28">
        <v>3</v>
      </c>
      <c r="IA28">
        <v>3</v>
      </c>
      <c r="IB28">
        <v>3</v>
      </c>
      <c r="IC28">
        <v>3</v>
      </c>
      <c r="ID28">
        <v>3</v>
      </c>
      <c r="IE28">
        <v>3</v>
      </c>
      <c r="IF28">
        <v>3</v>
      </c>
      <c r="IG28">
        <v>3</v>
      </c>
      <c r="IH28">
        <v>3</v>
      </c>
      <c r="II28">
        <v>3</v>
      </c>
      <c r="IJ28">
        <v>3</v>
      </c>
      <c r="IK28">
        <v>3</v>
      </c>
      <c r="IL28">
        <v>3</v>
      </c>
      <c r="IM28">
        <v>3</v>
      </c>
      <c r="IN28">
        <v>3</v>
      </c>
      <c r="IO28">
        <v>3</v>
      </c>
      <c r="IP28">
        <v>3</v>
      </c>
      <c r="IQ28">
        <v>3</v>
      </c>
      <c r="IR28">
        <v>3</v>
      </c>
      <c r="IS28">
        <v>3</v>
      </c>
      <c r="IT28">
        <v>3</v>
      </c>
      <c r="IU28">
        <v>3</v>
      </c>
      <c r="IV28">
        <v>3</v>
      </c>
      <c r="IW28">
        <v>3</v>
      </c>
      <c r="IX28">
        <v>4</v>
      </c>
      <c r="IY28">
        <v>4</v>
      </c>
      <c r="IZ28">
        <v>4</v>
      </c>
      <c r="JA28">
        <v>4</v>
      </c>
      <c r="JB28">
        <v>4</v>
      </c>
      <c r="JC28">
        <v>4</v>
      </c>
      <c r="JD28">
        <v>4</v>
      </c>
      <c r="JE28">
        <v>4</v>
      </c>
      <c r="JF28">
        <v>4</v>
      </c>
      <c r="JG28">
        <v>4</v>
      </c>
      <c r="JH28">
        <v>4</v>
      </c>
      <c r="JI28">
        <v>4</v>
      </c>
      <c r="JJ28">
        <v>4</v>
      </c>
      <c r="JK28">
        <v>4</v>
      </c>
      <c r="JL28">
        <v>4</v>
      </c>
      <c r="JM28">
        <v>4</v>
      </c>
      <c r="JN28">
        <v>4</v>
      </c>
      <c r="JO28">
        <v>4</v>
      </c>
      <c r="JP28">
        <v>4</v>
      </c>
      <c r="JQ28">
        <v>4</v>
      </c>
      <c r="JR28">
        <v>4</v>
      </c>
      <c r="JS28">
        <v>4</v>
      </c>
      <c r="JT28">
        <v>4</v>
      </c>
      <c r="JU28">
        <v>4</v>
      </c>
      <c r="JV28">
        <v>4</v>
      </c>
      <c r="JW28">
        <v>4</v>
      </c>
      <c r="JX28">
        <v>4</v>
      </c>
      <c r="JY28">
        <v>4</v>
      </c>
      <c r="JZ28">
        <v>4</v>
      </c>
      <c r="KA28">
        <v>4</v>
      </c>
      <c r="KB28">
        <v>4</v>
      </c>
      <c r="KC28">
        <v>4</v>
      </c>
      <c r="KD28">
        <v>4</v>
      </c>
      <c r="KE28">
        <v>4</v>
      </c>
      <c r="KF28">
        <v>4</v>
      </c>
      <c r="KG28">
        <v>4</v>
      </c>
      <c r="KH28">
        <v>4</v>
      </c>
      <c r="KI28">
        <v>4</v>
      </c>
      <c r="KJ28">
        <v>4</v>
      </c>
      <c r="KK28">
        <v>4</v>
      </c>
      <c r="KL28">
        <v>4</v>
      </c>
      <c r="KM28">
        <v>4</v>
      </c>
      <c r="KN28">
        <v>4</v>
      </c>
      <c r="KO28">
        <v>4</v>
      </c>
      <c r="KP28">
        <v>4</v>
      </c>
      <c r="KQ28">
        <v>4</v>
      </c>
      <c r="KR28">
        <v>4</v>
      </c>
      <c r="KS28">
        <v>4</v>
      </c>
      <c r="KT28">
        <v>4</v>
      </c>
      <c r="KU28">
        <v>4</v>
      </c>
      <c r="KV28">
        <v>4</v>
      </c>
      <c r="KW28">
        <v>4</v>
      </c>
      <c r="KX28">
        <v>4</v>
      </c>
      <c r="KY28">
        <v>4</v>
      </c>
      <c r="KZ28">
        <v>4</v>
      </c>
      <c r="LA28">
        <v>4</v>
      </c>
      <c r="LB28">
        <v>4</v>
      </c>
      <c r="LC28">
        <v>4</v>
      </c>
      <c r="LD28">
        <v>4</v>
      </c>
      <c r="LE28">
        <v>4</v>
      </c>
      <c r="LF28">
        <v>4</v>
      </c>
      <c r="LG28">
        <v>4</v>
      </c>
      <c r="LH28">
        <v>4</v>
      </c>
      <c r="LI28">
        <v>4</v>
      </c>
      <c r="LJ28">
        <v>4</v>
      </c>
      <c r="LK28">
        <v>4</v>
      </c>
      <c r="LL28">
        <v>4</v>
      </c>
      <c r="LM28">
        <v>4</v>
      </c>
      <c r="LN28">
        <v>4</v>
      </c>
      <c r="LO28">
        <v>4</v>
      </c>
      <c r="LP28">
        <v>4</v>
      </c>
      <c r="LQ28">
        <v>4</v>
      </c>
      <c r="LR28">
        <v>4</v>
      </c>
      <c r="LS28">
        <v>4</v>
      </c>
      <c r="LT28">
        <v>4</v>
      </c>
      <c r="LU28">
        <v>4</v>
      </c>
      <c r="LV28">
        <v>4</v>
      </c>
      <c r="LW28">
        <v>4</v>
      </c>
      <c r="LX28">
        <v>4</v>
      </c>
      <c r="LY28">
        <v>4</v>
      </c>
      <c r="LZ28">
        <v>4</v>
      </c>
      <c r="MA28">
        <v>4</v>
      </c>
      <c r="MB28">
        <v>4</v>
      </c>
      <c r="MC28">
        <v>4</v>
      </c>
      <c r="MD28">
        <v>4</v>
      </c>
      <c r="ME28">
        <v>4</v>
      </c>
      <c r="MF28">
        <v>4</v>
      </c>
      <c r="MG28">
        <v>5</v>
      </c>
      <c r="MH28">
        <v>5</v>
      </c>
      <c r="MI28">
        <v>5</v>
      </c>
      <c r="MJ28">
        <v>5</v>
      </c>
      <c r="MK28">
        <v>5</v>
      </c>
      <c r="ML28">
        <v>5</v>
      </c>
      <c r="MM28">
        <v>5</v>
      </c>
      <c r="MN28">
        <v>5</v>
      </c>
      <c r="MO28">
        <v>5</v>
      </c>
      <c r="MP28">
        <v>5</v>
      </c>
      <c r="MQ28">
        <v>5</v>
      </c>
      <c r="MR28">
        <v>5</v>
      </c>
      <c r="MS28">
        <v>5</v>
      </c>
      <c r="MT28">
        <v>5</v>
      </c>
      <c r="MU28">
        <v>5</v>
      </c>
      <c r="MV28">
        <v>5</v>
      </c>
      <c r="MW28">
        <v>5</v>
      </c>
      <c r="MX28">
        <v>5</v>
      </c>
      <c r="MY28">
        <v>5</v>
      </c>
      <c r="MZ28">
        <v>5</v>
      </c>
      <c r="NA28">
        <v>5</v>
      </c>
      <c r="NB28">
        <v>5</v>
      </c>
      <c r="NC28">
        <v>5</v>
      </c>
      <c r="ND28">
        <v>5</v>
      </c>
      <c r="NE28">
        <v>5</v>
      </c>
      <c r="NF28">
        <v>5</v>
      </c>
      <c r="NG28">
        <v>5</v>
      </c>
      <c r="NH28">
        <v>5</v>
      </c>
      <c r="NI28">
        <v>5</v>
      </c>
      <c r="NJ28">
        <v>5</v>
      </c>
      <c r="NK28">
        <v>5</v>
      </c>
      <c r="NL28">
        <v>5</v>
      </c>
      <c r="NM28">
        <v>5</v>
      </c>
      <c r="NN28">
        <v>5</v>
      </c>
      <c r="NO28">
        <v>5</v>
      </c>
      <c r="NP28">
        <v>5</v>
      </c>
      <c r="NQ28">
        <v>5</v>
      </c>
      <c r="NR28">
        <v>5</v>
      </c>
      <c r="NS28">
        <v>5</v>
      </c>
      <c r="NT28">
        <v>5</v>
      </c>
      <c r="NU28">
        <v>5</v>
      </c>
      <c r="NV28">
        <v>5</v>
      </c>
      <c r="NW28">
        <v>5</v>
      </c>
      <c r="NX28">
        <v>5</v>
      </c>
      <c r="NY28">
        <v>5</v>
      </c>
      <c r="NZ28">
        <v>5</v>
      </c>
      <c r="OA28">
        <v>5</v>
      </c>
      <c r="OB28">
        <v>5</v>
      </c>
      <c r="OC28">
        <v>5</v>
      </c>
      <c r="OD28">
        <v>5</v>
      </c>
      <c r="OE28">
        <v>5</v>
      </c>
      <c r="OF28">
        <v>5</v>
      </c>
      <c r="OG28">
        <v>5</v>
      </c>
      <c r="OH28">
        <v>5</v>
      </c>
      <c r="OI28">
        <v>5</v>
      </c>
      <c r="OJ28">
        <v>5</v>
      </c>
      <c r="OK28">
        <v>5</v>
      </c>
      <c r="OL28">
        <v>5</v>
      </c>
      <c r="OM28">
        <v>5</v>
      </c>
      <c r="ON28">
        <v>5</v>
      </c>
      <c r="OO28">
        <v>5</v>
      </c>
      <c r="OP28">
        <v>5</v>
      </c>
      <c r="OQ28">
        <v>5</v>
      </c>
      <c r="OR28">
        <v>5</v>
      </c>
      <c r="OS28">
        <v>5</v>
      </c>
      <c r="OT28">
        <v>5</v>
      </c>
      <c r="OU28">
        <v>5</v>
      </c>
      <c r="OV28">
        <v>5</v>
      </c>
      <c r="OW28">
        <v>5</v>
      </c>
      <c r="OX28">
        <v>5</v>
      </c>
      <c r="OY28">
        <v>5</v>
      </c>
      <c r="OZ28">
        <v>5</v>
      </c>
      <c r="PA28">
        <v>5</v>
      </c>
      <c r="PB28">
        <v>5</v>
      </c>
      <c r="PC28">
        <v>5</v>
      </c>
      <c r="PD28">
        <v>5</v>
      </c>
      <c r="PE28">
        <v>5</v>
      </c>
      <c r="PF28">
        <v>5</v>
      </c>
      <c r="PG28">
        <v>5</v>
      </c>
      <c r="PH28">
        <v>5</v>
      </c>
      <c r="PI28">
        <v>5</v>
      </c>
      <c r="PJ28">
        <v>5</v>
      </c>
      <c r="PK28">
        <v>5</v>
      </c>
      <c r="PL28">
        <v>5</v>
      </c>
      <c r="PM28">
        <v>5</v>
      </c>
      <c r="PN28">
        <v>5</v>
      </c>
      <c r="PO28">
        <v>5</v>
      </c>
      <c r="PP28">
        <v>6</v>
      </c>
      <c r="PQ28">
        <v>6</v>
      </c>
      <c r="PR28">
        <v>6</v>
      </c>
      <c r="PS28">
        <v>6</v>
      </c>
      <c r="PT28">
        <v>6</v>
      </c>
      <c r="PU28">
        <v>6</v>
      </c>
      <c r="PV28">
        <v>6</v>
      </c>
      <c r="PW28">
        <v>6</v>
      </c>
      <c r="PX28">
        <v>6</v>
      </c>
      <c r="PY28">
        <v>6</v>
      </c>
      <c r="PZ28">
        <v>6</v>
      </c>
      <c r="QA28">
        <v>6</v>
      </c>
      <c r="QB28">
        <v>6</v>
      </c>
      <c r="QC28">
        <v>6</v>
      </c>
      <c r="QD28">
        <v>6</v>
      </c>
      <c r="QE28">
        <v>6</v>
      </c>
      <c r="QF28">
        <v>6</v>
      </c>
      <c r="QG28">
        <v>6</v>
      </c>
      <c r="QH28">
        <v>6</v>
      </c>
      <c r="QI28">
        <v>6</v>
      </c>
      <c r="QJ28">
        <v>6</v>
      </c>
      <c r="QK28">
        <v>6</v>
      </c>
      <c r="QL28">
        <v>6</v>
      </c>
      <c r="QM28">
        <v>6</v>
      </c>
      <c r="QN28">
        <v>6</v>
      </c>
      <c r="QO28">
        <v>6</v>
      </c>
      <c r="QP28">
        <v>6</v>
      </c>
      <c r="QQ28">
        <v>6</v>
      </c>
      <c r="QR28">
        <v>6</v>
      </c>
      <c r="QS28">
        <v>6</v>
      </c>
      <c r="QT28">
        <v>6</v>
      </c>
      <c r="QU28">
        <v>6</v>
      </c>
      <c r="QV28">
        <v>6</v>
      </c>
      <c r="QW28">
        <v>6</v>
      </c>
      <c r="QX28">
        <v>6</v>
      </c>
      <c r="QY28">
        <v>6</v>
      </c>
      <c r="QZ28">
        <v>6</v>
      </c>
      <c r="RA28">
        <v>6</v>
      </c>
      <c r="RB28">
        <v>6</v>
      </c>
      <c r="RC28">
        <v>6</v>
      </c>
      <c r="RD28">
        <v>6</v>
      </c>
      <c r="RE28">
        <v>6</v>
      </c>
      <c r="RF28">
        <v>6</v>
      </c>
      <c r="RG28">
        <v>6</v>
      </c>
      <c r="RH28">
        <v>6</v>
      </c>
      <c r="RI28">
        <v>6</v>
      </c>
      <c r="RJ28">
        <v>6</v>
      </c>
      <c r="RK28">
        <v>6</v>
      </c>
      <c r="RL28">
        <v>6</v>
      </c>
      <c r="RM28">
        <v>6</v>
      </c>
      <c r="RN28">
        <v>6</v>
      </c>
      <c r="RO28">
        <v>6</v>
      </c>
      <c r="RP28">
        <v>6</v>
      </c>
      <c r="RQ28">
        <v>6</v>
      </c>
      <c r="RR28">
        <v>6</v>
      </c>
      <c r="RS28">
        <v>6</v>
      </c>
      <c r="RT28">
        <v>6</v>
      </c>
      <c r="RU28">
        <v>6</v>
      </c>
      <c r="RV28">
        <v>6</v>
      </c>
      <c r="RW28">
        <v>6</v>
      </c>
      <c r="RX28">
        <v>6</v>
      </c>
      <c r="RY28">
        <v>6</v>
      </c>
      <c r="RZ28">
        <v>6</v>
      </c>
      <c r="SA28">
        <v>6</v>
      </c>
      <c r="SB28">
        <v>6</v>
      </c>
      <c r="SC28">
        <v>6</v>
      </c>
      <c r="SD28">
        <v>6</v>
      </c>
      <c r="SE28">
        <v>6</v>
      </c>
      <c r="SF28">
        <v>6</v>
      </c>
      <c r="SG28">
        <v>6</v>
      </c>
      <c r="SH28">
        <v>6</v>
      </c>
      <c r="SI28">
        <v>6</v>
      </c>
      <c r="SJ28">
        <v>6</v>
      </c>
      <c r="SK28">
        <v>6</v>
      </c>
      <c r="SL28">
        <v>6</v>
      </c>
      <c r="SM28">
        <v>6</v>
      </c>
      <c r="SN28">
        <v>6</v>
      </c>
      <c r="SO28">
        <v>6</v>
      </c>
      <c r="SP28">
        <v>6</v>
      </c>
      <c r="SQ28">
        <v>6</v>
      </c>
      <c r="SR28">
        <v>6</v>
      </c>
      <c r="SS28">
        <v>6</v>
      </c>
      <c r="ST28">
        <v>6</v>
      </c>
      <c r="SU28">
        <v>6</v>
      </c>
      <c r="SV28">
        <v>6</v>
      </c>
      <c r="SW28">
        <v>6</v>
      </c>
      <c r="SX28">
        <v>6</v>
      </c>
      <c r="SY28">
        <v>7</v>
      </c>
      <c r="SZ28">
        <v>7</v>
      </c>
      <c r="TA28">
        <v>7</v>
      </c>
      <c r="TB28">
        <v>7</v>
      </c>
      <c r="TC28">
        <v>7</v>
      </c>
      <c r="TD28">
        <v>7</v>
      </c>
      <c r="TE28">
        <v>7</v>
      </c>
      <c r="TF28">
        <v>7</v>
      </c>
      <c r="TG28">
        <v>7</v>
      </c>
      <c r="TH28">
        <v>7</v>
      </c>
      <c r="TI28">
        <v>7</v>
      </c>
      <c r="TJ28">
        <v>7</v>
      </c>
      <c r="TK28">
        <v>7</v>
      </c>
      <c r="TL28">
        <v>7</v>
      </c>
      <c r="TM28">
        <v>7</v>
      </c>
      <c r="TN28">
        <v>7</v>
      </c>
      <c r="TO28">
        <v>7</v>
      </c>
      <c r="TP28">
        <v>7</v>
      </c>
      <c r="TQ28">
        <v>7</v>
      </c>
      <c r="TR28">
        <v>7</v>
      </c>
      <c r="TS28">
        <v>7</v>
      </c>
      <c r="TT28">
        <v>7</v>
      </c>
      <c r="TU28">
        <v>7</v>
      </c>
      <c r="TV28">
        <v>7</v>
      </c>
      <c r="TW28">
        <v>7</v>
      </c>
      <c r="TX28">
        <v>7</v>
      </c>
      <c r="TY28">
        <v>7</v>
      </c>
      <c r="TZ28">
        <v>7</v>
      </c>
      <c r="UA28">
        <v>7</v>
      </c>
      <c r="UB28">
        <v>7</v>
      </c>
      <c r="UC28">
        <v>7</v>
      </c>
      <c r="UD28">
        <v>7</v>
      </c>
      <c r="UE28">
        <v>7</v>
      </c>
      <c r="UF28">
        <v>7</v>
      </c>
      <c r="UG28">
        <v>7</v>
      </c>
      <c r="UH28">
        <v>7</v>
      </c>
      <c r="UI28">
        <v>7</v>
      </c>
      <c r="UJ28">
        <v>7</v>
      </c>
      <c r="UK28">
        <v>7</v>
      </c>
      <c r="UL28">
        <v>7</v>
      </c>
      <c r="UM28">
        <v>7</v>
      </c>
      <c r="UN28">
        <v>7</v>
      </c>
      <c r="UO28">
        <v>7</v>
      </c>
      <c r="UP28">
        <v>7</v>
      </c>
      <c r="UQ28">
        <v>7</v>
      </c>
      <c r="UR28">
        <v>7</v>
      </c>
      <c r="US28">
        <v>7</v>
      </c>
      <c r="UT28">
        <v>7</v>
      </c>
      <c r="UU28">
        <v>7</v>
      </c>
      <c r="UV28">
        <v>7</v>
      </c>
      <c r="UW28">
        <v>7</v>
      </c>
      <c r="UX28">
        <v>7</v>
      </c>
      <c r="UY28">
        <v>7</v>
      </c>
      <c r="UZ28">
        <v>7</v>
      </c>
      <c r="VA28">
        <v>7</v>
      </c>
      <c r="VB28">
        <v>7</v>
      </c>
      <c r="VC28">
        <v>7</v>
      </c>
      <c r="VD28">
        <v>7</v>
      </c>
      <c r="VE28">
        <v>7</v>
      </c>
      <c r="VF28">
        <v>7</v>
      </c>
      <c r="VG28">
        <v>7</v>
      </c>
      <c r="VH28">
        <v>7</v>
      </c>
      <c r="VI28">
        <v>7</v>
      </c>
      <c r="VJ28">
        <v>7</v>
      </c>
      <c r="VK28">
        <v>7</v>
      </c>
      <c r="VL28">
        <v>7</v>
      </c>
      <c r="VM28">
        <v>7</v>
      </c>
      <c r="VN28">
        <v>7</v>
      </c>
      <c r="VO28">
        <v>7</v>
      </c>
      <c r="VP28">
        <v>7</v>
      </c>
      <c r="VQ28">
        <v>7</v>
      </c>
      <c r="VR28">
        <v>7</v>
      </c>
      <c r="VS28">
        <v>7</v>
      </c>
      <c r="VT28">
        <v>7</v>
      </c>
      <c r="VU28">
        <v>7</v>
      </c>
      <c r="VV28">
        <v>7</v>
      </c>
      <c r="VW28">
        <v>7</v>
      </c>
      <c r="VX28">
        <v>7</v>
      </c>
      <c r="VY28">
        <v>7</v>
      </c>
      <c r="VZ28">
        <v>7</v>
      </c>
      <c r="WA28">
        <v>7</v>
      </c>
      <c r="WB28">
        <v>7</v>
      </c>
      <c r="WC28">
        <v>7</v>
      </c>
      <c r="WD28">
        <v>7</v>
      </c>
      <c r="WE28">
        <v>7</v>
      </c>
      <c r="WF28">
        <v>7</v>
      </c>
      <c r="WG28">
        <v>7</v>
      </c>
      <c r="WH28">
        <v>8</v>
      </c>
      <c r="WI28">
        <v>8</v>
      </c>
      <c r="WJ28">
        <v>8</v>
      </c>
      <c r="WK28">
        <v>8</v>
      </c>
      <c r="WL28">
        <v>8</v>
      </c>
      <c r="WM28">
        <v>8</v>
      </c>
      <c r="WN28">
        <v>8</v>
      </c>
      <c r="WO28">
        <v>8</v>
      </c>
      <c r="WP28">
        <v>8</v>
      </c>
      <c r="WQ28">
        <v>8</v>
      </c>
      <c r="WR28">
        <v>8</v>
      </c>
      <c r="WS28">
        <v>8</v>
      </c>
      <c r="WT28">
        <v>8</v>
      </c>
      <c r="WU28">
        <v>8</v>
      </c>
      <c r="WV28">
        <v>8</v>
      </c>
      <c r="WW28">
        <v>8</v>
      </c>
      <c r="WX28">
        <v>8</v>
      </c>
      <c r="WY28">
        <v>8</v>
      </c>
      <c r="WZ28">
        <v>8</v>
      </c>
      <c r="XA28">
        <v>8</v>
      </c>
      <c r="XB28">
        <v>8</v>
      </c>
      <c r="XC28">
        <v>8</v>
      </c>
      <c r="XD28">
        <v>8</v>
      </c>
      <c r="XE28">
        <v>8</v>
      </c>
      <c r="XF28">
        <v>8</v>
      </c>
      <c r="XG28">
        <v>8</v>
      </c>
      <c r="XH28">
        <v>8</v>
      </c>
      <c r="XI28">
        <v>8</v>
      </c>
      <c r="XJ28">
        <v>8</v>
      </c>
      <c r="XK28">
        <v>8</v>
      </c>
      <c r="XL28">
        <v>8</v>
      </c>
      <c r="XM28">
        <v>8</v>
      </c>
      <c r="XN28">
        <v>8</v>
      </c>
      <c r="XO28">
        <v>8</v>
      </c>
      <c r="XP28">
        <v>8</v>
      </c>
      <c r="XQ28">
        <v>8</v>
      </c>
      <c r="XR28">
        <v>8</v>
      </c>
      <c r="XS28">
        <v>8</v>
      </c>
      <c r="XT28">
        <v>8</v>
      </c>
      <c r="XU28">
        <v>8</v>
      </c>
      <c r="XV28">
        <v>8</v>
      </c>
      <c r="XW28">
        <v>8</v>
      </c>
      <c r="XX28">
        <v>8</v>
      </c>
      <c r="XY28">
        <v>8</v>
      </c>
      <c r="XZ28">
        <v>8</v>
      </c>
      <c r="YA28">
        <v>8</v>
      </c>
      <c r="YB28">
        <v>8</v>
      </c>
      <c r="YC28">
        <v>8</v>
      </c>
      <c r="YD28">
        <v>8</v>
      </c>
      <c r="YE28">
        <v>8</v>
      </c>
      <c r="YF28">
        <v>8</v>
      </c>
      <c r="YG28">
        <v>8</v>
      </c>
      <c r="YH28">
        <v>8</v>
      </c>
      <c r="YI28">
        <v>8</v>
      </c>
      <c r="YJ28">
        <v>8</v>
      </c>
      <c r="YK28">
        <v>8</v>
      </c>
      <c r="YL28">
        <v>8</v>
      </c>
      <c r="YM28">
        <v>8</v>
      </c>
      <c r="YN28">
        <v>8</v>
      </c>
      <c r="YO28">
        <v>8</v>
      </c>
      <c r="YP28">
        <v>8</v>
      </c>
      <c r="YQ28">
        <v>8</v>
      </c>
      <c r="YR28">
        <v>8</v>
      </c>
      <c r="YS28">
        <v>8</v>
      </c>
      <c r="YT28">
        <v>8</v>
      </c>
      <c r="YU28">
        <v>8</v>
      </c>
      <c r="YV28">
        <v>8</v>
      </c>
      <c r="YW28">
        <v>8</v>
      </c>
      <c r="YX28">
        <v>8</v>
      </c>
      <c r="YY28">
        <v>8</v>
      </c>
      <c r="YZ28">
        <v>8</v>
      </c>
      <c r="ZA28">
        <v>8</v>
      </c>
      <c r="ZB28">
        <v>8</v>
      </c>
      <c r="ZC28">
        <v>8</v>
      </c>
      <c r="ZD28">
        <v>8</v>
      </c>
      <c r="ZE28">
        <v>8</v>
      </c>
      <c r="ZF28">
        <v>8</v>
      </c>
      <c r="ZG28">
        <v>8</v>
      </c>
      <c r="ZH28">
        <v>8</v>
      </c>
      <c r="ZI28">
        <v>8</v>
      </c>
      <c r="ZJ28">
        <v>8</v>
      </c>
      <c r="ZK28">
        <v>8</v>
      </c>
      <c r="ZL28">
        <v>8</v>
      </c>
      <c r="ZM28">
        <v>8</v>
      </c>
      <c r="ZN28">
        <v>8</v>
      </c>
      <c r="ZO28">
        <v>8</v>
      </c>
      <c r="ZP28">
        <v>8</v>
      </c>
      <c r="ZQ28">
        <v>9</v>
      </c>
      <c r="ZR28">
        <v>9</v>
      </c>
      <c r="ZS28">
        <v>9</v>
      </c>
      <c r="ZT28">
        <v>9</v>
      </c>
      <c r="ZU28">
        <v>9</v>
      </c>
      <c r="ZV28">
        <v>9</v>
      </c>
      <c r="ZW28">
        <v>9</v>
      </c>
      <c r="ZX28">
        <v>9</v>
      </c>
      <c r="ZY28">
        <v>9</v>
      </c>
      <c r="ZZ28">
        <v>9</v>
      </c>
      <c r="AAA28">
        <v>9</v>
      </c>
      <c r="AAB28">
        <v>9</v>
      </c>
      <c r="AAC28">
        <v>9</v>
      </c>
      <c r="AAD28">
        <v>9</v>
      </c>
      <c r="AAE28">
        <v>9</v>
      </c>
      <c r="AAF28">
        <v>9</v>
      </c>
      <c r="AAG28">
        <v>9</v>
      </c>
      <c r="AAH28">
        <v>9</v>
      </c>
      <c r="AAI28">
        <v>9</v>
      </c>
      <c r="AAJ28">
        <v>9</v>
      </c>
      <c r="AAK28">
        <v>9</v>
      </c>
      <c r="AAL28">
        <v>9</v>
      </c>
      <c r="AAM28">
        <v>9</v>
      </c>
      <c r="AAN28">
        <v>9</v>
      </c>
      <c r="AAO28">
        <v>9</v>
      </c>
      <c r="AAP28">
        <v>9</v>
      </c>
      <c r="AAQ28">
        <v>9</v>
      </c>
      <c r="AAR28">
        <v>9</v>
      </c>
      <c r="AAS28">
        <v>9</v>
      </c>
      <c r="AAT28">
        <v>9</v>
      </c>
      <c r="AAU28">
        <v>9</v>
      </c>
      <c r="AAV28">
        <v>9</v>
      </c>
      <c r="AAW28">
        <v>9</v>
      </c>
      <c r="AAX28">
        <v>9</v>
      </c>
      <c r="AAY28">
        <v>9</v>
      </c>
      <c r="AAZ28">
        <v>9</v>
      </c>
      <c r="ABA28">
        <v>9</v>
      </c>
      <c r="ABB28">
        <v>9</v>
      </c>
      <c r="ABC28">
        <v>9</v>
      </c>
      <c r="ABD28">
        <v>9</v>
      </c>
      <c r="ABE28">
        <v>9</v>
      </c>
      <c r="ABF28">
        <v>9</v>
      </c>
      <c r="ABG28">
        <v>9</v>
      </c>
      <c r="ABH28">
        <v>9</v>
      </c>
      <c r="ABI28">
        <v>9</v>
      </c>
      <c r="ABJ28">
        <v>9</v>
      </c>
      <c r="ABK28">
        <v>9</v>
      </c>
      <c r="ABL28">
        <v>9</v>
      </c>
      <c r="ABM28">
        <v>9</v>
      </c>
      <c r="ABN28">
        <v>9</v>
      </c>
      <c r="ABO28">
        <v>9</v>
      </c>
      <c r="ABP28">
        <v>9</v>
      </c>
      <c r="ABQ28">
        <v>9</v>
      </c>
      <c r="ABR28">
        <v>9</v>
      </c>
      <c r="ABS28">
        <v>9</v>
      </c>
      <c r="ABT28">
        <v>9</v>
      </c>
      <c r="ABU28">
        <v>9</v>
      </c>
      <c r="ABV28">
        <v>9</v>
      </c>
      <c r="ABW28">
        <v>9</v>
      </c>
      <c r="ABX28">
        <v>9</v>
      </c>
      <c r="ABY28">
        <v>9</v>
      </c>
      <c r="ABZ28">
        <v>9</v>
      </c>
      <c r="ACA28">
        <v>9</v>
      </c>
      <c r="ACB28">
        <v>9</v>
      </c>
      <c r="ACC28">
        <v>9</v>
      </c>
      <c r="ACD28">
        <v>9</v>
      </c>
      <c r="ACE28">
        <v>9</v>
      </c>
      <c r="ACF28">
        <v>9</v>
      </c>
      <c r="ACG28">
        <v>9</v>
      </c>
      <c r="ACH28">
        <v>9</v>
      </c>
      <c r="ACI28">
        <v>9</v>
      </c>
      <c r="ACJ28">
        <v>9</v>
      </c>
      <c r="ACK28">
        <v>9</v>
      </c>
      <c r="ACL28">
        <v>9</v>
      </c>
      <c r="ACM28">
        <v>9</v>
      </c>
      <c r="ACN28">
        <v>9</v>
      </c>
      <c r="ACO28">
        <v>9</v>
      </c>
      <c r="ACP28">
        <v>9</v>
      </c>
      <c r="ACQ28">
        <v>9</v>
      </c>
      <c r="ACR28">
        <v>9</v>
      </c>
      <c r="ACS28">
        <v>9</v>
      </c>
      <c r="ACT28">
        <v>9</v>
      </c>
      <c r="ACU28">
        <v>9</v>
      </c>
      <c r="ACV28">
        <v>9</v>
      </c>
      <c r="ACW28">
        <v>9</v>
      </c>
      <c r="ACX28">
        <v>9</v>
      </c>
      <c r="ACY28">
        <v>9</v>
      </c>
      <c r="ACZ28">
        <v>10</v>
      </c>
      <c r="ADA28">
        <v>10</v>
      </c>
      <c r="ADB28">
        <v>10</v>
      </c>
      <c r="ADC28">
        <v>10</v>
      </c>
      <c r="ADD28">
        <v>10</v>
      </c>
      <c r="ADE28">
        <v>10</v>
      </c>
      <c r="ADF28">
        <v>10</v>
      </c>
      <c r="ADG28">
        <v>10</v>
      </c>
      <c r="ADH28">
        <v>10</v>
      </c>
      <c r="ADI28">
        <v>10</v>
      </c>
      <c r="ADJ28">
        <v>10</v>
      </c>
      <c r="ADK28">
        <v>10</v>
      </c>
      <c r="ADL28">
        <v>10</v>
      </c>
      <c r="ADM28">
        <v>10</v>
      </c>
      <c r="ADN28">
        <v>10</v>
      </c>
      <c r="ADO28">
        <v>10</v>
      </c>
      <c r="ADP28">
        <v>10</v>
      </c>
      <c r="ADQ28">
        <v>10</v>
      </c>
      <c r="ADR28">
        <v>10</v>
      </c>
      <c r="ADS28">
        <v>10</v>
      </c>
      <c r="ADT28">
        <v>10</v>
      </c>
      <c r="ADU28">
        <v>10</v>
      </c>
      <c r="ADV28">
        <v>10</v>
      </c>
      <c r="ADW28">
        <v>10</v>
      </c>
      <c r="ADX28">
        <v>10</v>
      </c>
      <c r="ADY28">
        <v>10</v>
      </c>
      <c r="ADZ28">
        <v>10</v>
      </c>
      <c r="AEA28">
        <v>10</v>
      </c>
      <c r="AEB28">
        <v>10</v>
      </c>
      <c r="AEC28">
        <v>10</v>
      </c>
      <c r="AED28">
        <v>10</v>
      </c>
      <c r="AEE28">
        <v>10</v>
      </c>
      <c r="AEF28">
        <v>10</v>
      </c>
      <c r="AEG28">
        <v>10</v>
      </c>
      <c r="AEH28">
        <v>10</v>
      </c>
      <c r="AEI28">
        <v>10</v>
      </c>
      <c r="AEJ28">
        <v>10</v>
      </c>
      <c r="AEK28">
        <v>10</v>
      </c>
      <c r="AEL28">
        <v>10</v>
      </c>
      <c r="AEM28">
        <v>10</v>
      </c>
      <c r="AEN28">
        <v>10</v>
      </c>
      <c r="AEO28">
        <v>10</v>
      </c>
      <c r="AEP28">
        <v>10</v>
      </c>
      <c r="AEQ28">
        <v>10</v>
      </c>
      <c r="AER28">
        <v>10</v>
      </c>
      <c r="AES28">
        <v>10</v>
      </c>
      <c r="AET28">
        <v>10</v>
      </c>
      <c r="AEU28">
        <v>10</v>
      </c>
      <c r="AEV28">
        <v>10</v>
      </c>
      <c r="AEW28">
        <v>10</v>
      </c>
      <c r="AEX28">
        <v>10</v>
      </c>
      <c r="AEY28">
        <v>10</v>
      </c>
      <c r="AEZ28">
        <v>10</v>
      </c>
      <c r="AFA28">
        <v>10</v>
      </c>
      <c r="AFB28">
        <v>10</v>
      </c>
      <c r="AFC28">
        <v>10</v>
      </c>
      <c r="AFD28">
        <v>10</v>
      </c>
      <c r="AFE28">
        <v>10</v>
      </c>
      <c r="AFF28">
        <v>10</v>
      </c>
      <c r="AFG28">
        <v>10</v>
      </c>
      <c r="AFH28">
        <v>10</v>
      </c>
      <c r="AFI28">
        <v>10</v>
      </c>
      <c r="AFJ28">
        <v>10</v>
      </c>
      <c r="AFK28">
        <v>10</v>
      </c>
      <c r="AFL28">
        <v>10</v>
      </c>
      <c r="AFM28">
        <v>10</v>
      </c>
      <c r="AFN28">
        <v>10</v>
      </c>
      <c r="AFO28">
        <v>10</v>
      </c>
      <c r="AFP28">
        <v>10</v>
      </c>
      <c r="AFQ28">
        <v>10</v>
      </c>
      <c r="AFR28">
        <v>10</v>
      </c>
      <c r="AFS28">
        <v>10</v>
      </c>
      <c r="AFT28">
        <v>10</v>
      </c>
      <c r="AFU28">
        <v>10</v>
      </c>
      <c r="AFV28">
        <v>10</v>
      </c>
      <c r="AFW28">
        <v>10</v>
      </c>
      <c r="AFX28">
        <v>10</v>
      </c>
      <c r="AFY28">
        <v>10</v>
      </c>
      <c r="AFZ28">
        <v>10</v>
      </c>
      <c r="AGA28">
        <v>10</v>
      </c>
      <c r="AGB28">
        <v>10</v>
      </c>
      <c r="AGC28">
        <v>10</v>
      </c>
      <c r="AGD28">
        <v>10</v>
      </c>
      <c r="AGE28">
        <v>10</v>
      </c>
      <c r="AGF28">
        <v>10</v>
      </c>
      <c r="AGG28">
        <v>10</v>
      </c>
      <c r="AGH28">
        <v>10</v>
      </c>
      <c r="AGI28">
        <v>11</v>
      </c>
      <c r="AGJ28">
        <v>11</v>
      </c>
      <c r="AGK28">
        <v>11</v>
      </c>
      <c r="AGL28">
        <v>11</v>
      </c>
      <c r="AGM28">
        <v>11</v>
      </c>
      <c r="AGN28">
        <v>11</v>
      </c>
      <c r="AGO28">
        <v>11</v>
      </c>
      <c r="AGP28">
        <v>11</v>
      </c>
      <c r="AGQ28">
        <v>11</v>
      </c>
      <c r="AGR28">
        <v>11</v>
      </c>
      <c r="AGS28">
        <v>11</v>
      </c>
      <c r="AGT28">
        <v>11</v>
      </c>
      <c r="AGU28">
        <v>11</v>
      </c>
      <c r="AGV28">
        <v>11</v>
      </c>
      <c r="AGW28">
        <v>11</v>
      </c>
      <c r="AGX28">
        <v>11</v>
      </c>
      <c r="AGY28">
        <v>11</v>
      </c>
      <c r="AGZ28">
        <v>11</v>
      </c>
      <c r="AHA28">
        <v>11</v>
      </c>
      <c r="AHB28">
        <v>11</v>
      </c>
      <c r="AHC28">
        <v>11</v>
      </c>
      <c r="AHD28">
        <v>11</v>
      </c>
      <c r="AHE28">
        <v>11</v>
      </c>
      <c r="AHF28">
        <v>11</v>
      </c>
      <c r="AHG28">
        <v>11</v>
      </c>
      <c r="AHH28">
        <v>11</v>
      </c>
      <c r="AHI28">
        <v>11</v>
      </c>
      <c r="AHJ28">
        <v>11</v>
      </c>
      <c r="AHK28">
        <v>11</v>
      </c>
      <c r="AHL28">
        <v>11</v>
      </c>
      <c r="AHM28">
        <v>11</v>
      </c>
      <c r="AHN28">
        <v>11</v>
      </c>
      <c r="AHO28">
        <v>11</v>
      </c>
      <c r="AHP28">
        <v>11</v>
      </c>
      <c r="AHQ28">
        <v>11</v>
      </c>
      <c r="AHR28">
        <v>11</v>
      </c>
      <c r="AHS28">
        <v>11</v>
      </c>
      <c r="AHT28">
        <v>11</v>
      </c>
      <c r="AHU28">
        <v>11</v>
      </c>
      <c r="AHV28">
        <v>11</v>
      </c>
      <c r="AHW28">
        <v>11</v>
      </c>
      <c r="AHX28">
        <v>11</v>
      </c>
      <c r="AHY28">
        <v>11</v>
      </c>
      <c r="AHZ28">
        <v>11</v>
      </c>
      <c r="AIA28">
        <v>11</v>
      </c>
      <c r="AIB28">
        <v>11</v>
      </c>
      <c r="AIC28">
        <v>11</v>
      </c>
      <c r="AID28">
        <v>11</v>
      </c>
      <c r="AIE28">
        <v>11</v>
      </c>
      <c r="AIF28">
        <v>11</v>
      </c>
      <c r="AIG28">
        <v>11</v>
      </c>
      <c r="AIH28">
        <v>11</v>
      </c>
      <c r="AII28">
        <v>11</v>
      </c>
      <c r="AIJ28">
        <v>11</v>
      </c>
      <c r="AIK28">
        <v>11</v>
      </c>
      <c r="AIL28">
        <v>11</v>
      </c>
      <c r="AIM28">
        <v>11</v>
      </c>
      <c r="AIN28">
        <v>11</v>
      </c>
      <c r="AIO28">
        <v>11</v>
      </c>
      <c r="AIP28">
        <v>11</v>
      </c>
      <c r="AIQ28">
        <v>11</v>
      </c>
      <c r="AIR28">
        <v>11</v>
      </c>
      <c r="AIS28">
        <v>11</v>
      </c>
      <c r="AIT28">
        <v>11</v>
      </c>
      <c r="AIU28">
        <v>11</v>
      </c>
      <c r="AIV28">
        <v>11</v>
      </c>
      <c r="AIW28">
        <v>11</v>
      </c>
      <c r="AIX28">
        <v>11</v>
      </c>
      <c r="AIY28">
        <v>11</v>
      </c>
      <c r="AIZ28">
        <v>11</v>
      </c>
      <c r="AJA28">
        <v>11</v>
      </c>
      <c r="AJB28">
        <v>11</v>
      </c>
      <c r="AJC28">
        <v>11</v>
      </c>
      <c r="AJD28">
        <v>11</v>
      </c>
      <c r="AJE28">
        <v>11</v>
      </c>
      <c r="AJF28">
        <v>11</v>
      </c>
      <c r="AJG28">
        <v>11</v>
      </c>
      <c r="AJH28">
        <v>11</v>
      </c>
      <c r="AJI28">
        <v>11</v>
      </c>
      <c r="AJJ28">
        <v>11</v>
      </c>
      <c r="AJK28">
        <v>11</v>
      </c>
      <c r="AJL28">
        <v>11</v>
      </c>
      <c r="AJM28">
        <v>11</v>
      </c>
      <c r="AJN28">
        <v>11</v>
      </c>
      <c r="AJO28">
        <v>11</v>
      </c>
      <c r="AJP28">
        <v>11</v>
      </c>
      <c r="AJQ28">
        <v>11</v>
      </c>
      <c r="AJR28">
        <v>1</v>
      </c>
      <c r="AJS28">
        <v>1</v>
      </c>
      <c r="AJT28">
        <v>2</v>
      </c>
      <c r="AJU28">
        <v>3</v>
      </c>
      <c r="AJV28">
        <v>4</v>
      </c>
      <c r="AJW28">
        <v>5</v>
      </c>
      <c r="AJX28">
        <v>6</v>
      </c>
      <c r="AJY28">
        <v>7</v>
      </c>
      <c r="AJZ28">
        <v>8</v>
      </c>
      <c r="AKA28">
        <v>1</v>
      </c>
      <c r="AKB28">
        <v>2</v>
      </c>
      <c r="AKC28">
        <v>3</v>
      </c>
      <c r="AKD28">
        <v>4</v>
      </c>
      <c r="AKE28">
        <v>5</v>
      </c>
      <c r="AKF28">
        <v>6</v>
      </c>
      <c r="AKG28">
        <v>7</v>
      </c>
      <c r="AKH28">
        <v>1</v>
      </c>
      <c r="AKI28">
        <v>1</v>
      </c>
      <c r="AKJ28">
        <v>1</v>
      </c>
      <c r="AKK28">
        <v>1</v>
      </c>
      <c r="AKL28">
        <v>1</v>
      </c>
      <c r="AKM28">
        <v>2</v>
      </c>
      <c r="AKN28">
        <v>1</v>
      </c>
      <c r="AKO28">
        <v>2</v>
      </c>
      <c r="AKP28">
        <v>1</v>
      </c>
      <c r="AKQ28">
        <v>2</v>
      </c>
      <c r="AKR28">
        <v>3</v>
      </c>
      <c r="AKS28">
        <v>3</v>
      </c>
      <c r="AKT28">
        <v>3</v>
      </c>
      <c r="AKU28">
        <v>1</v>
      </c>
      <c r="AKV28">
        <v>1</v>
      </c>
      <c r="AKW28">
        <v>1</v>
      </c>
    </row>
    <row r="29" spans="1:985" ht="14.4" customHeight="1" x14ac:dyDescent="0.55000000000000004">
      <c r="A29" t="s">
        <v>944</v>
      </c>
      <c r="B29" t="s">
        <v>619</v>
      </c>
      <c r="C29" s="1" t="s">
        <v>946</v>
      </c>
      <c r="D29">
        <v>77286</v>
      </c>
      <c r="E29">
        <v>77286</v>
      </c>
      <c r="F29">
        <v>77286</v>
      </c>
      <c r="G29">
        <v>77286</v>
      </c>
      <c r="H29">
        <v>84154</v>
      </c>
      <c r="I29">
        <v>84154</v>
      </c>
      <c r="J29">
        <v>84154</v>
      </c>
      <c r="K29">
        <v>84154</v>
      </c>
      <c r="L29">
        <v>84154</v>
      </c>
      <c r="M29">
        <v>1119070</v>
      </c>
      <c r="N29">
        <v>1119070</v>
      </c>
      <c r="O29">
        <v>1119070</v>
      </c>
      <c r="P29">
        <v>1119070</v>
      </c>
      <c r="Q29">
        <v>1119070</v>
      </c>
      <c r="R29">
        <v>1119070</v>
      </c>
      <c r="S29">
        <v>1119070</v>
      </c>
      <c r="T29">
        <v>115612</v>
      </c>
      <c r="U29">
        <v>115612</v>
      </c>
      <c r="V29">
        <v>115612</v>
      </c>
      <c r="W29">
        <v>115612</v>
      </c>
      <c r="X29">
        <v>115612</v>
      </c>
      <c r="Y29">
        <v>115612</v>
      </c>
      <c r="Z29">
        <v>115612</v>
      </c>
      <c r="AA29">
        <v>115612</v>
      </c>
      <c r="AB29">
        <v>199519</v>
      </c>
      <c r="AC29">
        <v>199519</v>
      </c>
      <c r="AD29">
        <v>199519</v>
      </c>
      <c r="AE29">
        <v>199519</v>
      </c>
      <c r="AF29">
        <v>199519</v>
      </c>
      <c r="AG29">
        <v>199519</v>
      </c>
      <c r="AH29">
        <v>199519</v>
      </c>
      <c r="AI29">
        <v>199519</v>
      </c>
      <c r="AJ29">
        <v>125369</v>
      </c>
      <c r="AK29">
        <v>125369</v>
      </c>
      <c r="AL29">
        <v>125369</v>
      </c>
      <c r="AM29">
        <v>125369</v>
      </c>
      <c r="AN29">
        <v>125369</v>
      </c>
      <c r="AO29">
        <v>125369</v>
      </c>
      <c r="AP29">
        <v>125369</v>
      </c>
      <c r="AQ29">
        <v>125369</v>
      </c>
      <c r="AR29">
        <v>125369</v>
      </c>
      <c r="AS29">
        <v>60841</v>
      </c>
      <c r="AT29">
        <v>60841</v>
      </c>
      <c r="AU29">
        <v>60841</v>
      </c>
      <c r="AV29">
        <v>60841</v>
      </c>
      <c r="AW29">
        <v>60841</v>
      </c>
      <c r="AX29">
        <v>60841</v>
      </c>
      <c r="AY29">
        <v>60841</v>
      </c>
      <c r="AZ29">
        <v>60841</v>
      </c>
      <c r="BA29">
        <v>1404657</v>
      </c>
      <c r="BB29">
        <v>1404657</v>
      </c>
      <c r="BC29">
        <v>1404657</v>
      </c>
      <c r="BD29">
        <v>1404657</v>
      </c>
      <c r="BE29">
        <v>1404657</v>
      </c>
      <c r="BF29">
        <v>1404657</v>
      </c>
      <c r="BG29">
        <v>109056</v>
      </c>
      <c r="BH29">
        <v>34055</v>
      </c>
      <c r="BI29">
        <v>34675</v>
      </c>
      <c r="BJ29">
        <v>37254</v>
      </c>
      <c r="BK29">
        <v>33756</v>
      </c>
      <c r="BL29">
        <v>23949</v>
      </c>
      <c r="BM29">
        <v>17429</v>
      </c>
      <c r="BN29">
        <v>65490</v>
      </c>
      <c r="BO29">
        <v>38100</v>
      </c>
      <c r="BP29">
        <v>38134</v>
      </c>
      <c r="BQ29">
        <v>98304</v>
      </c>
      <c r="BR29">
        <v>17063</v>
      </c>
      <c r="BS29">
        <v>32675</v>
      </c>
      <c r="BT29">
        <v>37906</v>
      </c>
      <c r="BU29">
        <v>33984</v>
      </c>
      <c r="BV29">
        <v>39382</v>
      </c>
      <c r="BW29">
        <v>34571</v>
      </c>
      <c r="BX29">
        <v>38513</v>
      </c>
      <c r="BY29">
        <v>39189</v>
      </c>
      <c r="BZ29">
        <v>39145</v>
      </c>
      <c r="CA29">
        <v>99328</v>
      </c>
      <c r="CB29">
        <v>99328</v>
      </c>
      <c r="CC29">
        <v>99328</v>
      </c>
      <c r="CD29">
        <v>99328</v>
      </c>
      <c r="CE29">
        <v>99328</v>
      </c>
      <c r="CF29">
        <v>99328</v>
      </c>
      <c r="CG29">
        <v>99328</v>
      </c>
      <c r="CH29">
        <v>99328</v>
      </c>
      <c r="CI29">
        <v>99328</v>
      </c>
      <c r="CJ29">
        <v>99328</v>
      </c>
      <c r="CK29">
        <v>99328</v>
      </c>
      <c r="CL29">
        <v>99328</v>
      </c>
      <c r="CM29">
        <v>99328</v>
      </c>
      <c r="CN29">
        <v>99328</v>
      </c>
      <c r="CO29">
        <v>99328</v>
      </c>
      <c r="CP29">
        <v>99328</v>
      </c>
      <c r="CQ29">
        <v>99328</v>
      </c>
      <c r="CR29">
        <v>99328</v>
      </c>
      <c r="CS29">
        <v>99328</v>
      </c>
      <c r="CT29">
        <v>99328</v>
      </c>
      <c r="CU29">
        <v>99328</v>
      </c>
      <c r="CV29">
        <v>99328</v>
      </c>
      <c r="CW29">
        <v>99328</v>
      </c>
      <c r="CX29">
        <v>99328</v>
      </c>
      <c r="CY29">
        <v>99328</v>
      </c>
      <c r="CZ29">
        <v>99328</v>
      </c>
      <c r="DA29">
        <v>99328</v>
      </c>
      <c r="DB29">
        <v>99328</v>
      </c>
      <c r="DC29">
        <v>99328</v>
      </c>
      <c r="DD29">
        <v>99328</v>
      </c>
      <c r="DE29">
        <v>99328</v>
      </c>
      <c r="DF29">
        <v>99328</v>
      </c>
      <c r="DG29">
        <v>99328</v>
      </c>
      <c r="DH29">
        <v>99328</v>
      </c>
      <c r="DI29">
        <v>99328</v>
      </c>
      <c r="DJ29">
        <v>99328</v>
      </c>
      <c r="DK29">
        <v>99328</v>
      </c>
      <c r="DL29">
        <v>99328</v>
      </c>
      <c r="DM29">
        <v>99328</v>
      </c>
      <c r="DN29">
        <v>99328</v>
      </c>
      <c r="DO29">
        <v>99328</v>
      </c>
      <c r="DP29">
        <v>99328</v>
      </c>
      <c r="DQ29">
        <v>99328</v>
      </c>
      <c r="DR29">
        <v>99328</v>
      </c>
      <c r="DS29">
        <v>99328</v>
      </c>
      <c r="DT29">
        <v>99328</v>
      </c>
      <c r="DU29">
        <v>99328</v>
      </c>
      <c r="DV29">
        <v>99328</v>
      </c>
      <c r="DW29">
        <v>99328</v>
      </c>
      <c r="DX29">
        <v>99328</v>
      </c>
      <c r="DY29">
        <v>99328</v>
      </c>
      <c r="DZ29">
        <v>99328</v>
      </c>
      <c r="EA29">
        <v>99328</v>
      </c>
      <c r="EB29">
        <v>90624</v>
      </c>
      <c r="EC29">
        <v>90624</v>
      </c>
      <c r="ED29">
        <v>90624</v>
      </c>
      <c r="EE29">
        <v>90624</v>
      </c>
      <c r="EF29">
        <v>90624</v>
      </c>
      <c r="EG29">
        <v>90624</v>
      </c>
      <c r="EH29">
        <v>90624</v>
      </c>
      <c r="EI29">
        <v>90624</v>
      </c>
      <c r="EJ29">
        <v>90624</v>
      </c>
      <c r="EK29">
        <v>90624</v>
      </c>
      <c r="EL29">
        <v>90624</v>
      </c>
      <c r="EM29">
        <v>90624</v>
      </c>
      <c r="EN29">
        <v>90624</v>
      </c>
      <c r="EO29">
        <v>90624</v>
      </c>
      <c r="EP29">
        <v>90624</v>
      </c>
      <c r="EQ29">
        <v>90624</v>
      </c>
      <c r="ER29">
        <v>90624</v>
      </c>
      <c r="ES29">
        <v>90624</v>
      </c>
      <c r="ET29">
        <v>90624</v>
      </c>
      <c r="EU29">
        <v>90624</v>
      </c>
      <c r="EV29">
        <v>90624</v>
      </c>
      <c r="EW29">
        <v>90624</v>
      </c>
      <c r="EX29">
        <v>90624</v>
      </c>
      <c r="EY29">
        <v>90624</v>
      </c>
      <c r="EZ29">
        <v>90624</v>
      </c>
      <c r="FA29">
        <v>90624</v>
      </c>
      <c r="FB29">
        <v>90624</v>
      </c>
      <c r="FC29">
        <v>90624</v>
      </c>
      <c r="FD29">
        <v>90624</v>
      </c>
      <c r="FE29">
        <v>90624</v>
      </c>
      <c r="FF29">
        <v>90624</v>
      </c>
      <c r="FG29">
        <v>90624</v>
      </c>
      <c r="FH29">
        <v>90624</v>
      </c>
      <c r="FI29">
        <v>90624</v>
      </c>
      <c r="FJ29">
        <v>90624</v>
      </c>
      <c r="FK29">
        <v>90624</v>
      </c>
      <c r="FL29">
        <v>90624</v>
      </c>
      <c r="FM29">
        <v>90624</v>
      </c>
      <c r="FN29">
        <v>90624</v>
      </c>
      <c r="FO29">
        <v>90624</v>
      </c>
      <c r="FP29">
        <v>90624</v>
      </c>
      <c r="FQ29">
        <v>90624</v>
      </c>
      <c r="FR29">
        <v>90624</v>
      </c>
      <c r="FS29">
        <v>90624</v>
      </c>
      <c r="FT29">
        <v>90624</v>
      </c>
      <c r="FU29">
        <v>90624</v>
      </c>
      <c r="FV29">
        <v>90624</v>
      </c>
      <c r="FW29">
        <v>90624</v>
      </c>
      <c r="FX29">
        <v>90624</v>
      </c>
      <c r="FY29">
        <v>90624</v>
      </c>
      <c r="FZ29">
        <v>90624</v>
      </c>
      <c r="GA29">
        <v>90624</v>
      </c>
      <c r="GB29">
        <v>90624</v>
      </c>
      <c r="GC29">
        <v>744951</v>
      </c>
      <c r="GD29">
        <v>744951</v>
      </c>
      <c r="GE29">
        <v>744951</v>
      </c>
      <c r="GF29">
        <v>744951</v>
      </c>
      <c r="GG29">
        <v>744951</v>
      </c>
      <c r="GH29">
        <v>744951</v>
      </c>
      <c r="GI29">
        <v>744951</v>
      </c>
      <c r="GJ29">
        <v>744951</v>
      </c>
      <c r="GK29">
        <v>744951</v>
      </c>
      <c r="GL29">
        <v>744951</v>
      </c>
      <c r="GM29">
        <v>744951</v>
      </c>
      <c r="GN29">
        <v>744951</v>
      </c>
      <c r="GO29">
        <v>744951</v>
      </c>
      <c r="GP29">
        <v>744951</v>
      </c>
      <c r="GQ29">
        <v>744951</v>
      </c>
      <c r="GR29">
        <v>744951</v>
      </c>
      <c r="GS29">
        <v>744951</v>
      </c>
      <c r="GT29">
        <v>744951</v>
      </c>
      <c r="GU29">
        <v>744951</v>
      </c>
      <c r="GV29">
        <v>744951</v>
      </c>
      <c r="GW29">
        <v>744951</v>
      </c>
      <c r="GX29">
        <v>744951</v>
      </c>
      <c r="GY29">
        <v>744951</v>
      </c>
      <c r="GZ29">
        <v>744951</v>
      </c>
      <c r="HA29">
        <v>744951</v>
      </c>
      <c r="HB29">
        <v>744951</v>
      </c>
      <c r="HC29">
        <v>744951</v>
      </c>
      <c r="HD29">
        <v>744951</v>
      </c>
      <c r="HE29">
        <v>744951</v>
      </c>
      <c r="HF29">
        <v>744951</v>
      </c>
      <c r="HG29">
        <v>744951</v>
      </c>
      <c r="HH29">
        <v>744951</v>
      </c>
      <c r="HI29">
        <v>744951</v>
      </c>
      <c r="HJ29">
        <v>744951</v>
      </c>
      <c r="HK29">
        <v>744951</v>
      </c>
      <c r="HL29">
        <v>744951</v>
      </c>
      <c r="HM29">
        <v>744951</v>
      </c>
      <c r="HN29">
        <v>744951</v>
      </c>
      <c r="HO29">
        <v>744951</v>
      </c>
      <c r="HP29">
        <v>744951</v>
      </c>
      <c r="HQ29">
        <v>744951</v>
      </c>
      <c r="HR29">
        <v>744951</v>
      </c>
      <c r="HS29">
        <v>744951</v>
      </c>
      <c r="HT29">
        <v>744951</v>
      </c>
      <c r="HU29">
        <v>744951</v>
      </c>
      <c r="HV29">
        <v>744951</v>
      </c>
      <c r="HW29">
        <v>744951</v>
      </c>
      <c r="HX29">
        <v>744951</v>
      </c>
      <c r="HY29">
        <v>744951</v>
      </c>
      <c r="HZ29">
        <v>744951</v>
      </c>
      <c r="IA29">
        <v>744951</v>
      </c>
      <c r="IB29">
        <v>744951</v>
      </c>
      <c r="IC29">
        <v>744951</v>
      </c>
      <c r="ID29">
        <v>744951</v>
      </c>
      <c r="IE29">
        <v>744951</v>
      </c>
      <c r="IF29">
        <v>744951</v>
      </c>
      <c r="IG29">
        <v>744951</v>
      </c>
      <c r="IH29">
        <v>744951</v>
      </c>
      <c r="II29">
        <v>744951</v>
      </c>
      <c r="IJ29">
        <v>744951</v>
      </c>
      <c r="IK29">
        <v>744951</v>
      </c>
      <c r="IL29">
        <v>744951</v>
      </c>
      <c r="IM29">
        <v>744951</v>
      </c>
      <c r="IN29">
        <v>744951</v>
      </c>
      <c r="IO29">
        <v>744951</v>
      </c>
      <c r="IP29">
        <v>744951</v>
      </c>
      <c r="IQ29">
        <v>744951</v>
      </c>
      <c r="IR29">
        <v>744951</v>
      </c>
      <c r="IS29">
        <v>744951</v>
      </c>
      <c r="IT29">
        <v>744951</v>
      </c>
      <c r="IU29">
        <v>744951</v>
      </c>
      <c r="IV29">
        <v>744951</v>
      </c>
      <c r="IW29">
        <v>744951</v>
      </c>
      <c r="IX29">
        <v>232960</v>
      </c>
      <c r="IY29">
        <v>232960</v>
      </c>
      <c r="IZ29">
        <v>232960</v>
      </c>
      <c r="JA29">
        <v>232960</v>
      </c>
      <c r="JB29">
        <v>232960</v>
      </c>
      <c r="JC29">
        <v>232960</v>
      </c>
      <c r="JD29">
        <v>232960</v>
      </c>
      <c r="JE29">
        <v>232960</v>
      </c>
      <c r="JF29">
        <v>232960</v>
      </c>
      <c r="JG29">
        <v>232960</v>
      </c>
      <c r="JH29">
        <v>232960</v>
      </c>
      <c r="JI29">
        <v>232960</v>
      </c>
      <c r="JJ29">
        <v>232960</v>
      </c>
      <c r="JK29">
        <v>232960</v>
      </c>
      <c r="JL29">
        <v>232960</v>
      </c>
      <c r="JM29">
        <v>232960</v>
      </c>
      <c r="JN29">
        <v>232960</v>
      </c>
      <c r="JO29">
        <v>232960</v>
      </c>
      <c r="JP29">
        <v>232960</v>
      </c>
      <c r="JQ29">
        <v>232960</v>
      </c>
      <c r="JR29">
        <v>232960</v>
      </c>
      <c r="JS29">
        <v>232960</v>
      </c>
      <c r="JT29">
        <v>232960</v>
      </c>
      <c r="JU29">
        <v>232960</v>
      </c>
      <c r="JV29">
        <v>232960</v>
      </c>
      <c r="JW29">
        <v>232960</v>
      </c>
      <c r="JX29">
        <v>232960</v>
      </c>
      <c r="JY29">
        <v>232960</v>
      </c>
      <c r="JZ29">
        <v>232960</v>
      </c>
      <c r="KA29">
        <v>232960</v>
      </c>
      <c r="KB29">
        <v>232960</v>
      </c>
      <c r="KC29">
        <v>232960</v>
      </c>
      <c r="KD29">
        <v>232960</v>
      </c>
      <c r="KE29">
        <v>232960</v>
      </c>
      <c r="KF29">
        <v>232960</v>
      </c>
      <c r="KG29">
        <v>232960</v>
      </c>
      <c r="KH29">
        <v>232960</v>
      </c>
      <c r="KI29">
        <v>232960</v>
      </c>
      <c r="KJ29">
        <v>232960</v>
      </c>
      <c r="KK29">
        <v>232960</v>
      </c>
      <c r="KL29">
        <v>232960</v>
      </c>
      <c r="KM29">
        <v>232960</v>
      </c>
      <c r="KN29">
        <v>232960</v>
      </c>
      <c r="KO29">
        <v>232960</v>
      </c>
      <c r="KP29">
        <v>232960</v>
      </c>
      <c r="KQ29">
        <v>232960</v>
      </c>
      <c r="KR29">
        <v>232960</v>
      </c>
      <c r="KS29">
        <v>232960</v>
      </c>
      <c r="KT29">
        <v>232960</v>
      </c>
      <c r="KU29">
        <v>232960</v>
      </c>
      <c r="KV29">
        <v>232960</v>
      </c>
      <c r="KW29">
        <v>232960</v>
      </c>
      <c r="KX29">
        <v>232960</v>
      </c>
      <c r="KY29">
        <v>232960</v>
      </c>
      <c r="KZ29">
        <v>232960</v>
      </c>
      <c r="LA29">
        <v>232960</v>
      </c>
      <c r="LB29">
        <v>232960</v>
      </c>
      <c r="LC29">
        <v>232960</v>
      </c>
      <c r="LD29">
        <v>232960</v>
      </c>
      <c r="LE29">
        <v>232960</v>
      </c>
      <c r="LF29">
        <v>232960</v>
      </c>
      <c r="LG29">
        <v>232960</v>
      </c>
      <c r="LH29">
        <v>232960</v>
      </c>
      <c r="LI29">
        <v>232960</v>
      </c>
      <c r="LJ29">
        <v>232960</v>
      </c>
      <c r="LK29">
        <v>232960</v>
      </c>
      <c r="LL29">
        <v>232960</v>
      </c>
      <c r="LM29">
        <v>232960</v>
      </c>
      <c r="LN29">
        <v>232960</v>
      </c>
      <c r="LO29">
        <v>232960</v>
      </c>
      <c r="LP29">
        <v>232960</v>
      </c>
      <c r="LQ29">
        <v>232960</v>
      </c>
      <c r="LR29">
        <v>232960</v>
      </c>
      <c r="LS29">
        <v>232960</v>
      </c>
      <c r="LT29">
        <v>232960</v>
      </c>
      <c r="LU29">
        <v>232960</v>
      </c>
      <c r="LV29">
        <v>232960</v>
      </c>
      <c r="LW29">
        <v>232960</v>
      </c>
      <c r="LX29">
        <v>232960</v>
      </c>
      <c r="LY29">
        <v>232960</v>
      </c>
      <c r="LZ29">
        <v>232960</v>
      </c>
      <c r="MA29">
        <v>232960</v>
      </c>
      <c r="MB29">
        <v>232960</v>
      </c>
      <c r="MC29">
        <v>232960</v>
      </c>
      <c r="MD29">
        <v>232960</v>
      </c>
      <c r="ME29">
        <v>232960</v>
      </c>
      <c r="MF29">
        <v>232960</v>
      </c>
      <c r="MG29">
        <v>236544</v>
      </c>
      <c r="MH29">
        <v>236544</v>
      </c>
      <c r="MI29">
        <v>236544</v>
      </c>
      <c r="MJ29">
        <v>236544</v>
      </c>
      <c r="MK29">
        <v>236544</v>
      </c>
      <c r="ML29">
        <v>236544</v>
      </c>
      <c r="MM29">
        <v>236544</v>
      </c>
      <c r="MN29">
        <v>236544</v>
      </c>
      <c r="MO29">
        <v>236544</v>
      </c>
      <c r="MP29">
        <v>236544</v>
      </c>
      <c r="MQ29">
        <v>236544</v>
      </c>
      <c r="MR29">
        <v>236544</v>
      </c>
      <c r="MS29">
        <v>236544</v>
      </c>
      <c r="MT29">
        <v>236544</v>
      </c>
      <c r="MU29">
        <v>236544</v>
      </c>
      <c r="MV29">
        <v>236544</v>
      </c>
      <c r="MW29">
        <v>236544</v>
      </c>
      <c r="MX29">
        <v>236544</v>
      </c>
      <c r="MY29">
        <v>236544</v>
      </c>
      <c r="MZ29">
        <v>236544</v>
      </c>
      <c r="NA29">
        <v>236544</v>
      </c>
      <c r="NB29">
        <v>236544</v>
      </c>
      <c r="NC29">
        <v>236544</v>
      </c>
      <c r="ND29">
        <v>236544</v>
      </c>
      <c r="NE29">
        <v>236544</v>
      </c>
      <c r="NF29">
        <v>236544</v>
      </c>
      <c r="NG29">
        <v>236544</v>
      </c>
      <c r="NH29">
        <v>236544</v>
      </c>
      <c r="NI29">
        <v>236544</v>
      </c>
      <c r="NJ29">
        <v>236544</v>
      </c>
      <c r="NK29">
        <v>236544</v>
      </c>
      <c r="NL29">
        <v>236544</v>
      </c>
      <c r="NM29">
        <v>236544</v>
      </c>
      <c r="NN29">
        <v>236544</v>
      </c>
      <c r="NO29">
        <v>236544</v>
      </c>
      <c r="NP29">
        <v>236544</v>
      </c>
      <c r="NQ29">
        <v>236544</v>
      </c>
      <c r="NR29">
        <v>236544</v>
      </c>
      <c r="NS29">
        <v>236544</v>
      </c>
      <c r="NT29">
        <v>236544</v>
      </c>
      <c r="NU29">
        <v>236544</v>
      </c>
      <c r="NV29">
        <v>236544</v>
      </c>
      <c r="NW29">
        <v>236544</v>
      </c>
      <c r="NX29">
        <v>236544</v>
      </c>
      <c r="NY29">
        <v>236544</v>
      </c>
      <c r="NZ29">
        <v>236544</v>
      </c>
      <c r="OA29">
        <v>236544</v>
      </c>
      <c r="OB29">
        <v>236544</v>
      </c>
      <c r="OC29">
        <v>236544</v>
      </c>
      <c r="OD29">
        <v>236544</v>
      </c>
      <c r="OE29">
        <v>236544</v>
      </c>
      <c r="OF29">
        <v>236544</v>
      </c>
      <c r="OG29">
        <v>236544</v>
      </c>
      <c r="OH29">
        <v>236544</v>
      </c>
      <c r="OI29">
        <v>236544</v>
      </c>
      <c r="OJ29">
        <v>236544</v>
      </c>
      <c r="OK29">
        <v>236544</v>
      </c>
      <c r="OL29">
        <v>236544</v>
      </c>
      <c r="OM29">
        <v>236544</v>
      </c>
      <c r="ON29">
        <v>236544</v>
      </c>
      <c r="OO29">
        <v>236544</v>
      </c>
      <c r="OP29">
        <v>236544</v>
      </c>
      <c r="OQ29">
        <v>236544</v>
      </c>
      <c r="OR29">
        <v>236544</v>
      </c>
      <c r="OS29">
        <v>236544</v>
      </c>
      <c r="OT29">
        <v>236544</v>
      </c>
      <c r="OU29">
        <v>236544</v>
      </c>
      <c r="OV29">
        <v>236544</v>
      </c>
      <c r="OW29">
        <v>236544</v>
      </c>
      <c r="OX29">
        <v>236544</v>
      </c>
      <c r="OY29">
        <v>236544</v>
      </c>
      <c r="OZ29">
        <v>236544</v>
      </c>
      <c r="PA29">
        <v>236544</v>
      </c>
      <c r="PB29">
        <v>236544</v>
      </c>
      <c r="PC29">
        <v>236544</v>
      </c>
      <c r="PD29">
        <v>236544</v>
      </c>
      <c r="PE29">
        <v>236544</v>
      </c>
      <c r="PF29">
        <v>236544</v>
      </c>
      <c r="PG29">
        <v>236544</v>
      </c>
      <c r="PH29">
        <v>236544</v>
      </c>
      <c r="PI29">
        <v>236544</v>
      </c>
      <c r="PJ29">
        <v>236544</v>
      </c>
      <c r="PK29">
        <v>236544</v>
      </c>
      <c r="PL29">
        <v>236544</v>
      </c>
      <c r="PM29">
        <v>236544</v>
      </c>
      <c r="PN29">
        <v>236544</v>
      </c>
      <c r="PO29">
        <v>236544</v>
      </c>
      <c r="PP29">
        <v>238080</v>
      </c>
      <c r="PQ29">
        <v>238080</v>
      </c>
      <c r="PR29">
        <v>238080</v>
      </c>
      <c r="PS29">
        <v>238080</v>
      </c>
      <c r="PT29">
        <v>238080</v>
      </c>
      <c r="PU29">
        <v>238080</v>
      </c>
      <c r="PV29">
        <v>238080</v>
      </c>
      <c r="PW29">
        <v>238080</v>
      </c>
      <c r="PX29">
        <v>238080</v>
      </c>
      <c r="PY29">
        <v>238080</v>
      </c>
      <c r="PZ29">
        <v>238080</v>
      </c>
      <c r="QA29">
        <v>238080</v>
      </c>
      <c r="QB29">
        <v>238080</v>
      </c>
      <c r="QC29">
        <v>238080</v>
      </c>
      <c r="QD29">
        <v>238080</v>
      </c>
      <c r="QE29">
        <v>238080</v>
      </c>
      <c r="QF29">
        <v>238080</v>
      </c>
      <c r="QG29">
        <v>238080</v>
      </c>
      <c r="QH29">
        <v>238080</v>
      </c>
      <c r="QI29">
        <v>238080</v>
      </c>
      <c r="QJ29">
        <v>238080</v>
      </c>
      <c r="QK29">
        <v>238080</v>
      </c>
      <c r="QL29">
        <v>238080</v>
      </c>
      <c r="QM29">
        <v>238080</v>
      </c>
      <c r="QN29">
        <v>238080</v>
      </c>
      <c r="QO29">
        <v>238080</v>
      </c>
      <c r="QP29">
        <v>238080</v>
      </c>
      <c r="QQ29">
        <v>238080</v>
      </c>
      <c r="QR29">
        <v>238080</v>
      </c>
      <c r="QS29">
        <v>238080</v>
      </c>
      <c r="QT29">
        <v>238080</v>
      </c>
      <c r="QU29">
        <v>238080</v>
      </c>
      <c r="QV29">
        <v>238080</v>
      </c>
      <c r="QW29">
        <v>238080</v>
      </c>
      <c r="QX29">
        <v>238080</v>
      </c>
      <c r="QY29">
        <v>238080</v>
      </c>
      <c r="QZ29">
        <v>238080</v>
      </c>
      <c r="RA29">
        <v>238080</v>
      </c>
      <c r="RB29">
        <v>238080</v>
      </c>
      <c r="RC29">
        <v>238080</v>
      </c>
      <c r="RD29">
        <v>238080</v>
      </c>
      <c r="RE29">
        <v>238080</v>
      </c>
      <c r="RF29">
        <v>238080</v>
      </c>
      <c r="RG29">
        <v>238080</v>
      </c>
      <c r="RH29">
        <v>238080</v>
      </c>
      <c r="RI29">
        <v>238080</v>
      </c>
      <c r="RJ29">
        <v>238080</v>
      </c>
      <c r="RK29">
        <v>238080</v>
      </c>
      <c r="RL29">
        <v>238080</v>
      </c>
      <c r="RM29">
        <v>238080</v>
      </c>
      <c r="RN29">
        <v>238080</v>
      </c>
      <c r="RO29">
        <v>238080</v>
      </c>
      <c r="RP29">
        <v>238080</v>
      </c>
      <c r="RQ29">
        <v>238080</v>
      </c>
      <c r="RR29">
        <v>238080</v>
      </c>
      <c r="RS29">
        <v>238080</v>
      </c>
      <c r="RT29">
        <v>238080</v>
      </c>
      <c r="RU29">
        <v>238080</v>
      </c>
      <c r="RV29">
        <v>238080</v>
      </c>
      <c r="RW29">
        <v>238080</v>
      </c>
      <c r="RX29">
        <v>238080</v>
      </c>
      <c r="RY29">
        <v>238080</v>
      </c>
      <c r="RZ29">
        <v>238080</v>
      </c>
      <c r="SA29">
        <v>238080</v>
      </c>
      <c r="SB29">
        <v>238080</v>
      </c>
      <c r="SC29">
        <v>238080</v>
      </c>
      <c r="SD29">
        <v>238080</v>
      </c>
      <c r="SE29">
        <v>238080</v>
      </c>
      <c r="SF29">
        <v>238080</v>
      </c>
      <c r="SG29">
        <v>238080</v>
      </c>
      <c r="SH29">
        <v>238080</v>
      </c>
      <c r="SI29">
        <v>238080</v>
      </c>
      <c r="SJ29">
        <v>238080</v>
      </c>
      <c r="SK29">
        <v>238080</v>
      </c>
      <c r="SL29">
        <v>238080</v>
      </c>
      <c r="SM29">
        <v>238080</v>
      </c>
      <c r="SN29">
        <v>238080</v>
      </c>
      <c r="SO29">
        <v>238080</v>
      </c>
      <c r="SP29">
        <v>238080</v>
      </c>
      <c r="SQ29">
        <v>238080</v>
      </c>
      <c r="SR29">
        <v>238080</v>
      </c>
      <c r="SS29">
        <v>238080</v>
      </c>
      <c r="ST29">
        <v>238080</v>
      </c>
      <c r="SU29">
        <v>238080</v>
      </c>
      <c r="SV29">
        <v>238080</v>
      </c>
      <c r="SW29">
        <v>238080</v>
      </c>
      <c r="SX29">
        <v>238080</v>
      </c>
      <c r="SY29">
        <v>269824</v>
      </c>
      <c r="SZ29">
        <v>269824</v>
      </c>
      <c r="TA29">
        <v>269824</v>
      </c>
      <c r="TB29">
        <v>269824</v>
      </c>
      <c r="TC29">
        <v>269824</v>
      </c>
      <c r="TD29">
        <v>269824</v>
      </c>
      <c r="TE29">
        <v>269824</v>
      </c>
      <c r="TF29">
        <v>269824</v>
      </c>
      <c r="TG29">
        <v>269824</v>
      </c>
      <c r="TH29">
        <v>269824</v>
      </c>
      <c r="TI29">
        <v>269824</v>
      </c>
      <c r="TJ29">
        <v>269824</v>
      </c>
      <c r="TK29">
        <v>269824</v>
      </c>
      <c r="TL29">
        <v>269824</v>
      </c>
      <c r="TM29">
        <v>269824</v>
      </c>
      <c r="TN29">
        <v>269824</v>
      </c>
      <c r="TO29">
        <v>269824</v>
      </c>
      <c r="TP29">
        <v>269824</v>
      </c>
      <c r="TQ29">
        <v>269824</v>
      </c>
      <c r="TR29">
        <v>269824</v>
      </c>
      <c r="TS29">
        <v>269824</v>
      </c>
      <c r="TT29">
        <v>269824</v>
      </c>
      <c r="TU29">
        <v>269824</v>
      </c>
      <c r="TV29">
        <v>269824</v>
      </c>
      <c r="TW29">
        <v>269824</v>
      </c>
      <c r="TX29">
        <v>269824</v>
      </c>
      <c r="TY29">
        <v>269824</v>
      </c>
      <c r="TZ29">
        <v>269824</v>
      </c>
      <c r="UA29">
        <v>269824</v>
      </c>
      <c r="UB29">
        <v>269824</v>
      </c>
      <c r="UC29">
        <v>269824</v>
      </c>
      <c r="UD29">
        <v>269824</v>
      </c>
      <c r="UE29">
        <v>269824</v>
      </c>
      <c r="UF29">
        <v>269824</v>
      </c>
      <c r="UG29">
        <v>269824</v>
      </c>
      <c r="UH29">
        <v>269824</v>
      </c>
      <c r="UI29">
        <v>269824</v>
      </c>
      <c r="UJ29">
        <v>269824</v>
      </c>
      <c r="UK29">
        <v>269824</v>
      </c>
      <c r="UL29">
        <v>269824</v>
      </c>
      <c r="UM29">
        <v>269824</v>
      </c>
      <c r="UN29">
        <v>269824</v>
      </c>
      <c r="UO29">
        <v>269824</v>
      </c>
      <c r="UP29">
        <v>269824</v>
      </c>
      <c r="UQ29">
        <v>269824</v>
      </c>
      <c r="UR29">
        <v>269824</v>
      </c>
      <c r="US29">
        <v>269824</v>
      </c>
      <c r="UT29">
        <v>269824</v>
      </c>
      <c r="UU29">
        <v>269824</v>
      </c>
      <c r="UV29">
        <v>269824</v>
      </c>
      <c r="UW29">
        <v>269824</v>
      </c>
      <c r="UX29">
        <v>269824</v>
      </c>
      <c r="UY29">
        <v>269824</v>
      </c>
      <c r="UZ29">
        <v>269824</v>
      </c>
      <c r="VA29">
        <v>269824</v>
      </c>
      <c r="VB29">
        <v>269824</v>
      </c>
      <c r="VC29">
        <v>269824</v>
      </c>
      <c r="VD29">
        <v>269824</v>
      </c>
      <c r="VE29">
        <v>269824</v>
      </c>
      <c r="VF29">
        <v>269824</v>
      </c>
      <c r="VG29">
        <v>269824</v>
      </c>
      <c r="VH29">
        <v>269824</v>
      </c>
      <c r="VI29">
        <v>269824</v>
      </c>
      <c r="VJ29">
        <v>269824</v>
      </c>
      <c r="VK29">
        <v>269824</v>
      </c>
      <c r="VL29">
        <v>269824</v>
      </c>
      <c r="VM29">
        <v>269824</v>
      </c>
      <c r="VN29">
        <v>269824</v>
      </c>
      <c r="VO29">
        <v>269824</v>
      </c>
      <c r="VP29">
        <v>269824</v>
      </c>
      <c r="VQ29">
        <v>269824</v>
      </c>
      <c r="VR29">
        <v>269824</v>
      </c>
      <c r="VS29">
        <v>269824</v>
      </c>
      <c r="VT29">
        <v>269824</v>
      </c>
      <c r="VU29">
        <v>269824</v>
      </c>
      <c r="VV29">
        <v>269824</v>
      </c>
      <c r="VW29">
        <v>269824</v>
      </c>
      <c r="VX29">
        <v>269824</v>
      </c>
      <c r="VY29">
        <v>269824</v>
      </c>
      <c r="VZ29">
        <v>269824</v>
      </c>
      <c r="WA29">
        <v>269824</v>
      </c>
      <c r="WB29">
        <v>269824</v>
      </c>
      <c r="WC29">
        <v>269824</v>
      </c>
      <c r="WD29">
        <v>269824</v>
      </c>
      <c r="WE29">
        <v>269824</v>
      </c>
      <c r="WF29">
        <v>269824</v>
      </c>
      <c r="WG29">
        <v>269824</v>
      </c>
      <c r="WH29">
        <v>276480</v>
      </c>
      <c r="WI29">
        <v>276480</v>
      </c>
      <c r="WJ29">
        <v>276480</v>
      </c>
      <c r="WK29">
        <v>276480</v>
      </c>
      <c r="WL29">
        <v>276480</v>
      </c>
      <c r="WM29">
        <v>276480</v>
      </c>
      <c r="WN29">
        <v>276480</v>
      </c>
      <c r="WO29">
        <v>276480</v>
      </c>
      <c r="WP29">
        <v>276480</v>
      </c>
      <c r="WQ29">
        <v>276480</v>
      </c>
      <c r="WR29">
        <v>276480</v>
      </c>
      <c r="WS29">
        <v>276480</v>
      </c>
      <c r="WT29">
        <v>276480</v>
      </c>
      <c r="WU29">
        <v>276480</v>
      </c>
      <c r="WV29">
        <v>276480</v>
      </c>
      <c r="WW29">
        <v>276480</v>
      </c>
      <c r="WX29">
        <v>276480</v>
      </c>
      <c r="WY29">
        <v>276480</v>
      </c>
      <c r="WZ29">
        <v>276480</v>
      </c>
      <c r="XA29">
        <v>276480</v>
      </c>
      <c r="XB29">
        <v>276480</v>
      </c>
      <c r="XC29">
        <v>276480</v>
      </c>
      <c r="XD29">
        <v>276480</v>
      </c>
      <c r="XE29">
        <v>276480</v>
      </c>
      <c r="XF29">
        <v>276480</v>
      </c>
      <c r="XG29">
        <v>276480</v>
      </c>
      <c r="XH29">
        <v>276480</v>
      </c>
      <c r="XI29">
        <v>276480</v>
      </c>
      <c r="XJ29">
        <v>276480</v>
      </c>
      <c r="XK29">
        <v>276480</v>
      </c>
      <c r="XL29">
        <v>276480</v>
      </c>
      <c r="XM29">
        <v>276480</v>
      </c>
      <c r="XN29">
        <v>276480</v>
      </c>
      <c r="XO29">
        <v>276480</v>
      </c>
      <c r="XP29">
        <v>276480</v>
      </c>
      <c r="XQ29">
        <v>276480</v>
      </c>
      <c r="XR29">
        <v>276480</v>
      </c>
      <c r="XS29">
        <v>276480</v>
      </c>
      <c r="XT29">
        <v>276480</v>
      </c>
      <c r="XU29">
        <v>276480</v>
      </c>
      <c r="XV29">
        <v>276480</v>
      </c>
      <c r="XW29">
        <v>276480</v>
      </c>
      <c r="XX29">
        <v>276480</v>
      </c>
      <c r="XY29">
        <v>276480</v>
      </c>
      <c r="XZ29">
        <v>276480</v>
      </c>
      <c r="YA29">
        <v>276480</v>
      </c>
      <c r="YB29">
        <v>276480</v>
      </c>
      <c r="YC29">
        <v>276480</v>
      </c>
      <c r="YD29">
        <v>276480</v>
      </c>
      <c r="YE29">
        <v>276480</v>
      </c>
      <c r="YF29">
        <v>276480</v>
      </c>
      <c r="YG29">
        <v>276480</v>
      </c>
      <c r="YH29">
        <v>276480</v>
      </c>
      <c r="YI29">
        <v>276480</v>
      </c>
      <c r="YJ29">
        <v>276480</v>
      </c>
      <c r="YK29">
        <v>276480</v>
      </c>
      <c r="YL29">
        <v>276480</v>
      </c>
      <c r="YM29">
        <v>276480</v>
      </c>
      <c r="YN29">
        <v>276480</v>
      </c>
      <c r="YO29">
        <v>276480</v>
      </c>
      <c r="YP29">
        <v>276480</v>
      </c>
      <c r="YQ29">
        <v>276480</v>
      </c>
      <c r="YR29">
        <v>276480</v>
      </c>
      <c r="YS29">
        <v>276480</v>
      </c>
      <c r="YT29">
        <v>276480</v>
      </c>
      <c r="YU29">
        <v>276480</v>
      </c>
      <c r="YV29">
        <v>276480</v>
      </c>
      <c r="YW29">
        <v>276480</v>
      </c>
      <c r="YX29">
        <v>276480</v>
      </c>
      <c r="YY29">
        <v>276480</v>
      </c>
      <c r="YZ29">
        <v>276480</v>
      </c>
      <c r="ZA29">
        <v>276480</v>
      </c>
      <c r="ZB29">
        <v>276480</v>
      </c>
      <c r="ZC29">
        <v>276480</v>
      </c>
      <c r="ZD29">
        <v>276480</v>
      </c>
      <c r="ZE29">
        <v>276480</v>
      </c>
      <c r="ZF29">
        <v>276480</v>
      </c>
      <c r="ZG29">
        <v>276480</v>
      </c>
      <c r="ZH29">
        <v>276480</v>
      </c>
      <c r="ZI29">
        <v>276480</v>
      </c>
      <c r="ZJ29">
        <v>276480</v>
      </c>
      <c r="ZK29">
        <v>276480</v>
      </c>
      <c r="ZL29">
        <v>276480</v>
      </c>
      <c r="ZM29">
        <v>276480</v>
      </c>
      <c r="ZN29">
        <v>276480</v>
      </c>
      <c r="ZO29">
        <v>276480</v>
      </c>
      <c r="ZP29">
        <v>276480</v>
      </c>
      <c r="ZQ29">
        <v>143228</v>
      </c>
      <c r="ZR29">
        <v>143228</v>
      </c>
      <c r="ZS29">
        <v>143228</v>
      </c>
      <c r="ZT29">
        <v>143228</v>
      </c>
      <c r="ZU29">
        <v>143228</v>
      </c>
      <c r="ZV29">
        <v>143228</v>
      </c>
      <c r="ZW29">
        <v>143228</v>
      </c>
      <c r="ZX29">
        <v>143228</v>
      </c>
      <c r="ZY29">
        <v>143228</v>
      </c>
      <c r="ZZ29">
        <v>143228</v>
      </c>
      <c r="AAA29">
        <v>143228</v>
      </c>
      <c r="AAB29">
        <v>143228</v>
      </c>
      <c r="AAC29">
        <v>143228</v>
      </c>
      <c r="AAD29">
        <v>143228</v>
      </c>
      <c r="AAE29">
        <v>143228</v>
      </c>
      <c r="AAF29">
        <v>143228</v>
      </c>
      <c r="AAG29">
        <v>143228</v>
      </c>
      <c r="AAH29">
        <v>143228</v>
      </c>
      <c r="AAI29">
        <v>143228</v>
      </c>
      <c r="AAJ29">
        <v>143228</v>
      </c>
      <c r="AAK29">
        <v>143228</v>
      </c>
      <c r="AAL29">
        <v>143228</v>
      </c>
      <c r="AAM29">
        <v>143228</v>
      </c>
      <c r="AAN29">
        <v>143228</v>
      </c>
      <c r="AAO29">
        <v>143228</v>
      </c>
      <c r="AAP29">
        <v>143228</v>
      </c>
      <c r="AAQ29">
        <v>143228</v>
      </c>
      <c r="AAR29">
        <v>143228</v>
      </c>
      <c r="AAS29">
        <v>143228</v>
      </c>
      <c r="AAT29">
        <v>143228</v>
      </c>
      <c r="AAU29">
        <v>143228</v>
      </c>
      <c r="AAV29">
        <v>143228</v>
      </c>
      <c r="AAW29">
        <v>143228</v>
      </c>
      <c r="AAX29">
        <v>143228</v>
      </c>
      <c r="AAY29">
        <v>143228</v>
      </c>
      <c r="AAZ29">
        <v>143228</v>
      </c>
      <c r="ABA29">
        <v>143228</v>
      </c>
      <c r="ABB29">
        <v>143228</v>
      </c>
      <c r="ABC29">
        <v>143228</v>
      </c>
      <c r="ABD29">
        <v>143228</v>
      </c>
      <c r="ABE29">
        <v>143228</v>
      </c>
      <c r="ABF29">
        <v>143228</v>
      </c>
      <c r="ABG29">
        <v>143228</v>
      </c>
      <c r="ABH29">
        <v>143228</v>
      </c>
      <c r="ABI29">
        <v>143228</v>
      </c>
      <c r="ABJ29">
        <v>143228</v>
      </c>
      <c r="ABK29">
        <v>143228</v>
      </c>
      <c r="ABL29">
        <v>143228</v>
      </c>
      <c r="ABM29">
        <v>143228</v>
      </c>
      <c r="ABN29">
        <v>143228</v>
      </c>
      <c r="ABO29">
        <v>143228</v>
      </c>
      <c r="ABP29">
        <v>143228</v>
      </c>
      <c r="ABQ29">
        <v>143228</v>
      </c>
      <c r="ABR29">
        <v>143228</v>
      </c>
      <c r="ABS29">
        <v>143228</v>
      </c>
      <c r="ABT29">
        <v>143228</v>
      </c>
      <c r="ABU29">
        <v>143228</v>
      </c>
      <c r="ABV29">
        <v>143228</v>
      </c>
      <c r="ABW29">
        <v>143228</v>
      </c>
      <c r="ABX29">
        <v>143228</v>
      </c>
      <c r="ABY29">
        <v>143228</v>
      </c>
      <c r="ABZ29">
        <v>143228</v>
      </c>
      <c r="ACA29">
        <v>143228</v>
      </c>
      <c r="ACB29">
        <v>143228</v>
      </c>
      <c r="ACC29">
        <v>143228</v>
      </c>
      <c r="ACD29">
        <v>143228</v>
      </c>
      <c r="ACE29">
        <v>143228</v>
      </c>
      <c r="ACF29">
        <v>143228</v>
      </c>
      <c r="ACG29">
        <v>143228</v>
      </c>
      <c r="ACH29">
        <v>143228</v>
      </c>
      <c r="ACI29">
        <v>143228</v>
      </c>
      <c r="ACJ29">
        <v>143228</v>
      </c>
      <c r="ACK29">
        <v>143228</v>
      </c>
      <c r="ACL29">
        <v>143228</v>
      </c>
      <c r="ACM29">
        <v>143228</v>
      </c>
      <c r="ACN29">
        <v>143228</v>
      </c>
      <c r="ACO29">
        <v>143228</v>
      </c>
      <c r="ACP29">
        <v>143228</v>
      </c>
      <c r="ACQ29">
        <v>143228</v>
      </c>
      <c r="ACR29">
        <v>143228</v>
      </c>
      <c r="ACS29">
        <v>143228</v>
      </c>
      <c r="ACT29">
        <v>143228</v>
      </c>
      <c r="ACU29">
        <v>143228</v>
      </c>
      <c r="ACV29">
        <v>143228</v>
      </c>
      <c r="ACW29">
        <v>143228</v>
      </c>
      <c r="ACX29">
        <v>143228</v>
      </c>
      <c r="ACY29">
        <v>143228</v>
      </c>
      <c r="ACZ29">
        <v>143228</v>
      </c>
      <c r="ADA29">
        <v>143228</v>
      </c>
      <c r="ADB29">
        <v>143228</v>
      </c>
      <c r="ADC29">
        <v>143228</v>
      </c>
      <c r="ADD29">
        <v>143228</v>
      </c>
      <c r="ADE29">
        <v>143228</v>
      </c>
      <c r="ADF29">
        <v>143228</v>
      </c>
      <c r="ADG29">
        <v>143228</v>
      </c>
      <c r="ADH29">
        <v>143228</v>
      </c>
      <c r="ADI29">
        <v>143228</v>
      </c>
      <c r="ADJ29">
        <v>143228</v>
      </c>
      <c r="ADK29">
        <v>143228</v>
      </c>
      <c r="ADL29">
        <v>143228</v>
      </c>
      <c r="ADM29">
        <v>143228</v>
      </c>
      <c r="ADN29">
        <v>143228</v>
      </c>
      <c r="ADO29">
        <v>143228</v>
      </c>
      <c r="ADP29">
        <v>143228</v>
      </c>
      <c r="ADQ29">
        <v>143228</v>
      </c>
      <c r="ADR29">
        <v>143228</v>
      </c>
      <c r="ADS29">
        <v>143228</v>
      </c>
      <c r="ADT29">
        <v>143228</v>
      </c>
      <c r="ADU29">
        <v>143228</v>
      </c>
      <c r="ADV29">
        <v>143228</v>
      </c>
      <c r="ADW29">
        <v>143228</v>
      </c>
      <c r="ADX29">
        <v>143228</v>
      </c>
      <c r="ADY29">
        <v>143228</v>
      </c>
      <c r="ADZ29">
        <v>143228</v>
      </c>
      <c r="AEA29">
        <v>143228</v>
      </c>
      <c r="AEB29">
        <v>143228</v>
      </c>
      <c r="AEC29">
        <v>143228</v>
      </c>
      <c r="AED29">
        <v>143228</v>
      </c>
      <c r="AEE29">
        <v>143228</v>
      </c>
      <c r="AEF29">
        <v>143228</v>
      </c>
      <c r="AEG29">
        <v>143228</v>
      </c>
      <c r="AEH29">
        <v>143228</v>
      </c>
      <c r="AEI29">
        <v>143228</v>
      </c>
      <c r="AEJ29">
        <v>143228</v>
      </c>
      <c r="AEK29">
        <v>143228</v>
      </c>
      <c r="AEL29">
        <v>143228</v>
      </c>
      <c r="AEM29">
        <v>143228</v>
      </c>
      <c r="AEN29">
        <v>143228</v>
      </c>
      <c r="AEO29">
        <v>143228</v>
      </c>
      <c r="AEP29">
        <v>143228</v>
      </c>
      <c r="AEQ29">
        <v>143228</v>
      </c>
      <c r="AER29">
        <v>143228</v>
      </c>
      <c r="AES29">
        <v>143228</v>
      </c>
      <c r="AET29">
        <v>143228</v>
      </c>
      <c r="AEU29">
        <v>143228</v>
      </c>
      <c r="AEV29">
        <v>143228</v>
      </c>
      <c r="AEW29">
        <v>143228</v>
      </c>
      <c r="AEX29">
        <v>143228</v>
      </c>
      <c r="AEY29">
        <v>143228</v>
      </c>
      <c r="AEZ29">
        <v>143228</v>
      </c>
      <c r="AFA29">
        <v>143228</v>
      </c>
      <c r="AFB29">
        <v>143228</v>
      </c>
      <c r="AFC29">
        <v>143228</v>
      </c>
      <c r="AFD29">
        <v>143228</v>
      </c>
      <c r="AFE29">
        <v>143228</v>
      </c>
      <c r="AFF29">
        <v>143228</v>
      </c>
      <c r="AFG29">
        <v>143228</v>
      </c>
      <c r="AFH29">
        <v>143228</v>
      </c>
      <c r="AFI29">
        <v>143228</v>
      </c>
      <c r="AFJ29">
        <v>143228</v>
      </c>
      <c r="AFK29">
        <v>143228</v>
      </c>
      <c r="AFL29">
        <v>143228</v>
      </c>
      <c r="AFM29">
        <v>143228</v>
      </c>
      <c r="AFN29">
        <v>143228</v>
      </c>
      <c r="AFO29">
        <v>143228</v>
      </c>
      <c r="AFP29">
        <v>143228</v>
      </c>
      <c r="AFQ29">
        <v>143228</v>
      </c>
      <c r="AFR29">
        <v>143228</v>
      </c>
      <c r="AFS29">
        <v>143228</v>
      </c>
      <c r="AFT29">
        <v>143228</v>
      </c>
      <c r="AFU29">
        <v>143228</v>
      </c>
      <c r="AFV29">
        <v>143228</v>
      </c>
      <c r="AFW29">
        <v>143228</v>
      </c>
      <c r="AFX29">
        <v>143228</v>
      </c>
      <c r="AFY29">
        <v>143228</v>
      </c>
      <c r="AFZ29">
        <v>143228</v>
      </c>
      <c r="AGA29">
        <v>143228</v>
      </c>
      <c r="AGB29">
        <v>143228</v>
      </c>
      <c r="AGC29">
        <v>143228</v>
      </c>
      <c r="AGD29">
        <v>143228</v>
      </c>
      <c r="AGE29">
        <v>143228</v>
      </c>
      <c r="AGF29">
        <v>143228</v>
      </c>
      <c r="AGG29">
        <v>143228</v>
      </c>
      <c r="AGH29">
        <v>143228</v>
      </c>
      <c r="AGI29">
        <v>143228</v>
      </c>
      <c r="AGJ29">
        <v>143228</v>
      </c>
      <c r="AGK29">
        <v>143228</v>
      </c>
      <c r="AGL29">
        <v>143228</v>
      </c>
      <c r="AGM29">
        <v>143228</v>
      </c>
      <c r="AGN29">
        <v>143228</v>
      </c>
      <c r="AGO29">
        <v>143228</v>
      </c>
      <c r="AGP29">
        <v>143228</v>
      </c>
      <c r="AGQ29">
        <v>143228</v>
      </c>
      <c r="AGR29">
        <v>143228</v>
      </c>
      <c r="AGS29">
        <v>143228</v>
      </c>
      <c r="AGT29">
        <v>143228</v>
      </c>
      <c r="AGU29">
        <v>143228</v>
      </c>
      <c r="AGV29">
        <v>143228</v>
      </c>
      <c r="AGW29">
        <v>143228</v>
      </c>
      <c r="AGX29">
        <v>143228</v>
      </c>
      <c r="AGY29">
        <v>143228</v>
      </c>
      <c r="AGZ29">
        <v>143228</v>
      </c>
      <c r="AHA29">
        <v>143228</v>
      </c>
      <c r="AHB29">
        <v>143228</v>
      </c>
      <c r="AHC29">
        <v>143228</v>
      </c>
      <c r="AHD29">
        <v>143228</v>
      </c>
      <c r="AHE29">
        <v>143228</v>
      </c>
      <c r="AHF29">
        <v>143228</v>
      </c>
      <c r="AHG29">
        <v>143228</v>
      </c>
      <c r="AHH29">
        <v>143228</v>
      </c>
      <c r="AHI29">
        <v>143228</v>
      </c>
      <c r="AHJ29">
        <v>143228</v>
      </c>
      <c r="AHK29">
        <v>143228</v>
      </c>
      <c r="AHL29">
        <v>143228</v>
      </c>
      <c r="AHM29">
        <v>143228</v>
      </c>
      <c r="AHN29">
        <v>143228</v>
      </c>
      <c r="AHO29">
        <v>143228</v>
      </c>
      <c r="AHP29">
        <v>143228</v>
      </c>
      <c r="AHQ29">
        <v>143228</v>
      </c>
      <c r="AHR29">
        <v>143228</v>
      </c>
      <c r="AHS29">
        <v>143228</v>
      </c>
      <c r="AHT29">
        <v>143228</v>
      </c>
      <c r="AHU29">
        <v>143228</v>
      </c>
      <c r="AHV29">
        <v>143228</v>
      </c>
      <c r="AHW29">
        <v>143228</v>
      </c>
      <c r="AHX29">
        <v>143228</v>
      </c>
      <c r="AHY29">
        <v>143228</v>
      </c>
      <c r="AHZ29">
        <v>143228</v>
      </c>
      <c r="AIA29">
        <v>143228</v>
      </c>
      <c r="AIB29">
        <v>143228</v>
      </c>
      <c r="AIC29">
        <v>143228</v>
      </c>
      <c r="AID29">
        <v>143228</v>
      </c>
      <c r="AIE29">
        <v>143228</v>
      </c>
      <c r="AIF29">
        <v>143228</v>
      </c>
      <c r="AIG29">
        <v>143228</v>
      </c>
      <c r="AIH29">
        <v>143228</v>
      </c>
      <c r="AII29">
        <v>143228</v>
      </c>
      <c r="AIJ29">
        <v>143228</v>
      </c>
      <c r="AIK29">
        <v>143228</v>
      </c>
      <c r="AIL29">
        <v>143228</v>
      </c>
      <c r="AIM29">
        <v>143228</v>
      </c>
      <c r="AIN29">
        <v>143228</v>
      </c>
      <c r="AIO29">
        <v>143228</v>
      </c>
      <c r="AIP29">
        <v>143228</v>
      </c>
      <c r="AIQ29">
        <v>143228</v>
      </c>
      <c r="AIR29">
        <v>143228</v>
      </c>
      <c r="AIS29">
        <v>143228</v>
      </c>
      <c r="AIT29">
        <v>143228</v>
      </c>
      <c r="AIU29">
        <v>143228</v>
      </c>
      <c r="AIV29">
        <v>143228</v>
      </c>
      <c r="AIW29">
        <v>143228</v>
      </c>
      <c r="AIX29">
        <v>143228</v>
      </c>
      <c r="AIY29">
        <v>143228</v>
      </c>
      <c r="AIZ29">
        <v>143228</v>
      </c>
      <c r="AJA29">
        <v>143228</v>
      </c>
      <c r="AJB29">
        <v>143228</v>
      </c>
      <c r="AJC29">
        <v>143228</v>
      </c>
      <c r="AJD29">
        <v>143228</v>
      </c>
      <c r="AJE29">
        <v>143228</v>
      </c>
      <c r="AJF29">
        <v>143228</v>
      </c>
      <c r="AJG29">
        <v>143228</v>
      </c>
      <c r="AJH29">
        <v>143228</v>
      </c>
      <c r="AJI29">
        <v>143228</v>
      </c>
      <c r="AJJ29">
        <v>143228</v>
      </c>
      <c r="AJK29">
        <v>143228</v>
      </c>
      <c r="AJL29">
        <v>143228</v>
      </c>
      <c r="AJM29">
        <v>143228</v>
      </c>
      <c r="AJN29">
        <v>143228</v>
      </c>
      <c r="AJO29">
        <v>143228</v>
      </c>
      <c r="AJP29">
        <v>143228</v>
      </c>
      <c r="AJQ29">
        <v>143228</v>
      </c>
      <c r="AJR29">
        <v>4452352</v>
      </c>
      <c r="AJS29">
        <v>4452352</v>
      </c>
      <c r="AJT29">
        <v>3696640</v>
      </c>
      <c r="AJU29">
        <v>1114688</v>
      </c>
      <c r="AJV29">
        <v>1667114</v>
      </c>
      <c r="AJW29">
        <v>1812178</v>
      </c>
      <c r="AJX29">
        <v>1743787</v>
      </c>
      <c r="AJY29">
        <v>1806553</v>
      </c>
      <c r="AJZ29">
        <v>1670973</v>
      </c>
      <c r="AKJ29">
        <v>43920</v>
      </c>
      <c r="AKK29">
        <v>43920</v>
      </c>
      <c r="AKL29">
        <v>43920</v>
      </c>
      <c r="AKM29">
        <v>78229</v>
      </c>
      <c r="AKN29">
        <v>2093926</v>
      </c>
      <c r="AKO29">
        <v>3934266</v>
      </c>
      <c r="AKP29">
        <v>5891129</v>
      </c>
      <c r="AKQ29">
        <v>6014365</v>
      </c>
      <c r="AKR29">
        <v>6026104</v>
      </c>
      <c r="AKS29">
        <v>42609</v>
      </c>
      <c r="AKT29">
        <v>41776</v>
      </c>
      <c r="AKU29">
        <v>172219</v>
      </c>
      <c r="AKV29">
        <v>172219</v>
      </c>
      <c r="AKW29">
        <v>172219</v>
      </c>
    </row>
    <row r="30" spans="1:985" ht="14.4" customHeight="1" x14ac:dyDescent="0.55000000000000004">
      <c r="A30" t="s">
        <v>945</v>
      </c>
      <c r="B30" t="s">
        <v>619</v>
      </c>
      <c r="C30" s="1" t="s">
        <v>947</v>
      </c>
      <c r="D30">
        <v>821</v>
      </c>
      <c r="E30">
        <v>821</v>
      </c>
      <c r="F30">
        <v>821</v>
      </c>
      <c r="G30">
        <v>821</v>
      </c>
      <c r="H30">
        <v>970</v>
      </c>
      <c r="I30">
        <v>970</v>
      </c>
      <c r="J30">
        <v>970</v>
      </c>
      <c r="K30">
        <v>970</v>
      </c>
      <c r="L30">
        <v>970</v>
      </c>
      <c r="T30">
        <v>1385</v>
      </c>
      <c r="U30">
        <v>1385</v>
      </c>
      <c r="V30">
        <v>1385</v>
      </c>
      <c r="W30">
        <v>1385</v>
      </c>
      <c r="X30">
        <v>1385</v>
      </c>
      <c r="Y30">
        <v>1385</v>
      </c>
      <c r="Z30">
        <v>1385</v>
      </c>
      <c r="AA30">
        <v>1385</v>
      </c>
      <c r="AB30">
        <v>1588</v>
      </c>
      <c r="AC30">
        <v>1588</v>
      </c>
      <c r="AD30">
        <v>1588</v>
      </c>
      <c r="AE30">
        <v>1588</v>
      </c>
      <c r="AF30">
        <v>1588</v>
      </c>
      <c r="AG30">
        <v>1588</v>
      </c>
      <c r="AH30">
        <v>1588</v>
      </c>
      <c r="AI30">
        <v>1588</v>
      </c>
      <c r="AJ30">
        <v>1447</v>
      </c>
      <c r="AK30">
        <v>1447</v>
      </c>
      <c r="AL30">
        <v>1447</v>
      </c>
      <c r="AM30">
        <v>1447</v>
      </c>
      <c r="AN30">
        <v>1447</v>
      </c>
      <c r="AO30">
        <v>1447</v>
      </c>
      <c r="AP30">
        <v>1447</v>
      </c>
      <c r="AQ30">
        <v>1447</v>
      </c>
      <c r="AR30">
        <v>1447</v>
      </c>
      <c r="AS30">
        <v>1543</v>
      </c>
      <c r="AT30">
        <v>1543</v>
      </c>
      <c r="AU30">
        <v>1543</v>
      </c>
      <c r="AV30">
        <v>1543</v>
      </c>
      <c r="AW30">
        <v>1543</v>
      </c>
      <c r="AX30">
        <v>1543</v>
      </c>
      <c r="AY30">
        <v>1543</v>
      </c>
      <c r="AZ30">
        <v>1543</v>
      </c>
      <c r="BG30">
        <v>244</v>
      </c>
      <c r="BH30">
        <v>170</v>
      </c>
      <c r="BI30">
        <v>163</v>
      </c>
      <c r="BJ30">
        <v>163</v>
      </c>
      <c r="BK30">
        <v>163</v>
      </c>
      <c r="BL30">
        <v>170</v>
      </c>
      <c r="BM30">
        <v>181</v>
      </c>
      <c r="BN30">
        <v>312</v>
      </c>
      <c r="BO30">
        <v>113</v>
      </c>
      <c r="BP30">
        <v>113</v>
      </c>
      <c r="BQ30">
        <v>211</v>
      </c>
      <c r="BR30">
        <v>170</v>
      </c>
      <c r="BS30">
        <v>169</v>
      </c>
      <c r="BT30">
        <v>168</v>
      </c>
      <c r="BU30">
        <v>168</v>
      </c>
      <c r="BV30">
        <v>175</v>
      </c>
      <c r="BW30">
        <v>186</v>
      </c>
      <c r="BX30">
        <v>107</v>
      </c>
      <c r="BY30">
        <v>113</v>
      </c>
      <c r="BZ30">
        <v>113</v>
      </c>
      <c r="CA30">
        <v>2405</v>
      </c>
      <c r="CB30">
        <v>2405</v>
      </c>
      <c r="CC30">
        <v>2405</v>
      </c>
      <c r="CD30">
        <v>2405</v>
      </c>
      <c r="CE30">
        <v>2405</v>
      </c>
      <c r="CF30">
        <v>2405</v>
      </c>
      <c r="CG30">
        <v>2405</v>
      </c>
      <c r="CH30">
        <v>2405</v>
      </c>
      <c r="CI30">
        <v>2405</v>
      </c>
      <c r="CJ30">
        <v>2405</v>
      </c>
      <c r="CK30">
        <v>2405</v>
      </c>
      <c r="CL30">
        <v>2405</v>
      </c>
      <c r="CM30">
        <v>2405</v>
      </c>
      <c r="CN30">
        <v>2405</v>
      </c>
      <c r="CO30">
        <v>2405</v>
      </c>
      <c r="CP30">
        <v>2405</v>
      </c>
      <c r="CQ30">
        <v>2405</v>
      </c>
      <c r="CR30">
        <v>2405</v>
      </c>
      <c r="CS30">
        <v>2405</v>
      </c>
      <c r="CT30">
        <v>2405</v>
      </c>
      <c r="CU30">
        <v>2405</v>
      </c>
      <c r="CV30">
        <v>2405</v>
      </c>
      <c r="CW30">
        <v>2405</v>
      </c>
      <c r="CX30">
        <v>2405</v>
      </c>
      <c r="CY30">
        <v>2405</v>
      </c>
      <c r="CZ30">
        <v>2405</v>
      </c>
      <c r="DA30">
        <v>2405</v>
      </c>
      <c r="DB30">
        <v>2405</v>
      </c>
      <c r="DC30">
        <v>2405</v>
      </c>
      <c r="DD30">
        <v>2405</v>
      </c>
      <c r="DE30">
        <v>2405</v>
      </c>
      <c r="DF30">
        <v>2405</v>
      </c>
      <c r="DG30">
        <v>2405</v>
      </c>
      <c r="DH30">
        <v>2405</v>
      </c>
      <c r="DI30">
        <v>2405</v>
      </c>
      <c r="DJ30">
        <v>2405</v>
      </c>
      <c r="DK30">
        <v>2405</v>
      </c>
      <c r="DL30">
        <v>2405</v>
      </c>
      <c r="DM30">
        <v>2405</v>
      </c>
      <c r="DN30">
        <v>2405</v>
      </c>
      <c r="DO30">
        <v>2405</v>
      </c>
      <c r="DP30">
        <v>2405</v>
      </c>
      <c r="DQ30">
        <v>2405</v>
      </c>
      <c r="DR30">
        <v>2405</v>
      </c>
      <c r="DS30">
        <v>2405</v>
      </c>
      <c r="DT30">
        <v>2405</v>
      </c>
      <c r="DU30">
        <v>2405</v>
      </c>
      <c r="DV30">
        <v>2405</v>
      </c>
      <c r="DW30">
        <v>2405</v>
      </c>
      <c r="DX30">
        <v>2405</v>
      </c>
      <c r="DY30">
        <v>2405</v>
      </c>
      <c r="DZ30">
        <v>2405</v>
      </c>
      <c r="EA30">
        <v>2405</v>
      </c>
      <c r="EB30">
        <v>2318</v>
      </c>
      <c r="EC30">
        <v>2318</v>
      </c>
      <c r="ED30">
        <v>2318</v>
      </c>
      <c r="EE30">
        <v>2318</v>
      </c>
      <c r="EF30">
        <v>2318</v>
      </c>
      <c r="EG30">
        <v>2318</v>
      </c>
      <c r="EH30">
        <v>2318</v>
      </c>
      <c r="EI30">
        <v>2318</v>
      </c>
      <c r="EJ30">
        <v>2318</v>
      </c>
      <c r="EK30">
        <v>2318</v>
      </c>
      <c r="EL30">
        <v>2318</v>
      </c>
      <c r="EM30">
        <v>2318</v>
      </c>
      <c r="EN30">
        <v>2318</v>
      </c>
      <c r="EO30">
        <v>2318</v>
      </c>
      <c r="EP30">
        <v>2318</v>
      </c>
      <c r="EQ30">
        <v>2318</v>
      </c>
      <c r="ER30">
        <v>2318</v>
      </c>
      <c r="ES30">
        <v>2318</v>
      </c>
      <c r="ET30">
        <v>2318</v>
      </c>
      <c r="EU30">
        <v>2318</v>
      </c>
      <c r="EV30">
        <v>2318</v>
      </c>
      <c r="EW30">
        <v>2318</v>
      </c>
      <c r="EX30">
        <v>2318</v>
      </c>
      <c r="EY30">
        <v>2318</v>
      </c>
      <c r="EZ30">
        <v>2318</v>
      </c>
      <c r="FA30">
        <v>2318</v>
      </c>
      <c r="FB30">
        <v>2318</v>
      </c>
      <c r="FC30">
        <v>2318</v>
      </c>
      <c r="FD30">
        <v>2318</v>
      </c>
      <c r="FE30">
        <v>2318</v>
      </c>
      <c r="FF30">
        <v>2318</v>
      </c>
      <c r="FG30">
        <v>2318</v>
      </c>
      <c r="FH30">
        <v>2318</v>
      </c>
      <c r="FI30">
        <v>2318</v>
      </c>
      <c r="FJ30">
        <v>2318</v>
      </c>
      <c r="FK30">
        <v>2318</v>
      </c>
      <c r="FL30">
        <v>2318</v>
      </c>
      <c r="FM30">
        <v>2318</v>
      </c>
      <c r="FN30">
        <v>2318</v>
      </c>
      <c r="FO30">
        <v>2318</v>
      </c>
      <c r="FP30">
        <v>2318</v>
      </c>
      <c r="FQ30">
        <v>2318</v>
      </c>
      <c r="FR30">
        <v>2318</v>
      </c>
      <c r="FS30">
        <v>2318</v>
      </c>
      <c r="FT30">
        <v>2318</v>
      </c>
      <c r="FU30">
        <v>2318</v>
      </c>
      <c r="FV30">
        <v>2318</v>
      </c>
      <c r="FW30">
        <v>2318</v>
      </c>
      <c r="FX30">
        <v>2318</v>
      </c>
      <c r="FY30">
        <v>2318</v>
      </c>
      <c r="FZ30">
        <v>2318</v>
      </c>
      <c r="GA30">
        <v>2318</v>
      </c>
      <c r="GB30">
        <v>2318</v>
      </c>
      <c r="IX30">
        <v>3681</v>
      </c>
      <c r="IY30">
        <v>3681</v>
      </c>
      <c r="IZ30">
        <v>3681</v>
      </c>
      <c r="JA30">
        <v>3681</v>
      </c>
      <c r="JB30">
        <v>3681</v>
      </c>
      <c r="JC30">
        <v>3681</v>
      </c>
      <c r="JD30">
        <v>3681</v>
      </c>
      <c r="JE30">
        <v>3681</v>
      </c>
      <c r="JF30">
        <v>3681</v>
      </c>
      <c r="JG30">
        <v>3681</v>
      </c>
      <c r="JH30">
        <v>3681</v>
      </c>
      <c r="JI30">
        <v>3681</v>
      </c>
      <c r="JJ30">
        <v>3681</v>
      </c>
      <c r="JK30">
        <v>3681</v>
      </c>
      <c r="JL30">
        <v>3681</v>
      </c>
      <c r="JM30">
        <v>3681</v>
      </c>
      <c r="JN30">
        <v>3681</v>
      </c>
      <c r="JO30">
        <v>3681</v>
      </c>
      <c r="JP30">
        <v>3681</v>
      </c>
      <c r="JQ30">
        <v>3681</v>
      </c>
      <c r="JR30">
        <v>3681</v>
      </c>
      <c r="JS30">
        <v>3681</v>
      </c>
      <c r="JT30">
        <v>3681</v>
      </c>
      <c r="JU30">
        <v>3681</v>
      </c>
      <c r="JV30">
        <v>3681</v>
      </c>
      <c r="JW30">
        <v>3681</v>
      </c>
      <c r="JX30">
        <v>3681</v>
      </c>
      <c r="JY30">
        <v>3681</v>
      </c>
      <c r="JZ30">
        <v>3681</v>
      </c>
      <c r="KA30">
        <v>3681</v>
      </c>
      <c r="KB30">
        <v>3681</v>
      </c>
      <c r="KC30">
        <v>3681</v>
      </c>
      <c r="KD30">
        <v>3681</v>
      </c>
      <c r="KE30">
        <v>3681</v>
      </c>
      <c r="KF30">
        <v>3681</v>
      </c>
      <c r="KG30">
        <v>3681</v>
      </c>
      <c r="KH30">
        <v>3681</v>
      </c>
      <c r="KI30">
        <v>3681</v>
      </c>
      <c r="KJ30">
        <v>3681</v>
      </c>
      <c r="KK30">
        <v>3681</v>
      </c>
      <c r="KL30">
        <v>3681</v>
      </c>
      <c r="KM30">
        <v>3681</v>
      </c>
      <c r="KN30">
        <v>3681</v>
      </c>
      <c r="KO30">
        <v>3681</v>
      </c>
      <c r="KP30">
        <v>3681</v>
      </c>
      <c r="KQ30">
        <v>3681</v>
      </c>
      <c r="KR30">
        <v>3681</v>
      </c>
      <c r="KS30">
        <v>3681</v>
      </c>
      <c r="KT30">
        <v>3681</v>
      </c>
      <c r="KU30">
        <v>3681</v>
      </c>
      <c r="KV30">
        <v>3681</v>
      </c>
      <c r="KW30">
        <v>3681</v>
      </c>
      <c r="KX30">
        <v>3681</v>
      </c>
      <c r="KY30">
        <v>3681</v>
      </c>
      <c r="KZ30">
        <v>3681</v>
      </c>
      <c r="LA30">
        <v>3681</v>
      </c>
      <c r="LB30">
        <v>3681</v>
      </c>
      <c r="LC30">
        <v>3681</v>
      </c>
      <c r="LD30">
        <v>3681</v>
      </c>
      <c r="LE30">
        <v>3681</v>
      </c>
      <c r="LF30">
        <v>3681</v>
      </c>
      <c r="LG30">
        <v>3681</v>
      </c>
      <c r="LH30">
        <v>3681</v>
      </c>
      <c r="LI30">
        <v>3681</v>
      </c>
      <c r="LJ30">
        <v>3681</v>
      </c>
      <c r="LK30">
        <v>3681</v>
      </c>
      <c r="LL30">
        <v>3681</v>
      </c>
      <c r="LM30">
        <v>3681</v>
      </c>
      <c r="LN30">
        <v>3681</v>
      </c>
      <c r="LO30">
        <v>3681</v>
      </c>
      <c r="LP30">
        <v>3681</v>
      </c>
      <c r="LQ30">
        <v>3681</v>
      </c>
      <c r="LR30">
        <v>3681</v>
      </c>
      <c r="LS30">
        <v>3681</v>
      </c>
      <c r="LT30">
        <v>3681</v>
      </c>
      <c r="LU30">
        <v>3681</v>
      </c>
      <c r="LV30">
        <v>3681</v>
      </c>
      <c r="LW30">
        <v>3681</v>
      </c>
      <c r="LX30">
        <v>3681</v>
      </c>
      <c r="LY30">
        <v>3681</v>
      </c>
      <c r="LZ30">
        <v>3681</v>
      </c>
      <c r="MA30">
        <v>3681</v>
      </c>
      <c r="MB30">
        <v>3681</v>
      </c>
      <c r="MC30">
        <v>3681</v>
      </c>
      <c r="MD30">
        <v>3681</v>
      </c>
      <c r="ME30">
        <v>3681</v>
      </c>
      <c r="MF30">
        <v>3681</v>
      </c>
      <c r="MG30">
        <v>3856</v>
      </c>
      <c r="MH30">
        <v>3856</v>
      </c>
      <c r="MI30">
        <v>3856</v>
      </c>
      <c r="MJ30">
        <v>3856</v>
      </c>
      <c r="MK30">
        <v>3856</v>
      </c>
      <c r="ML30">
        <v>3856</v>
      </c>
      <c r="MM30">
        <v>3856</v>
      </c>
      <c r="MN30">
        <v>3856</v>
      </c>
      <c r="MO30">
        <v>3856</v>
      </c>
      <c r="MP30">
        <v>3856</v>
      </c>
      <c r="MQ30">
        <v>3856</v>
      </c>
      <c r="MR30">
        <v>3856</v>
      </c>
      <c r="MS30">
        <v>3856</v>
      </c>
      <c r="MT30">
        <v>3856</v>
      </c>
      <c r="MU30">
        <v>3856</v>
      </c>
      <c r="MV30">
        <v>3856</v>
      </c>
      <c r="MW30">
        <v>3856</v>
      </c>
      <c r="MX30">
        <v>3856</v>
      </c>
      <c r="MY30">
        <v>3856</v>
      </c>
      <c r="MZ30">
        <v>3856</v>
      </c>
      <c r="NA30">
        <v>3856</v>
      </c>
      <c r="NB30">
        <v>3856</v>
      </c>
      <c r="NC30">
        <v>3856</v>
      </c>
      <c r="ND30">
        <v>3856</v>
      </c>
      <c r="NE30">
        <v>3856</v>
      </c>
      <c r="NF30">
        <v>3856</v>
      </c>
      <c r="NG30">
        <v>3856</v>
      </c>
      <c r="NH30">
        <v>3856</v>
      </c>
      <c r="NI30">
        <v>3856</v>
      </c>
      <c r="NJ30">
        <v>3856</v>
      </c>
      <c r="NK30">
        <v>3856</v>
      </c>
      <c r="NL30">
        <v>3856</v>
      </c>
      <c r="NM30">
        <v>3856</v>
      </c>
      <c r="NN30">
        <v>3856</v>
      </c>
      <c r="NO30">
        <v>3856</v>
      </c>
      <c r="NP30">
        <v>3856</v>
      </c>
      <c r="NQ30">
        <v>3856</v>
      </c>
      <c r="NR30">
        <v>3856</v>
      </c>
      <c r="NS30">
        <v>3856</v>
      </c>
      <c r="NT30">
        <v>3856</v>
      </c>
      <c r="NU30">
        <v>3856</v>
      </c>
      <c r="NV30">
        <v>3856</v>
      </c>
      <c r="NW30">
        <v>3856</v>
      </c>
      <c r="NX30">
        <v>3856</v>
      </c>
      <c r="NY30">
        <v>3856</v>
      </c>
      <c r="NZ30">
        <v>3856</v>
      </c>
      <c r="OA30">
        <v>3856</v>
      </c>
      <c r="OB30">
        <v>3856</v>
      </c>
      <c r="OC30">
        <v>3856</v>
      </c>
      <c r="OD30">
        <v>3856</v>
      </c>
      <c r="OE30">
        <v>3856</v>
      </c>
      <c r="OF30">
        <v>3856</v>
      </c>
      <c r="OG30">
        <v>3856</v>
      </c>
      <c r="OH30">
        <v>3856</v>
      </c>
      <c r="OI30">
        <v>3856</v>
      </c>
      <c r="OJ30">
        <v>3856</v>
      </c>
      <c r="OK30">
        <v>3856</v>
      </c>
      <c r="OL30">
        <v>3856</v>
      </c>
      <c r="OM30">
        <v>3856</v>
      </c>
      <c r="ON30">
        <v>3856</v>
      </c>
      <c r="OO30">
        <v>3856</v>
      </c>
      <c r="OP30">
        <v>3856</v>
      </c>
      <c r="OQ30">
        <v>3856</v>
      </c>
      <c r="OR30">
        <v>3856</v>
      </c>
      <c r="OS30">
        <v>3856</v>
      </c>
      <c r="OT30">
        <v>3856</v>
      </c>
      <c r="OU30">
        <v>3856</v>
      </c>
      <c r="OV30">
        <v>3856</v>
      </c>
      <c r="OW30">
        <v>3856</v>
      </c>
      <c r="OX30">
        <v>3856</v>
      </c>
      <c r="OY30">
        <v>3856</v>
      </c>
      <c r="OZ30">
        <v>3856</v>
      </c>
      <c r="PA30">
        <v>3856</v>
      </c>
      <c r="PB30">
        <v>3856</v>
      </c>
      <c r="PC30">
        <v>3856</v>
      </c>
      <c r="PD30">
        <v>3856</v>
      </c>
      <c r="PE30">
        <v>3856</v>
      </c>
      <c r="PF30">
        <v>3856</v>
      </c>
      <c r="PG30">
        <v>3856</v>
      </c>
      <c r="PH30">
        <v>3856</v>
      </c>
      <c r="PI30">
        <v>3856</v>
      </c>
      <c r="PJ30">
        <v>3856</v>
      </c>
      <c r="PK30">
        <v>3856</v>
      </c>
      <c r="PL30">
        <v>3856</v>
      </c>
      <c r="PM30">
        <v>3856</v>
      </c>
      <c r="PN30">
        <v>3856</v>
      </c>
      <c r="PO30">
        <v>3856</v>
      </c>
      <c r="PP30">
        <v>3769</v>
      </c>
      <c r="PQ30">
        <v>3769</v>
      </c>
      <c r="PR30">
        <v>3769</v>
      </c>
      <c r="PS30">
        <v>3769</v>
      </c>
      <c r="PT30">
        <v>3769</v>
      </c>
      <c r="PU30">
        <v>3769</v>
      </c>
      <c r="PV30">
        <v>3769</v>
      </c>
      <c r="PW30">
        <v>3769</v>
      </c>
      <c r="PX30">
        <v>3769</v>
      </c>
      <c r="PY30">
        <v>3769</v>
      </c>
      <c r="PZ30">
        <v>3769</v>
      </c>
      <c r="QA30">
        <v>3769</v>
      </c>
      <c r="QB30">
        <v>3769</v>
      </c>
      <c r="QC30">
        <v>3769</v>
      </c>
      <c r="QD30">
        <v>3769</v>
      </c>
      <c r="QE30">
        <v>3769</v>
      </c>
      <c r="QF30">
        <v>3769</v>
      </c>
      <c r="QG30">
        <v>3769</v>
      </c>
      <c r="QH30">
        <v>3769</v>
      </c>
      <c r="QI30">
        <v>3769</v>
      </c>
      <c r="QJ30">
        <v>3769</v>
      </c>
      <c r="QK30">
        <v>3769</v>
      </c>
      <c r="QL30">
        <v>3769</v>
      </c>
      <c r="QM30">
        <v>3769</v>
      </c>
      <c r="QN30">
        <v>3769</v>
      </c>
      <c r="QO30">
        <v>3769</v>
      </c>
      <c r="QP30">
        <v>3769</v>
      </c>
      <c r="QQ30">
        <v>3769</v>
      </c>
      <c r="QR30">
        <v>3769</v>
      </c>
      <c r="QS30">
        <v>3769</v>
      </c>
      <c r="QT30">
        <v>3769</v>
      </c>
      <c r="QU30">
        <v>3769</v>
      </c>
      <c r="QV30">
        <v>3769</v>
      </c>
      <c r="QW30">
        <v>3769</v>
      </c>
      <c r="QX30">
        <v>3769</v>
      </c>
      <c r="QY30">
        <v>3769</v>
      </c>
      <c r="QZ30">
        <v>3769</v>
      </c>
      <c r="RA30">
        <v>3769</v>
      </c>
      <c r="RB30">
        <v>3769</v>
      </c>
      <c r="RC30">
        <v>3769</v>
      </c>
      <c r="RD30">
        <v>3769</v>
      </c>
      <c r="RE30">
        <v>3769</v>
      </c>
      <c r="RF30">
        <v>3769</v>
      </c>
      <c r="RG30">
        <v>3769</v>
      </c>
      <c r="RH30">
        <v>3769</v>
      </c>
      <c r="RI30">
        <v>3769</v>
      </c>
      <c r="RJ30">
        <v>3769</v>
      </c>
      <c r="RK30">
        <v>3769</v>
      </c>
      <c r="RL30">
        <v>3769</v>
      </c>
      <c r="RM30">
        <v>3769</v>
      </c>
      <c r="RN30">
        <v>3769</v>
      </c>
      <c r="RO30">
        <v>3769</v>
      </c>
      <c r="RP30">
        <v>3769</v>
      </c>
      <c r="RQ30">
        <v>3769</v>
      </c>
      <c r="RR30">
        <v>3769</v>
      </c>
      <c r="RS30">
        <v>3769</v>
      </c>
      <c r="RT30">
        <v>3769</v>
      </c>
      <c r="RU30">
        <v>3769</v>
      </c>
      <c r="RV30">
        <v>3769</v>
      </c>
      <c r="RW30">
        <v>3769</v>
      </c>
      <c r="RX30">
        <v>3769</v>
      </c>
      <c r="RY30">
        <v>3769</v>
      </c>
      <c r="RZ30">
        <v>3769</v>
      </c>
      <c r="SA30">
        <v>3769</v>
      </c>
      <c r="SB30">
        <v>3769</v>
      </c>
      <c r="SC30">
        <v>3769</v>
      </c>
      <c r="SD30">
        <v>3769</v>
      </c>
      <c r="SE30">
        <v>3769</v>
      </c>
      <c r="SF30">
        <v>3769</v>
      </c>
      <c r="SG30">
        <v>3769</v>
      </c>
      <c r="SH30">
        <v>3769</v>
      </c>
      <c r="SI30">
        <v>3769</v>
      </c>
      <c r="SJ30">
        <v>3769</v>
      </c>
      <c r="SK30">
        <v>3769</v>
      </c>
      <c r="SL30">
        <v>3769</v>
      </c>
      <c r="SM30">
        <v>3769</v>
      </c>
      <c r="SN30">
        <v>3769</v>
      </c>
      <c r="SO30">
        <v>3769</v>
      </c>
      <c r="SP30">
        <v>3769</v>
      </c>
      <c r="SQ30">
        <v>3769</v>
      </c>
      <c r="SR30">
        <v>3769</v>
      </c>
      <c r="SS30">
        <v>3769</v>
      </c>
      <c r="ST30">
        <v>3769</v>
      </c>
      <c r="SU30">
        <v>3769</v>
      </c>
      <c r="SV30">
        <v>3769</v>
      </c>
      <c r="SW30">
        <v>3769</v>
      </c>
      <c r="SX30">
        <v>3769</v>
      </c>
      <c r="SY30">
        <v>4766</v>
      </c>
      <c r="SZ30">
        <v>4766</v>
      </c>
      <c r="TA30">
        <v>4766</v>
      </c>
      <c r="TB30">
        <v>4766</v>
      </c>
      <c r="TC30">
        <v>4766</v>
      </c>
      <c r="TD30">
        <v>4766</v>
      </c>
      <c r="TE30">
        <v>4766</v>
      </c>
      <c r="TF30">
        <v>4766</v>
      </c>
      <c r="TG30">
        <v>4766</v>
      </c>
      <c r="TH30">
        <v>4766</v>
      </c>
      <c r="TI30">
        <v>4766</v>
      </c>
      <c r="TJ30">
        <v>4766</v>
      </c>
      <c r="TK30">
        <v>4766</v>
      </c>
      <c r="TL30">
        <v>4766</v>
      </c>
      <c r="TM30">
        <v>4766</v>
      </c>
      <c r="TN30">
        <v>4766</v>
      </c>
      <c r="TO30">
        <v>4766</v>
      </c>
      <c r="TP30">
        <v>4766</v>
      </c>
      <c r="TQ30">
        <v>4766</v>
      </c>
      <c r="TR30">
        <v>4766</v>
      </c>
      <c r="TS30">
        <v>4766</v>
      </c>
      <c r="TT30">
        <v>4766</v>
      </c>
      <c r="TU30">
        <v>4766</v>
      </c>
      <c r="TV30">
        <v>4766</v>
      </c>
      <c r="TW30">
        <v>4766</v>
      </c>
      <c r="TX30">
        <v>4766</v>
      </c>
      <c r="TY30">
        <v>4766</v>
      </c>
      <c r="TZ30">
        <v>4766</v>
      </c>
      <c r="UA30">
        <v>4766</v>
      </c>
      <c r="UB30">
        <v>4766</v>
      </c>
      <c r="UC30">
        <v>4766</v>
      </c>
      <c r="UD30">
        <v>4766</v>
      </c>
      <c r="UE30">
        <v>4766</v>
      </c>
      <c r="UF30">
        <v>4766</v>
      </c>
      <c r="UG30">
        <v>4766</v>
      </c>
      <c r="UH30">
        <v>4766</v>
      </c>
      <c r="UI30">
        <v>4766</v>
      </c>
      <c r="UJ30">
        <v>4766</v>
      </c>
      <c r="UK30">
        <v>4766</v>
      </c>
      <c r="UL30">
        <v>4766</v>
      </c>
      <c r="UM30">
        <v>4766</v>
      </c>
      <c r="UN30">
        <v>4766</v>
      </c>
      <c r="UO30">
        <v>4766</v>
      </c>
      <c r="UP30">
        <v>4766</v>
      </c>
      <c r="UQ30">
        <v>4766</v>
      </c>
      <c r="UR30">
        <v>4766</v>
      </c>
      <c r="US30">
        <v>4766</v>
      </c>
      <c r="UT30">
        <v>4766</v>
      </c>
      <c r="UU30">
        <v>4766</v>
      </c>
      <c r="UV30">
        <v>4766</v>
      </c>
      <c r="UW30">
        <v>4766</v>
      </c>
      <c r="UX30">
        <v>4766</v>
      </c>
      <c r="UY30">
        <v>4766</v>
      </c>
      <c r="UZ30">
        <v>4766</v>
      </c>
      <c r="VA30">
        <v>4766</v>
      </c>
      <c r="VB30">
        <v>4766</v>
      </c>
      <c r="VC30">
        <v>4766</v>
      </c>
      <c r="VD30">
        <v>4766</v>
      </c>
      <c r="VE30">
        <v>4766</v>
      </c>
      <c r="VF30">
        <v>4766</v>
      </c>
      <c r="VG30">
        <v>4766</v>
      </c>
      <c r="VH30">
        <v>4766</v>
      </c>
      <c r="VI30">
        <v>4766</v>
      </c>
      <c r="VJ30">
        <v>4766</v>
      </c>
      <c r="VK30">
        <v>4766</v>
      </c>
      <c r="VL30">
        <v>4766</v>
      </c>
      <c r="VM30">
        <v>4766</v>
      </c>
      <c r="VN30">
        <v>4766</v>
      </c>
      <c r="VO30">
        <v>4766</v>
      </c>
      <c r="VP30">
        <v>4766</v>
      </c>
      <c r="VQ30">
        <v>4766</v>
      </c>
      <c r="VR30">
        <v>4766</v>
      </c>
      <c r="VS30">
        <v>4766</v>
      </c>
      <c r="VT30">
        <v>4766</v>
      </c>
      <c r="VU30">
        <v>4766</v>
      </c>
      <c r="VV30">
        <v>4766</v>
      </c>
      <c r="VW30">
        <v>4766</v>
      </c>
      <c r="VX30">
        <v>4766</v>
      </c>
      <c r="VY30">
        <v>4766</v>
      </c>
      <c r="VZ30">
        <v>4766</v>
      </c>
      <c r="WA30">
        <v>4766</v>
      </c>
      <c r="WB30">
        <v>4766</v>
      </c>
      <c r="WC30">
        <v>4766</v>
      </c>
      <c r="WD30">
        <v>4766</v>
      </c>
      <c r="WE30">
        <v>4766</v>
      </c>
      <c r="WF30">
        <v>4766</v>
      </c>
      <c r="WG30">
        <v>4766</v>
      </c>
      <c r="WH30">
        <v>4860</v>
      </c>
      <c r="WI30">
        <v>4860</v>
      </c>
      <c r="WJ30">
        <v>4860</v>
      </c>
      <c r="WK30">
        <v>4860</v>
      </c>
      <c r="WL30">
        <v>4860</v>
      </c>
      <c r="WM30">
        <v>4860</v>
      </c>
      <c r="WN30">
        <v>4860</v>
      </c>
      <c r="WO30">
        <v>4860</v>
      </c>
      <c r="WP30">
        <v>4860</v>
      </c>
      <c r="WQ30">
        <v>4860</v>
      </c>
      <c r="WR30">
        <v>4860</v>
      </c>
      <c r="WS30">
        <v>4860</v>
      </c>
      <c r="WT30">
        <v>4860</v>
      </c>
      <c r="WU30">
        <v>4860</v>
      </c>
      <c r="WV30">
        <v>4860</v>
      </c>
      <c r="WW30">
        <v>4860</v>
      </c>
      <c r="WX30">
        <v>4860</v>
      </c>
      <c r="WY30">
        <v>4860</v>
      </c>
      <c r="WZ30">
        <v>4860</v>
      </c>
      <c r="XA30">
        <v>4860</v>
      </c>
      <c r="XB30">
        <v>4860</v>
      </c>
      <c r="XC30">
        <v>4860</v>
      </c>
      <c r="XD30">
        <v>4860</v>
      </c>
      <c r="XE30">
        <v>4860</v>
      </c>
      <c r="XF30">
        <v>4860</v>
      </c>
      <c r="XG30">
        <v>4860</v>
      </c>
      <c r="XH30">
        <v>4860</v>
      </c>
      <c r="XI30">
        <v>4860</v>
      </c>
      <c r="XJ30">
        <v>4860</v>
      </c>
      <c r="XK30">
        <v>4860</v>
      </c>
      <c r="XL30">
        <v>4860</v>
      </c>
      <c r="XM30">
        <v>4860</v>
      </c>
      <c r="XN30">
        <v>4860</v>
      </c>
      <c r="XO30">
        <v>4860</v>
      </c>
      <c r="XP30">
        <v>4860</v>
      </c>
      <c r="XQ30">
        <v>4860</v>
      </c>
      <c r="XR30">
        <v>4860</v>
      </c>
      <c r="XS30">
        <v>4860</v>
      </c>
      <c r="XT30">
        <v>4860</v>
      </c>
      <c r="XU30">
        <v>4860</v>
      </c>
      <c r="XV30">
        <v>4860</v>
      </c>
      <c r="XW30">
        <v>4860</v>
      </c>
      <c r="XX30">
        <v>4860</v>
      </c>
      <c r="XY30">
        <v>4860</v>
      </c>
      <c r="XZ30">
        <v>4860</v>
      </c>
      <c r="YA30">
        <v>4860</v>
      </c>
      <c r="YB30">
        <v>4860</v>
      </c>
      <c r="YC30">
        <v>4860</v>
      </c>
      <c r="YD30">
        <v>4860</v>
      </c>
      <c r="YE30">
        <v>4860</v>
      </c>
      <c r="YF30">
        <v>4860</v>
      </c>
      <c r="YG30">
        <v>4860</v>
      </c>
      <c r="YH30">
        <v>4860</v>
      </c>
      <c r="YI30">
        <v>4860</v>
      </c>
      <c r="YJ30">
        <v>4860</v>
      </c>
      <c r="YK30">
        <v>4860</v>
      </c>
      <c r="YL30">
        <v>4860</v>
      </c>
      <c r="YM30">
        <v>4860</v>
      </c>
      <c r="YN30">
        <v>4860</v>
      </c>
      <c r="YO30">
        <v>4860</v>
      </c>
      <c r="YP30">
        <v>4860</v>
      </c>
      <c r="YQ30">
        <v>4860</v>
      </c>
      <c r="YR30">
        <v>4860</v>
      </c>
      <c r="YS30">
        <v>4860</v>
      </c>
      <c r="YT30">
        <v>4860</v>
      </c>
      <c r="YU30">
        <v>4860</v>
      </c>
      <c r="YV30">
        <v>4860</v>
      </c>
      <c r="YW30">
        <v>4860</v>
      </c>
      <c r="YX30">
        <v>4860</v>
      </c>
      <c r="YY30">
        <v>4860</v>
      </c>
      <c r="YZ30">
        <v>4860</v>
      </c>
      <c r="ZA30">
        <v>4860</v>
      </c>
      <c r="ZB30">
        <v>4860</v>
      </c>
      <c r="ZC30">
        <v>4860</v>
      </c>
      <c r="ZD30">
        <v>4860</v>
      </c>
      <c r="ZE30">
        <v>4860</v>
      </c>
      <c r="ZF30">
        <v>4860</v>
      </c>
      <c r="ZG30">
        <v>4860</v>
      </c>
      <c r="ZH30">
        <v>4860</v>
      </c>
      <c r="ZI30">
        <v>4860</v>
      </c>
      <c r="ZJ30">
        <v>4860</v>
      </c>
      <c r="ZK30">
        <v>4860</v>
      </c>
      <c r="ZL30">
        <v>4860</v>
      </c>
      <c r="ZM30">
        <v>4860</v>
      </c>
      <c r="ZN30">
        <v>4860</v>
      </c>
      <c r="ZO30">
        <v>4860</v>
      </c>
      <c r="ZP30">
        <v>4860</v>
      </c>
      <c r="ZQ30">
        <v>4855</v>
      </c>
      <c r="ZR30">
        <v>4855</v>
      </c>
      <c r="ZS30">
        <v>4855</v>
      </c>
      <c r="ZT30">
        <v>4855</v>
      </c>
      <c r="ZU30">
        <v>4855</v>
      </c>
      <c r="ZV30">
        <v>4855</v>
      </c>
      <c r="ZW30">
        <v>4855</v>
      </c>
      <c r="ZX30">
        <v>4855</v>
      </c>
      <c r="ZY30">
        <v>4855</v>
      </c>
      <c r="ZZ30">
        <v>4855</v>
      </c>
      <c r="AAA30">
        <v>4855</v>
      </c>
      <c r="AAB30">
        <v>4855</v>
      </c>
      <c r="AAC30">
        <v>4855</v>
      </c>
      <c r="AAD30">
        <v>4855</v>
      </c>
      <c r="AAE30">
        <v>4855</v>
      </c>
      <c r="AAF30">
        <v>4855</v>
      </c>
      <c r="AAG30">
        <v>4855</v>
      </c>
      <c r="AAH30">
        <v>4855</v>
      </c>
      <c r="AAI30">
        <v>4855</v>
      </c>
      <c r="AAJ30">
        <v>4855</v>
      </c>
      <c r="AAK30">
        <v>4855</v>
      </c>
      <c r="AAL30">
        <v>4855</v>
      </c>
      <c r="AAM30">
        <v>4855</v>
      </c>
      <c r="AAN30">
        <v>4855</v>
      </c>
      <c r="AAO30">
        <v>4855</v>
      </c>
      <c r="AAP30">
        <v>4855</v>
      </c>
      <c r="AAQ30">
        <v>4855</v>
      </c>
      <c r="AAR30">
        <v>4855</v>
      </c>
      <c r="AAS30">
        <v>4855</v>
      </c>
      <c r="AAT30">
        <v>4855</v>
      </c>
      <c r="AAU30">
        <v>4855</v>
      </c>
      <c r="AAV30">
        <v>4855</v>
      </c>
      <c r="AAW30">
        <v>4855</v>
      </c>
      <c r="AAX30">
        <v>4855</v>
      </c>
      <c r="AAY30">
        <v>4855</v>
      </c>
      <c r="AAZ30">
        <v>4855</v>
      </c>
      <c r="ABA30">
        <v>4855</v>
      </c>
      <c r="ABB30">
        <v>4855</v>
      </c>
      <c r="ABC30">
        <v>4855</v>
      </c>
      <c r="ABD30">
        <v>4855</v>
      </c>
      <c r="ABE30">
        <v>4855</v>
      </c>
      <c r="ABF30">
        <v>4855</v>
      </c>
      <c r="ABG30">
        <v>4855</v>
      </c>
      <c r="ABH30">
        <v>4855</v>
      </c>
      <c r="ABI30">
        <v>4855</v>
      </c>
      <c r="ABJ30">
        <v>4855</v>
      </c>
      <c r="ABK30">
        <v>4855</v>
      </c>
      <c r="ABL30">
        <v>4855</v>
      </c>
      <c r="ABM30">
        <v>4855</v>
      </c>
      <c r="ABN30">
        <v>4855</v>
      </c>
      <c r="ABO30">
        <v>4855</v>
      </c>
      <c r="ABP30">
        <v>4855</v>
      </c>
      <c r="ABQ30">
        <v>4855</v>
      </c>
      <c r="ABR30">
        <v>4855</v>
      </c>
      <c r="ABS30">
        <v>4855</v>
      </c>
      <c r="ABT30">
        <v>4855</v>
      </c>
      <c r="ABU30">
        <v>4855</v>
      </c>
      <c r="ABV30">
        <v>4855</v>
      </c>
      <c r="ABW30">
        <v>4855</v>
      </c>
      <c r="ABX30">
        <v>4855</v>
      </c>
      <c r="ABY30">
        <v>4855</v>
      </c>
      <c r="ABZ30">
        <v>4855</v>
      </c>
      <c r="ACA30">
        <v>4855</v>
      </c>
      <c r="ACB30">
        <v>4855</v>
      </c>
      <c r="ACC30">
        <v>4855</v>
      </c>
      <c r="ACD30">
        <v>4855</v>
      </c>
      <c r="ACE30">
        <v>4855</v>
      </c>
      <c r="ACF30">
        <v>4855</v>
      </c>
      <c r="ACG30">
        <v>4855</v>
      </c>
      <c r="ACH30">
        <v>4855</v>
      </c>
      <c r="ACI30">
        <v>4855</v>
      </c>
      <c r="ACJ30">
        <v>4855</v>
      </c>
      <c r="ACK30">
        <v>4855</v>
      </c>
      <c r="ACL30">
        <v>4855</v>
      </c>
      <c r="ACM30">
        <v>4855</v>
      </c>
      <c r="ACN30">
        <v>4855</v>
      </c>
      <c r="ACO30">
        <v>4855</v>
      </c>
      <c r="ACP30">
        <v>4855</v>
      </c>
      <c r="ACQ30">
        <v>4855</v>
      </c>
      <c r="ACR30">
        <v>4855</v>
      </c>
      <c r="ACS30">
        <v>4855</v>
      </c>
      <c r="ACT30">
        <v>4855</v>
      </c>
      <c r="ACU30">
        <v>4855</v>
      </c>
      <c r="ACV30">
        <v>4855</v>
      </c>
      <c r="ACW30">
        <v>4855</v>
      </c>
      <c r="ACX30">
        <v>4855</v>
      </c>
      <c r="ACY30">
        <v>4855</v>
      </c>
      <c r="ACZ30">
        <v>4855</v>
      </c>
      <c r="ADA30">
        <v>4855</v>
      </c>
      <c r="ADB30">
        <v>4855</v>
      </c>
      <c r="ADC30">
        <v>4855</v>
      </c>
      <c r="ADD30">
        <v>4855</v>
      </c>
      <c r="ADE30">
        <v>4855</v>
      </c>
      <c r="ADF30">
        <v>4855</v>
      </c>
      <c r="ADG30">
        <v>4855</v>
      </c>
      <c r="ADH30">
        <v>4855</v>
      </c>
      <c r="ADI30">
        <v>4855</v>
      </c>
      <c r="ADJ30">
        <v>4855</v>
      </c>
      <c r="ADK30">
        <v>4855</v>
      </c>
      <c r="ADL30">
        <v>4855</v>
      </c>
      <c r="ADM30">
        <v>4855</v>
      </c>
      <c r="ADN30">
        <v>4855</v>
      </c>
      <c r="ADO30">
        <v>4855</v>
      </c>
      <c r="ADP30">
        <v>4855</v>
      </c>
      <c r="ADQ30">
        <v>4855</v>
      </c>
      <c r="ADR30">
        <v>4855</v>
      </c>
      <c r="ADS30">
        <v>4855</v>
      </c>
      <c r="ADT30">
        <v>4855</v>
      </c>
      <c r="ADU30">
        <v>4855</v>
      </c>
      <c r="ADV30">
        <v>4855</v>
      </c>
      <c r="ADW30">
        <v>4855</v>
      </c>
      <c r="ADX30">
        <v>4855</v>
      </c>
      <c r="ADY30">
        <v>4855</v>
      </c>
      <c r="ADZ30">
        <v>4855</v>
      </c>
      <c r="AEA30">
        <v>4855</v>
      </c>
      <c r="AEB30">
        <v>4855</v>
      </c>
      <c r="AEC30">
        <v>4855</v>
      </c>
      <c r="AED30">
        <v>4855</v>
      </c>
      <c r="AEE30">
        <v>4855</v>
      </c>
      <c r="AEF30">
        <v>4855</v>
      </c>
      <c r="AEG30">
        <v>4855</v>
      </c>
      <c r="AEH30">
        <v>4855</v>
      </c>
      <c r="AEI30">
        <v>4855</v>
      </c>
      <c r="AEJ30">
        <v>4855</v>
      </c>
      <c r="AEK30">
        <v>4855</v>
      </c>
      <c r="AEL30">
        <v>4855</v>
      </c>
      <c r="AEM30">
        <v>4855</v>
      </c>
      <c r="AEN30">
        <v>4855</v>
      </c>
      <c r="AEO30">
        <v>4855</v>
      </c>
      <c r="AEP30">
        <v>4855</v>
      </c>
      <c r="AEQ30">
        <v>4855</v>
      </c>
      <c r="AER30">
        <v>4855</v>
      </c>
      <c r="AES30">
        <v>4855</v>
      </c>
      <c r="AET30">
        <v>4855</v>
      </c>
      <c r="AEU30">
        <v>4855</v>
      </c>
      <c r="AEV30">
        <v>4855</v>
      </c>
      <c r="AEW30">
        <v>4855</v>
      </c>
      <c r="AEX30">
        <v>4855</v>
      </c>
      <c r="AEY30">
        <v>4855</v>
      </c>
      <c r="AEZ30">
        <v>4855</v>
      </c>
      <c r="AFA30">
        <v>4855</v>
      </c>
      <c r="AFB30">
        <v>4855</v>
      </c>
      <c r="AFC30">
        <v>4855</v>
      </c>
      <c r="AFD30">
        <v>4855</v>
      </c>
      <c r="AFE30">
        <v>4855</v>
      </c>
      <c r="AFF30">
        <v>4855</v>
      </c>
      <c r="AFG30">
        <v>4855</v>
      </c>
      <c r="AFH30">
        <v>4855</v>
      </c>
      <c r="AFI30">
        <v>4855</v>
      </c>
      <c r="AFJ30">
        <v>4855</v>
      </c>
      <c r="AFK30">
        <v>4855</v>
      </c>
      <c r="AFL30">
        <v>4855</v>
      </c>
      <c r="AFM30">
        <v>4855</v>
      </c>
      <c r="AFN30">
        <v>4855</v>
      </c>
      <c r="AFO30">
        <v>4855</v>
      </c>
      <c r="AFP30">
        <v>4855</v>
      </c>
      <c r="AFQ30">
        <v>4855</v>
      </c>
      <c r="AFR30">
        <v>4855</v>
      </c>
      <c r="AFS30">
        <v>4855</v>
      </c>
      <c r="AFT30">
        <v>4855</v>
      </c>
      <c r="AFU30">
        <v>4855</v>
      </c>
      <c r="AFV30">
        <v>4855</v>
      </c>
      <c r="AFW30">
        <v>4855</v>
      </c>
      <c r="AFX30">
        <v>4855</v>
      </c>
      <c r="AFY30">
        <v>4855</v>
      </c>
      <c r="AFZ30">
        <v>4855</v>
      </c>
      <c r="AGA30">
        <v>4855</v>
      </c>
      <c r="AGB30">
        <v>4855</v>
      </c>
      <c r="AGC30">
        <v>4855</v>
      </c>
      <c r="AGD30">
        <v>4855</v>
      </c>
      <c r="AGE30">
        <v>4855</v>
      </c>
      <c r="AGF30">
        <v>4855</v>
      </c>
      <c r="AGG30">
        <v>4855</v>
      </c>
      <c r="AGH30">
        <v>4855</v>
      </c>
      <c r="AGI30">
        <v>4855</v>
      </c>
      <c r="AGJ30">
        <v>4855</v>
      </c>
      <c r="AGK30">
        <v>4855</v>
      </c>
      <c r="AGL30">
        <v>4855</v>
      </c>
      <c r="AGM30">
        <v>4855</v>
      </c>
      <c r="AGN30">
        <v>4855</v>
      </c>
      <c r="AGO30">
        <v>4855</v>
      </c>
      <c r="AGP30">
        <v>4855</v>
      </c>
      <c r="AGQ30">
        <v>4855</v>
      </c>
      <c r="AGR30">
        <v>4855</v>
      </c>
      <c r="AGS30">
        <v>4855</v>
      </c>
      <c r="AGT30">
        <v>4855</v>
      </c>
      <c r="AGU30">
        <v>4855</v>
      </c>
      <c r="AGV30">
        <v>4855</v>
      </c>
      <c r="AGW30">
        <v>4855</v>
      </c>
      <c r="AGX30">
        <v>4855</v>
      </c>
      <c r="AGY30">
        <v>4855</v>
      </c>
      <c r="AGZ30">
        <v>4855</v>
      </c>
      <c r="AHA30">
        <v>4855</v>
      </c>
      <c r="AHB30">
        <v>4855</v>
      </c>
      <c r="AHC30">
        <v>4855</v>
      </c>
      <c r="AHD30">
        <v>4855</v>
      </c>
      <c r="AHE30">
        <v>4855</v>
      </c>
      <c r="AHF30">
        <v>4855</v>
      </c>
      <c r="AHG30">
        <v>4855</v>
      </c>
      <c r="AHH30">
        <v>4855</v>
      </c>
      <c r="AHI30">
        <v>4855</v>
      </c>
      <c r="AHJ30">
        <v>4855</v>
      </c>
      <c r="AHK30">
        <v>4855</v>
      </c>
      <c r="AHL30">
        <v>4855</v>
      </c>
      <c r="AHM30">
        <v>4855</v>
      </c>
      <c r="AHN30">
        <v>4855</v>
      </c>
      <c r="AHO30">
        <v>4855</v>
      </c>
      <c r="AHP30">
        <v>4855</v>
      </c>
      <c r="AHQ30">
        <v>4855</v>
      </c>
      <c r="AHR30">
        <v>4855</v>
      </c>
      <c r="AHS30">
        <v>4855</v>
      </c>
      <c r="AHT30">
        <v>4855</v>
      </c>
      <c r="AHU30">
        <v>4855</v>
      </c>
      <c r="AHV30">
        <v>4855</v>
      </c>
      <c r="AHW30">
        <v>4855</v>
      </c>
      <c r="AHX30">
        <v>4855</v>
      </c>
      <c r="AHY30">
        <v>4855</v>
      </c>
      <c r="AHZ30">
        <v>4855</v>
      </c>
      <c r="AIA30">
        <v>4855</v>
      </c>
      <c r="AIB30">
        <v>4855</v>
      </c>
      <c r="AIC30">
        <v>4855</v>
      </c>
      <c r="AID30">
        <v>4855</v>
      </c>
      <c r="AIE30">
        <v>4855</v>
      </c>
      <c r="AIF30">
        <v>4855</v>
      </c>
      <c r="AIG30">
        <v>4855</v>
      </c>
      <c r="AIH30">
        <v>4855</v>
      </c>
      <c r="AII30">
        <v>4855</v>
      </c>
      <c r="AIJ30">
        <v>4855</v>
      </c>
      <c r="AIK30">
        <v>4855</v>
      </c>
      <c r="AIL30">
        <v>4855</v>
      </c>
      <c r="AIM30">
        <v>4855</v>
      </c>
      <c r="AIN30">
        <v>4855</v>
      </c>
      <c r="AIO30">
        <v>4855</v>
      </c>
      <c r="AIP30">
        <v>4855</v>
      </c>
      <c r="AIQ30">
        <v>4855</v>
      </c>
      <c r="AIR30">
        <v>4855</v>
      </c>
      <c r="AIS30">
        <v>4855</v>
      </c>
      <c r="AIT30">
        <v>4855</v>
      </c>
      <c r="AIU30">
        <v>4855</v>
      </c>
      <c r="AIV30">
        <v>4855</v>
      </c>
      <c r="AIW30">
        <v>4855</v>
      </c>
      <c r="AIX30">
        <v>4855</v>
      </c>
      <c r="AIY30">
        <v>4855</v>
      </c>
      <c r="AIZ30">
        <v>4855</v>
      </c>
      <c r="AJA30">
        <v>4855</v>
      </c>
      <c r="AJB30">
        <v>4855</v>
      </c>
      <c r="AJC30">
        <v>4855</v>
      </c>
      <c r="AJD30">
        <v>4855</v>
      </c>
      <c r="AJE30">
        <v>4855</v>
      </c>
      <c r="AJF30">
        <v>4855</v>
      </c>
      <c r="AJG30">
        <v>4855</v>
      </c>
      <c r="AJH30">
        <v>4855</v>
      </c>
      <c r="AJI30">
        <v>4855</v>
      </c>
      <c r="AJJ30">
        <v>4855</v>
      </c>
      <c r="AJK30">
        <v>4855</v>
      </c>
      <c r="AJL30">
        <v>4855</v>
      </c>
      <c r="AJM30">
        <v>4855</v>
      </c>
      <c r="AJN30">
        <v>4855</v>
      </c>
      <c r="AJO30">
        <v>4855</v>
      </c>
      <c r="AJP30">
        <v>4855</v>
      </c>
      <c r="AJQ30">
        <v>4855</v>
      </c>
      <c r="AJR30">
        <v>190721</v>
      </c>
      <c r="AJS30">
        <v>190721</v>
      </c>
      <c r="AJT30">
        <v>177959</v>
      </c>
      <c r="AJU30">
        <v>114481</v>
      </c>
      <c r="AJV30">
        <v>152147</v>
      </c>
      <c r="AJW30">
        <v>165586</v>
      </c>
      <c r="AJX30">
        <v>165457</v>
      </c>
      <c r="AJY30">
        <v>169305</v>
      </c>
      <c r="AJZ30">
        <v>171229</v>
      </c>
      <c r="AKJ30">
        <v>338</v>
      </c>
      <c r="AKK30">
        <v>338</v>
      </c>
      <c r="AKL30">
        <v>338</v>
      </c>
      <c r="AKM30">
        <v>413</v>
      </c>
      <c r="AKN30">
        <v>225042</v>
      </c>
      <c r="AKO30">
        <v>303346</v>
      </c>
      <c r="AKP30">
        <v>187017</v>
      </c>
      <c r="AKQ30">
        <v>193367</v>
      </c>
      <c r="AKR30">
        <v>193794</v>
      </c>
      <c r="AKS30">
        <v>181</v>
      </c>
      <c r="AKT30">
        <v>181</v>
      </c>
      <c r="AKU30">
        <v>5706</v>
      </c>
      <c r="AKV30">
        <v>5706</v>
      </c>
    </row>
    <row r="31" spans="1:985" ht="14.4" customHeight="1" x14ac:dyDescent="0.55000000000000004">
      <c r="A31" t="s">
        <v>1</v>
      </c>
      <c r="B31" t="s">
        <v>1</v>
      </c>
      <c r="C31" s="1" t="s">
        <v>714</v>
      </c>
      <c r="D31">
        <f>YEAR(D33)</f>
        <v>2013</v>
      </c>
      <c r="E31">
        <f t="shared" ref="E31:BP31" si="0">YEAR(E33)</f>
        <v>2013</v>
      </c>
      <c r="F31">
        <f t="shared" si="0"/>
        <v>2013</v>
      </c>
      <c r="G31">
        <f t="shared" si="0"/>
        <v>2013</v>
      </c>
      <c r="H31">
        <f t="shared" si="0"/>
        <v>2014</v>
      </c>
      <c r="I31">
        <f t="shared" si="0"/>
        <v>2014</v>
      </c>
      <c r="J31">
        <f t="shared" si="0"/>
        <v>2014</v>
      </c>
      <c r="K31">
        <f t="shared" si="0"/>
        <v>2014</v>
      </c>
      <c r="L31">
        <f t="shared" si="0"/>
        <v>2014</v>
      </c>
      <c r="M31">
        <f t="shared" si="0"/>
        <v>2015</v>
      </c>
      <c r="N31">
        <f t="shared" si="0"/>
        <v>2015</v>
      </c>
      <c r="O31">
        <f t="shared" si="0"/>
        <v>2015</v>
      </c>
      <c r="P31">
        <f t="shared" si="0"/>
        <v>2015</v>
      </c>
      <c r="Q31">
        <f t="shared" si="0"/>
        <v>2015</v>
      </c>
      <c r="R31">
        <f t="shared" si="0"/>
        <v>2015</v>
      </c>
      <c r="S31">
        <f t="shared" si="0"/>
        <v>2015</v>
      </c>
      <c r="T31">
        <f t="shared" si="0"/>
        <v>2016</v>
      </c>
      <c r="U31">
        <f t="shared" si="0"/>
        <v>2016</v>
      </c>
      <c r="V31">
        <f t="shared" si="0"/>
        <v>2016</v>
      </c>
      <c r="W31">
        <f t="shared" si="0"/>
        <v>2016</v>
      </c>
      <c r="X31">
        <f t="shared" si="0"/>
        <v>2016</v>
      </c>
      <c r="Y31">
        <f t="shared" si="0"/>
        <v>2016</v>
      </c>
      <c r="Z31">
        <f t="shared" si="0"/>
        <v>2016</v>
      </c>
      <c r="AA31">
        <f t="shared" si="0"/>
        <v>2016</v>
      </c>
      <c r="AB31">
        <f t="shared" si="0"/>
        <v>2017</v>
      </c>
      <c r="AC31">
        <f t="shared" si="0"/>
        <v>2017</v>
      </c>
      <c r="AD31">
        <f t="shared" si="0"/>
        <v>2017</v>
      </c>
      <c r="AE31">
        <f t="shared" si="0"/>
        <v>2017</v>
      </c>
      <c r="AF31">
        <f t="shared" si="0"/>
        <v>2017</v>
      </c>
      <c r="AG31">
        <f t="shared" si="0"/>
        <v>2017</v>
      </c>
      <c r="AH31">
        <f t="shared" si="0"/>
        <v>2017</v>
      </c>
      <c r="AI31">
        <f t="shared" si="0"/>
        <v>2017</v>
      </c>
      <c r="AJ31">
        <f t="shared" si="0"/>
        <v>2018</v>
      </c>
      <c r="AK31">
        <f t="shared" si="0"/>
        <v>2018</v>
      </c>
      <c r="AL31">
        <f t="shared" si="0"/>
        <v>2018</v>
      </c>
      <c r="AM31">
        <f t="shared" si="0"/>
        <v>2018</v>
      </c>
      <c r="AN31">
        <f t="shared" si="0"/>
        <v>2018</v>
      </c>
      <c r="AO31">
        <f t="shared" si="0"/>
        <v>2018</v>
      </c>
      <c r="AP31">
        <f t="shared" si="0"/>
        <v>2018</v>
      </c>
      <c r="AQ31">
        <f t="shared" si="0"/>
        <v>2018</v>
      </c>
      <c r="AR31">
        <f t="shared" si="0"/>
        <v>2019</v>
      </c>
      <c r="AS31">
        <f t="shared" si="0"/>
        <v>2020</v>
      </c>
      <c r="AT31">
        <f t="shared" si="0"/>
        <v>2020</v>
      </c>
      <c r="AU31">
        <f t="shared" si="0"/>
        <v>2020</v>
      </c>
      <c r="AV31">
        <f t="shared" si="0"/>
        <v>2020</v>
      </c>
      <c r="AW31">
        <f t="shared" si="0"/>
        <v>2020</v>
      </c>
      <c r="AX31">
        <f t="shared" si="0"/>
        <v>2020</v>
      </c>
      <c r="AY31">
        <f t="shared" si="0"/>
        <v>2020</v>
      </c>
      <c r="AZ31">
        <f t="shared" si="0"/>
        <v>2020</v>
      </c>
      <c r="BA31">
        <f t="shared" si="0"/>
        <v>2021</v>
      </c>
      <c r="BB31">
        <f t="shared" si="0"/>
        <v>2021</v>
      </c>
      <c r="BC31">
        <f t="shared" si="0"/>
        <v>2021</v>
      </c>
      <c r="BD31">
        <f t="shared" si="0"/>
        <v>2021</v>
      </c>
      <c r="BE31">
        <f t="shared" si="0"/>
        <v>2021</v>
      </c>
      <c r="BF31">
        <f t="shared" si="0"/>
        <v>2021</v>
      </c>
      <c r="BG31">
        <f t="shared" si="0"/>
        <v>2011</v>
      </c>
      <c r="BH31">
        <f t="shared" si="0"/>
        <v>2012</v>
      </c>
      <c r="BI31">
        <f t="shared" si="0"/>
        <v>2013</v>
      </c>
      <c r="BJ31">
        <f t="shared" si="0"/>
        <v>2014</v>
      </c>
      <c r="BK31">
        <f t="shared" si="0"/>
        <v>2015</v>
      </c>
      <c r="BL31">
        <f t="shared" si="0"/>
        <v>2016</v>
      </c>
      <c r="BM31">
        <f t="shared" si="0"/>
        <v>2017</v>
      </c>
      <c r="BN31">
        <f t="shared" si="0"/>
        <v>2018</v>
      </c>
      <c r="BO31">
        <f t="shared" si="0"/>
        <v>2019</v>
      </c>
      <c r="BP31">
        <f t="shared" si="0"/>
        <v>2021</v>
      </c>
      <c r="BQ31">
        <f t="shared" ref="BQ31:EB31" si="1">YEAR(BQ33)</f>
        <v>2011</v>
      </c>
      <c r="BR31">
        <f t="shared" si="1"/>
        <v>2012</v>
      </c>
      <c r="BS31">
        <f t="shared" si="1"/>
        <v>2013</v>
      </c>
      <c r="BT31">
        <f t="shared" si="1"/>
        <v>2014</v>
      </c>
      <c r="BU31">
        <f t="shared" si="1"/>
        <v>2015</v>
      </c>
      <c r="BV31">
        <f t="shared" si="1"/>
        <v>2016</v>
      </c>
      <c r="BW31">
        <f t="shared" si="1"/>
        <v>2017</v>
      </c>
      <c r="BX31">
        <f t="shared" si="1"/>
        <v>2018</v>
      </c>
      <c r="BY31">
        <f t="shared" si="1"/>
        <v>2019</v>
      </c>
      <c r="BZ31">
        <f t="shared" si="1"/>
        <v>2021</v>
      </c>
      <c r="CA31">
        <f t="shared" si="1"/>
        <v>2012</v>
      </c>
      <c r="CB31">
        <f t="shared" si="1"/>
        <v>2013</v>
      </c>
      <c r="CC31">
        <f t="shared" si="1"/>
        <v>2013</v>
      </c>
      <c r="CD31">
        <f t="shared" si="1"/>
        <v>2013</v>
      </c>
      <c r="CE31">
        <f t="shared" si="1"/>
        <v>2013</v>
      </c>
      <c r="CF31">
        <f t="shared" si="1"/>
        <v>2013</v>
      </c>
      <c r="CG31">
        <f t="shared" si="1"/>
        <v>2013</v>
      </c>
      <c r="CH31">
        <f t="shared" si="1"/>
        <v>2013</v>
      </c>
      <c r="CI31">
        <f t="shared" si="1"/>
        <v>2013</v>
      </c>
      <c r="CJ31">
        <f t="shared" si="1"/>
        <v>2013</v>
      </c>
      <c r="CK31">
        <f t="shared" si="1"/>
        <v>2013</v>
      </c>
      <c r="CL31">
        <f t="shared" si="1"/>
        <v>2013</v>
      </c>
      <c r="CM31">
        <f t="shared" si="1"/>
        <v>2013</v>
      </c>
      <c r="CN31">
        <f t="shared" si="1"/>
        <v>2013</v>
      </c>
      <c r="CO31">
        <f t="shared" si="1"/>
        <v>2013</v>
      </c>
      <c r="CP31">
        <f t="shared" si="1"/>
        <v>2013</v>
      </c>
      <c r="CQ31">
        <f t="shared" si="1"/>
        <v>2013</v>
      </c>
      <c r="CR31">
        <f t="shared" si="1"/>
        <v>2013</v>
      </c>
      <c r="CS31">
        <f t="shared" si="1"/>
        <v>2013</v>
      </c>
      <c r="CT31">
        <f t="shared" si="1"/>
        <v>2013</v>
      </c>
      <c r="CU31">
        <f t="shared" si="1"/>
        <v>2013</v>
      </c>
      <c r="CV31">
        <f t="shared" si="1"/>
        <v>2013</v>
      </c>
      <c r="CW31">
        <f t="shared" si="1"/>
        <v>2013</v>
      </c>
      <c r="CX31">
        <f t="shared" si="1"/>
        <v>2013</v>
      </c>
      <c r="CY31">
        <f t="shared" si="1"/>
        <v>2013</v>
      </c>
      <c r="CZ31">
        <f t="shared" si="1"/>
        <v>2013</v>
      </c>
      <c r="DA31">
        <f t="shared" si="1"/>
        <v>2013</v>
      </c>
      <c r="DB31">
        <f t="shared" si="1"/>
        <v>2013</v>
      </c>
      <c r="DC31">
        <f t="shared" si="1"/>
        <v>2013</v>
      </c>
      <c r="DD31">
        <f t="shared" si="1"/>
        <v>2013</v>
      </c>
      <c r="DE31">
        <f t="shared" si="1"/>
        <v>2013</v>
      </c>
      <c r="DF31">
        <f t="shared" si="1"/>
        <v>2013</v>
      </c>
      <c r="DG31">
        <f t="shared" si="1"/>
        <v>2013</v>
      </c>
      <c r="DH31">
        <f t="shared" si="1"/>
        <v>2013</v>
      </c>
      <c r="DI31">
        <f t="shared" si="1"/>
        <v>2013</v>
      </c>
      <c r="DJ31">
        <f t="shared" si="1"/>
        <v>2013</v>
      </c>
      <c r="DK31">
        <f t="shared" si="1"/>
        <v>2013</v>
      </c>
      <c r="DL31">
        <f t="shared" si="1"/>
        <v>2013</v>
      </c>
      <c r="DM31">
        <f t="shared" si="1"/>
        <v>2013</v>
      </c>
      <c r="DN31">
        <f t="shared" si="1"/>
        <v>2013</v>
      </c>
      <c r="DO31">
        <f t="shared" si="1"/>
        <v>2013</v>
      </c>
      <c r="DP31">
        <f t="shared" si="1"/>
        <v>2013</v>
      </c>
      <c r="DQ31">
        <f t="shared" si="1"/>
        <v>2013</v>
      </c>
      <c r="DR31">
        <f t="shared" si="1"/>
        <v>2013</v>
      </c>
      <c r="DS31">
        <f t="shared" si="1"/>
        <v>2013</v>
      </c>
      <c r="DT31">
        <f t="shared" si="1"/>
        <v>2013</v>
      </c>
      <c r="DU31">
        <f t="shared" si="1"/>
        <v>2013</v>
      </c>
      <c r="DV31">
        <f t="shared" si="1"/>
        <v>2013</v>
      </c>
      <c r="DW31">
        <f t="shared" si="1"/>
        <v>2013</v>
      </c>
      <c r="DX31">
        <f t="shared" si="1"/>
        <v>2013</v>
      </c>
      <c r="DY31">
        <f t="shared" si="1"/>
        <v>2013</v>
      </c>
      <c r="DZ31">
        <f t="shared" si="1"/>
        <v>2013</v>
      </c>
      <c r="EA31">
        <f t="shared" si="1"/>
        <v>2013</v>
      </c>
      <c r="EB31">
        <f t="shared" si="1"/>
        <v>2013</v>
      </c>
      <c r="EC31">
        <f t="shared" ref="EC31:GN31" si="2">YEAR(EC33)</f>
        <v>2013</v>
      </c>
      <c r="ED31">
        <f t="shared" si="2"/>
        <v>2013</v>
      </c>
      <c r="EE31">
        <f t="shared" si="2"/>
        <v>2013</v>
      </c>
      <c r="EF31">
        <f t="shared" si="2"/>
        <v>2013</v>
      </c>
      <c r="EG31">
        <f t="shared" si="2"/>
        <v>2013</v>
      </c>
      <c r="EH31">
        <f t="shared" si="2"/>
        <v>2013</v>
      </c>
      <c r="EI31">
        <f t="shared" si="2"/>
        <v>2013</v>
      </c>
      <c r="EJ31">
        <f t="shared" si="2"/>
        <v>2013</v>
      </c>
      <c r="EK31">
        <f t="shared" si="2"/>
        <v>2013</v>
      </c>
      <c r="EL31">
        <f t="shared" si="2"/>
        <v>2013</v>
      </c>
      <c r="EM31">
        <f t="shared" si="2"/>
        <v>2013</v>
      </c>
      <c r="EN31">
        <f t="shared" si="2"/>
        <v>2013</v>
      </c>
      <c r="EO31">
        <f t="shared" si="2"/>
        <v>2013</v>
      </c>
      <c r="EP31">
        <f t="shared" si="2"/>
        <v>2013</v>
      </c>
      <c r="EQ31">
        <f t="shared" si="2"/>
        <v>2013</v>
      </c>
      <c r="ER31">
        <f t="shared" si="2"/>
        <v>2013</v>
      </c>
      <c r="ES31">
        <f t="shared" si="2"/>
        <v>2013</v>
      </c>
      <c r="ET31">
        <f t="shared" si="2"/>
        <v>2013</v>
      </c>
      <c r="EU31">
        <f t="shared" si="2"/>
        <v>2013</v>
      </c>
      <c r="EV31">
        <f t="shared" si="2"/>
        <v>2013</v>
      </c>
      <c r="EW31">
        <f t="shared" si="2"/>
        <v>2013</v>
      </c>
      <c r="EX31">
        <f t="shared" si="2"/>
        <v>2013</v>
      </c>
      <c r="EY31">
        <f t="shared" si="2"/>
        <v>2013</v>
      </c>
      <c r="EZ31">
        <f t="shared" si="2"/>
        <v>2013</v>
      </c>
      <c r="FA31">
        <f t="shared" si="2"/>
        <v>2013</v>
      </c>
      <c r="FB31">
        <f t="shared" si="2"/>
        <v>2013</v>
      </c>
      <c r="FC31">
        <f t="shared" si="2"/>
        <v>2013</v>
      </c>
      <c r="FD31">
        <f t="shared" si="2"/>
        <v>2013</v>
      </c>
      <c r="FE31">
        <f t="shared" si="2"/>
        <v>2013</v>
      </c>
      <c r="FF31">
        <f t="shared" si="2"/>
        <v>2013</v>
      </c>
      <c r="FG31">
        <f t="shared" si="2"/>
        <v>2013</v>
      </c>
      <c r="FH31">
        <f t="shared" si="2"/>
        <v>2013</v>
      </c>
      <c r="FI31">
        <f t="shared" si="2"/>
        <v>2013</v>
      </c>
      <c r="FJ31">
        <f t="shared" si="2"/>
        <v>2013</v>
      </c>
      <c r="FK31">
        <f t="shared" si="2"/>
        <v>2013</v>
      </c>
      <c r="FL31">
        <f t="shared" si="2"/>
        <v>2013</v>
      </c>
      <c r="FM31">
        <f t="shared" si="2"/>
        <v>2013</v>
      </c>
      <c r="FN31">
        <f t="shared" si="2"/>
        <v>2013</v>
      </c>
      <c r="FO31">
        <f t="shared" si="2"/>
        <v>2013</v>
      </c>
      <c r="FP31">
        <f t="shared" si="2"/>
        <v>2013</v>
      </c>
      <c r="FQ31">
        <f t="shared" si="2"/>
        <v>2013</v>
      </c>
      <c r="FR31">
        <f t="shared" si="2"/>
        <v>2013</v>
      </c>
      <c r="FS31">
        <f t="shared" si="2"/>
        <v>2013</v>
      </c>
      <c r="FT31">
        <f t="shared" si="2"/>
        <v>2013</v>
      </c>
      <c r="FU31">
        <f t="shared" si="2"/>
        <v>2013</v>
      </c>
      <c r="FV31">
        <f t="shared" si="2"/>
        <v>2013</v>
      </c>
      <c r="FW31">
        <f t="shared" si="2"/>
        <v>2013</v>
      </c>
      <c r="FX31">
        <f t="shared" si="2"/>
        <v>2013</v>
      </c>
      <c r="FY31">
        <f t="shared" si="2"/>
        <v>2013</v>
      </c>
      <c r="FZ31">
        <f t="shared" si="2"/>
        <v>2013</v>
      </c>
      <c r="GA31">
        <f t="shared" si="2"/>
        <v>2013</v>
      </c>
      <c r="GB31">
        <f t="shared" si="2"/>
        <v>2013</v>
      </c>
      <c r="GC31">
        <f t="shared" si="2"/>
        <v>2014</v>
      </c>
      <c r="GD31">
        <f t="shared" si="2"/>
        <v>2014</v>
      </c>
      <c r="GE31">
        <f t="shared" si="2"/>
        <v>2014</v>
      </c>
      <c r="GF31">
        <f t="shared" si="2"/>
        <v>2014</v>
      </c>
      <c r="GG31">
        <f t="shared" si="2"/>
        <v>2014</v>
      </c>
      <c r="GH31">
        <f t="shared" si="2"/>
        <v>2014</v>
      </c>
      <c r="GI31">
        <f t="shared" si="2"/>
        <v>2014</v>
      </c>
      <c r="GJ31">
        <f t="shared" si="2"/>
        <v>2014</v>
      </c>
      <c r="GK31">
        <f t="shared" si="2"/>
        <v>2014</v>
      </c>
      <c r="GL31">
        <f t="shared" si="2"/>
        <v>2014</v>
      </c>
      <c r="GM31">
        <f t="shared" si="2"/>
        <v>2014</v>
      </c>
      <c r="GN31">
        <f t="shared" si="2"/>
        <v>2014</v>
      </c>
      <c r="GO31">
        <f t="shared" ref="GO31:IZ31" si="3">YEAR(GO33)</f>
        <v>2014</v>
      </c>
      <c r="GP31">
        <f t="shared" si="3"/>
        <v>2014</v>
      </c>
      <c r="GQ31">
        <f t="shared" si="3"/>
        <v>2014</v>
      </c>
      <c r="GR31">
        <f t="shared" si="3"/>
        <v>2014</v>
      </c>
      <c r="GS31">
        <f t="shared" si="3"/>
        <v>2014</v>
      </c>
      <c r="GT31">
        <f t="shared" si="3"/>
        <v>2014</v>
      </c>
      <c r="GU31">
        <f t="shared" si="3"/>
        <v>2014</v>
      </c>
      <c r="GV31">
        <f t="shared" si="3"/>
        <v>2014</v>
      </c>
      <c r="GW31">
        <f t="shared" si="3"/>
        <v>2014</v>
      </c>
      <c r="GX31">
        <f t="shared" si="3"/>
        <v>2014</v>
      </c>
      <c r="GY31">
        <f t="shared" si="3"/>
        <v>2014</v>
      </c>
      <c r="GZ31">
        <f t="shared" si="3"/>
        <v>2014</v>
      </c>
      <c r="HA31">
        <f t="shared" si="3"/>
        <v>2014</v>
      </c>
      <c r="HB31">
        <f t="shared" si="3"/>
        <v>2014</v>
      </c>
      <c r="HC31">
        <f t="shared" si="3"/>
        <v>2014</v>
      </c>
      <c r="HD31">
        <f t="shared" si="3"/>
        <v>2014</v>
      </c>
      <c r="HE31">
        <f t="shared" si="3"/>
        <v>2014</v>
      </c>
      <c r="HF31">
        <f t="shared" si="3"/>
        <v>2014</v>
      </c>
      <c r="HG31">
        <f t="shared" si="3"/>
        <v>2014</v>
      </c>
      <c r="HH31">
        <f t="shared" si="3"/>
        <v>2014</v>
      </c>
      <c r="HI31">
        <f t="shared" si="3"/>
        <v>2014</v>
      </c>
      <c r="HJ31">
        <f t="shared" si="3"/>
        <v>2014</v>
      </c>
      <c r="HK31">
        <f t="shared" si="3"/>
        <v>2014</v>
      </c>
      <c r="HL31">
        <f t="shared" si="3"/>
        <v>2014</v>
      </c>
      <c r="HM31">
        <f t="shared" si="3"/>
        <v>2014</v>
      </c>
      <c r="HN31">
        <f t="shared" si="3"/>
        <v>2014</v>
      </c>
      <c r="HO31">
        <f t="shared" si="3"/>
        <v>2014</v>
      </c>
      <c r="HP31">
        <f t="shared" si="3"/>
        <v>2014</v>
      </c>
      <c r="HQ31">
        <f t="shared" si="3"/>
        <v>2014</v>
      </c>
      <c r="HR31">
        <f t="shared" si="3"/>
        <v>2014</v>
      </c>
      <c r="HS31">
        <f t="shared" si="3"/>
        <v>2014</v>
      </c>
      <c r="HT31">
        <f t="shared" si="3"/>
        <v>2014</v>
      </c>
      <c r="HU31">
        <f t="shared" si="3"/>
        <v>2014</v>
      </c>
      <c r="HV31">
        <f t="shared" si="3"/>
        <v>2014</v>
      </c>
      <c r="HW31">
        <f t="shared" si="3"/>
        <v>2014</v>
      </c>
      <c r="HX31">
        <f t="shared" si="3"/>
        <v>2014</v>
      </c>
      <c r="HY31">
        <f t="shared" si="3"/>
        <v>2014</v>
      </c>
      <c r="HZ31">
        <f t="shared" si="3"/>
        <v>2014</v>
      </c>
      <c r="IA31">
        <f t="shared" si="3"/>
        <v>2014</v>
      </c>
      <c r="IB31">
        <f t="shared" si="3"/>
        <v>2014</v>
      </c>
      <c r="IC31">
        <f t="shared" si="3"/>
        <v>2014</v>
      </c>
      <c r="ID31">
        <f t="shared" si="3"/>
        <v>2014</v>
      </c>
      <c r="IE31">
        <f t="shared" si="3"/>
        <v>2014</v>
      </c>
      <c r="IF31">
        <f t="shared" si="3"/>
        <v>2014</v>
      </c>
      <c r="IG31">
        <f t="shared" si="3"/>
        <v>2014</v>
      </c>
      <c r="IH31">
        <f t="shared" si="3"/>
        <v>2014</v>
      </c>
      <c r="II31">
        <f t="shared" si="3"/>
        <v>2014</v>
      </c>
      <c r="IJ31">
        <f t="shared" si="3"/>
        <v>2014</v>
      </c>
      <c r="IK31">
        <f t="shared" si="3"/>
        <v>2014</v>
      </c>
      <c r="IL31">
        <f t="shared" si="3"/>
        <v>2014</v>
      </c>
      <c r="IM31">
        <f t="shared" si="3"/>
        <v>2014</v>
      </c>
      <c r="IN31">
        <f t="shared" si="3"/>
        <v>2014</v>
      </c>
      <c r="IO31">
        <f t="shared" si="3"/>
        <v>2014</v>
      </c>
      <c r="IP31">
        <f t="shared" si="3"/>
        <v>2014</v>
      </c>
      <c r="IQ31">
        <f t="shared" si="3"/>
        <v>2014</v>
      </c>
      <c r="IR31">
        <f t="shared" si="3"/>
        <v>2014</v>
      </c>
      <c r="IS31">
        <f t="shared" si="3"/>
        <v>2014</v>
      </c>
      <c r="IT31">
        <f t="shared" si="3"/>
        <v>2014</v>
      </c>
      <c r="IU31">
        <f t="shared" si="3"/>
        <v>2014</v>
      </c>
      <c r="IV31">
        <f t="shared" si="3"/>
        <v>2014</v>
      </c>
      <c r="IW31">
        <f t="shared" si="3"/>
        <v>2014</v>
      </c>
      <c r="IX31">
        <f t="shared" si="3"/>
        <v>2015</v>
      </c>
      <c r="IY31">
        <f t="shared" si="3"/>
        <v>2015</v>
      </c>
      <c r="IZ31">
        <f t="shared" si="3"/>
        <v>2015</v>
      </c>
      <c r="JA31">
        <f t="shared" ref="JA31:LL31" si="4">YEAR(JA33)</f>
        <v>2015</v>
      </c>
      <c r="JB31">
        <f t="shared" si="4"/>
        <v>2015</v>
      </c>
      <c r="JC31">
        <f t="shared" si="4"/>
        <v>2015</v>
      </c>
      <c r="JD31">
        <f t="shared" si="4"/>
        <v>2015</v>
      </c>
      <c r="JE31">
        <f t="shared" si="4"/>
        <v>2015</v>
      </c>
      <c r="JF31">
        <f t="shared" si="4"/>
        <v>2015</v>
      </c>
      <c r="JG31">
        <f t="shared" si="4"/>
        <v>2015</v>
      </c>
      <c r="JH31">
        <f t="shared" si="4"/>
        <v>2015</v>
      </c>
      <c r="JI31">
        <f t="shared" si="4"/>
        <v>2015</v>
      </c>
      <c r="JJ31">
        <f t="shared" si="4"/>
        <v>2015</v>
      </c>
      <c r="JK31">
        <f t="shared" si="4"/>
        <v>2015</v>
      </c>
      <c r="JL31">
        <f t="shared" si="4"/>
        <v>2015</v>
      </c>
      <c r="JM31">
        <f t="shared" si="4"/>
        <v>2015</v>
      </c>
      <c r="JN31">
        <f t="shared" si="4"/>
        <v>2015</v>
      </c>
      <c r="JO31">
        <f t="shared" si="4"/>
        <v>2015</v>
      </c>
      <c r="JP31">
        <f t="shared" si="4"/>
        <v>2015</v>
      </c>
      <c r="JQ31">
        <f t="shared" si="4"/>
        <v>2015</v>
      </c>
      <c r="JR31">
        <f t="shared" si="4"/>
        <v>2015</v>
      </c>
      <c r="JS31">
        <f t="shared" si="4"/>
        <v>2015</v>
      </c>
      <c r="JT31">
        <f t="shared" si="4"/>
        <v>2015</v>
      </c>
      <c r="JU31">
        <f t="shared" si="4"/>
        <v>2015</v>
      </c>
      <c r="JV31">
        <f t="shared" si="4"/>
        <v>2015</v>
      </c>
      <c r="JW31">
        <f t="shared" si="4"/>
        <v>2015</v>
      </c>
      <c r="JX31">
        <f t="shared" si="4"/>
        <v>2015</v>
      </c>
      <c r="JY31">
        <f t="shared" si="4"/>
        <v>2015</v>
      </c>
      <c r="JZ31">
        <f t="shared" si="4"/>
        <v>2015</v>
      </c>
      <c r="KA31">
        <f t="shared" si="4"/>
        <v>2015</v>
      </c>
      <c r="KB31">
        <f t="shared" si="4"/>
        <v>2015</v>
      </c>
      <c r="KC31">
        <f t="shared" si="4"/>
        <v>2015</v>
      </c>
      <c r="KD31">
        <f t="shared" si="4"/>
        <v>2015</v>
      </c>
      <c r="KE31">
        <f t="shared" si="4"/>
        <v>2015</v>
      </c>
      <c r="KF31">
        <f t="shared" si="4"/>
        <v>2015</v>
      </c>
      <c r="KG31">
        <f t="shared" si="4"/>
        <v>2015</v>
      </c>
      <c r="KH31">
        <f t="shared" si="4"/>
        <v>2015</v>
      </c>
      <c r="KI31">
        <f t="shared" si="4"/>
        <v>2015</v>
      </c>
      <c r="KJ31">
        <f t="shared" si="4"/>
        <v>2015</v>
      </c>
      <c r="KK31">
        <f t="shared" si="4"/>
        <v>2015</v>
      </c>
      <c r="KL31">
        <f t="shared" si="4"/>
        <v>2015</v>
      </c>
      <c r="KM31">
        <f t="shared" si="4"/>
        <v>2015</v>
      </c>
      <c r="KN31">
        <f t="shared" si="4"/>
        <v>2015</v>
      </c>
      <c r="KO31">
        <f t="shared" si="4"/>
        <v>2015</v>
      </c>
      <c r="KP31">
        <f t="shared" si="4"/>
        <v>2015</v>
      </c>
      <c r="KQ31">
        <f t="shared" si="4"/>
        <v>2015</v>
      </c>
      <c r="KR31">
        <f t="shared" si="4"/>
        <v>2015</v>
      </c>
      <c r="KS31">
        <f t="shared" si="4"/>
        <v>2015</v>
      </c>
      <c r="KT31">
        <f t="shared" si="4"/>
        <v>2015</v>
      </c>
      <c r="KU31">
        <f t="shared" si="4"/>
        <v>2015</v>
      </c>
      <c r="KV31">
        <f t="shared" si="4"/>
        <v>2015</v>
      </c>
      <c r="KW31">
        <f t="shared" si="4"/>
        <v>2015</v>
      </c>
      <c r="KX31">
        <f t="shared" si="4"/>
        <v>2015</v>
      </c>
      <c r="KY31">
        <f t="shared" si="4"/>
        <v>2015</v>
      </c>
      <c r="KZ31">
        <f t="shared" si="4"/>
        <v>2015</v>
      </c>
      <c r="LA31">
        <f t="shared" si="4"/>
        <v>2015</v>
      </c>
      <c r="LB31">
        <f t="shared" si="4"/>
        <v>2015</v>
      </c>
      <c r="LC31">
        <f t="shared" si="4"/>
        <v>2015</v>
      </c>
      <c r="LD31">
        <f t="shared" si="4"/>
        <v>2015</v>
      </c>
      <c r="LE31">
        <f t="shared" si="4"/>
        <v>2015</v>
      </c>
      <c r="LF31">
        <f t="shared" si="4"/>
        <v>2015</v>
      </c>
      <c r="LG31">
        <f t="shared" si="4"/>
        <v>2015</v>
      </c>
      <c r="LH31">
        <f t="shared" si="4"/>
        <v>2015</v>
      </c>
      <c r="LI31">
        <f t="shared" si="4"/>
        <v>2015</v>
      </c>
      <c r="LJ31">
        <f t="shared" si="4"/>
        <v>2015</v>
      </c>
      <c r="LK31">
        <f t="shared" si="4"/>
        <v>2015</v>
      </c>
      <c r="LL31">
        <f t="shared" si="4"/>
        <v>2015</v>
      </c>
      <c r="LM31">
        <f t="shared" ref="LM31:NX31" si="5">YEAR(LM33)</f>
        <v>2015</v>
      </c>
      <c r="LN31">
        <f t="shared" si="5"/>
        <v>2015</v>
      </c>
      <c r="LO31">
        <f t="shared" si="5"/>
        <v>2015</v>
      </c>
      <c r="LP31">
        <f t="shared" si="5"/>
        <v>2015</v>
      </c>
      <c r="LQ31">
        <f t="shared" si="5"/>
        <v>2015</v>
      </c>
      <c r="LR31">
        <f t="shared" si="5"/>
        <v>2015</v>
      </c>
      <c r="LS31">
        <f t="shared" si="5"/>
        <v>2015</v>
      </c>
      <c r="LT31">
        <f t="shared" si="5"/>
        <v>2015</v>
      </c>
      <c r="LU31">
        <f t="shared" si="5"/>
        <v>2015</v>
      </c>
      <c r="LV31">
        <f t="shared" si="5"/>
        <v>2015</v>
      </c>
      <c r="LW31">
        <f t="shared" si="5"/>
        <v>2015</v>
      </c>
      <c r="LX31">
        <f t="shared" si="5"/>
        <v>2015</v>
      </c>
      <c r="LY31">
        <f t="shared" si="5"/>
        <v>2015</v>
      </c>
      <c r="LZ31">
        <f t="shared" si="5"/>
        <v>2015</v>
      </c>
      <c r="MA31">
        <f t="shared" si="5"/>
        <v>2015</v>
      </c>
      <c r="MB31">
        <f t="shared" si="5"/>
        <v>2015</v>
      </c>
      <c r="MC31">
        <f t="shared" si="5"/>
        <v>2015</v>
      </c>
      <c r="MD31">
        <f t="shared" si="5"/>
        <v>2015</v>
      </c>
      <c r="ME31">
        <f t="shared" si="5"/>
        <v>2015</v>
      </c>
      <c r="MF31">
        <f t="shared" si="5"/>
        <v>2015</v>
      </c>
      <c r="MG31">
        <f t="shared" si="5"/>
        <v>2016</v>
      </c>
      <c r="MH31">
        <f t="shared" si="5"/>
        <v>2016</v>
      </c>
      <c r="MI31">
        <f t="shared" si="5"/>
        <v>2016</v>
      </c>
      <c r="MJ31">
        <f t="shared" si="5"/>
        <v>2016</v>
      </c>
      <c r="MK31">
        <f t="shared" si="5"/>
        <v>2016</v>
      </c>
      <c r="ML31">
        <f t="shared" si="5"/>
        <v>2016</v>
      </c>
      <c r="MM31">
        <f t="shared" si="5"/>
        <v>2016</v>
      </c>
      <c r="MN31">
        <f t="shared" si="5"/>
        <v>2016</v>
      </c>
      <c r="MO31">
        <f t="shared" si="5"/>
        <v>2016</v>
      </c>
      <c r="MP31">
        <f t="shared" si="5"/>
        <v>2016</v>
      </c>
      <c r="MQ31">
        <f t="shared" si="5"/>
        <v>2016</v>
      </c>
      <c r="MR31">
        <f t="shared" si="5"/>
        <v>2016</v>
      </c>
      <c r="MS31">
        <f t="shared" si="5"/>
        <v>2016</v>
      </c>
      <c r="MT31">
        <f t="shared" si="5"/>
        <v>2016</v>
      </c>
      <c r="MU31">
        <f t="shared" si="5"/>
        <v>2016</v>
      </c>
      <c r="MV31">
        <f t="shared" si="5"/>
        <v>2016</v>
      </c>
      <c r="MW31">
        <f t="shared" si="5"/>
        <v>2016</v>
      </c>
      <c r="MX31">
        <f t="shared" si="5"/>
        <v>2016</v>
      </c>
      <c r="MY31">
        <f t="shared" si="5"/>
        <v>2016</v>
      </c>
      <c r="MZ31">
        <f t="shared" si="5"/>
        <v>2016</v>
      </c>
      <c r="NA31">
        <f t="shared" si="5"/>
        <v>2016</v>
      </c>
      <c r="NB31">
        <f t="shared" si="5"/>
        <v>2016</v>
      </c>
      <c r="NC31">
        <f t="shared" si="5"/>
        <v>2016</v>
      </c>
      <c r="ND31">
        <f t="shared" si="5"/>
        <v>2016</v>
      </c>
      <c r="NE31">
        <f t="shared" si="5"/>
        <v>2016</v>
      </c>
      <c r="NF31">
        <f t="shared" si="5"/>
        <v>2016</v>
      </c>
      <c r="NG31">
        <f t="shared" si="5"/>
        <v>2016</v>
      </c>
      <c r="NH31">
        <f t="shared" si="5"/>
        <v>2016</v>
      </c>
      <c r="NI31">
        <f t="shared" si="5"/>
        <v>2016</v>
      </c>
      <c r="NJ31">
        <f t="shared" si="5"/>
        <v>2016</v>
      </c>
      <c r="NK31">
        <f t="shared" si="5"/>
        <v>2016</v>
      </c>
      <c r="NL31">
        <f t="shared" si="5"/>
        <v>2016</v>
      </c>
      <c r="NM31">
        <f t="shared" si="5"/>
        <v>2016</v>
      </c>
      <c r="NN31">
        <f t="shared" si="5"/>
        <v>2016</v>
      </c>
      <c r="NO31">
        <f t="shared" si="5"/>
        <v>2016</v>
      </c>
      <c r="NP31">
        <f t="shared" si="5"/>
        <v>2016</v>
      </c>
      <c r="NQ31">
        <f t="shared" si="5"/>
        <v>2016</v>
      </c>
      <c r="NR31">
        <f t="shared" si="5"/>
        <v>2016</v>
      </c>
      <c r="NS31">
        <f t="shared" si="5"/>
        <v>2016</v>
      </c>
      <c r="NT31">
        <f t="shared" si="5"/>
        <v>2016</v>
      </c>
      <c r="NU31">
        <f t="shared" si="5"/>
        <v>2016</v>
      </c>
      <c r="NV31">
        <f t="shared" si="5"/>
        <v>2016</v>
      </c>
      <c r="NW31">
        <f t="shared" si="5"/>
        <v>2016</v>
      </c>
      <c r="NX31">
        <f t="shared" si="5"/>
        <v>2016</v>
      </c>
      <c r="NY31">
        <f t="shared" ref="NY31:QJ31" si="6">YEAR(NY33)</f>
        <v>2016</v>
      </c>
      <c r="NZ31">
        <f t="shared" si="6"/>
        <v>2016</v>
      </c>
      <c r="OA31">
        <f t="shared" si="6"/>
        <v>2016</v>
      </c>
      <c r="OB31">
        <f t="shared" si="6"/>
        <v>2016</v>
      </c>
      <c r="OC31">
        <f t="shared" si="6"/>
        <v>2016</v>
      </c>
      <c r="OD31">
        <f t="shared" si="6"/>
        <v>2016</v>
      </c>
      <c r="OE31">
        <f t="shared" si="6"/>
        <v>2016</v>
      </c>
      <c r="OF31">
        <f t="shared" si="6"/>
        <v>2016</v>
      </c>
      <c r="OG31">
        <f t="shared" si="6"/>
        <v>2016</v>
      </c>
      <c r="OH31">
        <f t="shared" si="6"/>
        <v>2016</v>
      </c>
      <c r="OI31">
        <f t="shared" si="6"/>
        <v>2016</v>
      </c>
      <c r="OJ31">
        <f t="shared" si="6"/>
        <v>2016</v>
      </c>
      <c r="OK31">
        <f t="shared" si="6"/>
        <v>2016</v>
      </c>
      <c r="OL31">
        <f t="shared" si="6"/>
        <v>2016</v>
      </c>
      <c r="OM31">
        <f t="shared" si="6"/>
        <v>2016</v>
      </c>
      <c r="ON31">
        <f t="shared" si="6"/>
        <v>2016</v>
      </c>
      <c r="OO31">
        <f t="shared" si="6"/>
        <v>2016</v>
      </c>
      <c r="OP31">
        <f t="shared" si="6"/>
        <v>2016</v>
      </c>
      <c r="OQ31">
        <f t="shared" si="6"/>
        <v>2016</v>
      </c>
      <c r="OR31">
        <f t="shared" si="6"/>
        <v>2016</v>
      </c>
      <c r="OS31">
        <f t="shared" si="6"/>
        <v>2016</v>
      </c>
      <c r="OT31">
        <f t="shared" si="6"/>
        <v>2016</v>
      </c>
      <c r="OU31">
        <f t="shared" si="6"/>
        <v>2016</v>
      </c>
      <c r="OV31">
        <f t="shared" si="6"/>
        <v>2016</v>
      </c>
      <c r="OW31">
        <f t="shared" si="6"/>
        <v>2016</v>
      </c>
      <c r="OX31">
        <f t="shared" si="6"/>
        <v>2016</v>
      </c>
      <c r="OY31">
        <f t="shared" si="6"/>
        <v>2016</v>
      </c>
      <c r="OZ31">
        <f t="shared" si="6"/>
        <v>2016</v>
      </c>
      <c r="PA31">
        <f t="shared" si="6"/>
        <v>2016</v>
      </c>
      <c r="PB31">
        <f t="shared" si="6"/>
        <v>2016</v>
      </c>
      <c r="PC31">
        <f t="shared" si="6"/>
        <v>2016</v>
      </c>
      <c r="PD31">
        <f t="shared" si="6"/>
        <v>2016</v>
      </c>
      <c r="PE31">
        <f t="shared" si="6"/>
        <v>2016</v>
      </c>
      <c r="PF31">
        <f t="shared" si="6"/>
        <v>2016</v>
      </c>
      <c r="PG31">
        <f t="shared" si="6"/>
        <v>2016</v>
      </c>
      <c r="PH31">
        <f t="shared" si="6"/>
        <v>2016</v>
      </c>
      <c r="PI31">
        <f t="shared" si="6"/>
        <v>2016</v>
      </c>
      <c r="PJ31">
        <f t="shared" si="6"/>
        <v>2016</v>
      </c>
      <c r="PK31">
        <f t="shared" si="6"/>
        <v>2016</v>
      </c>
      <c r="PL31">
        <f t="shared" si="6"/>
        <v>2016</v>
      </c>
      <c r="PM31">
        <f t="shared" si="6"/>
        <v>2016</v>
      </c>
      <c r="PN31">
        <f t="shared" si="6"/>
        <v>2016</v>
      </c>
      <c r="PO31">
        <f t="shared" si="6"/>
        <v>2016</v>
      </c>
      <c r="PP31">
        <f t="shared" si="6"/>
        <v>2017</v>
      </c>
      <c r="PQ31">
        <f t="shared" si="6"/>
        <v>2017</v>
      </c>
      <c r="PR31">
        <f t="shared" si="6"/>
        <v>2017</v>
      </c>
      <c r="PS31">
        <f t="shared" si="6"/>
        <v>2017</v>
      </c>
      <c r="PT31">
        <f t="shared" si="6"/>
        <v>2017</v>
      </c>
      <c r="PU31">
        <f t="shared" si="6"/>
        <v>2017</v>
      </c>
      <c r="PV31">
        <f t="shared" si="6"/>
        <v>2017</v>
      </c>
      <c r="PW31">
        <f t="shared" si="6"/>
        <v>2017</v>
      </c>
      <c r="PX31">
        <f t="shared" si="6"/>
        <v>2017</v>
      </c>
      <c r="PY31">
        <f t="shared" si="6"/>
        <v>2017</v>
      </c>
      <c r="PZ31">
        <f t="shared" si="6"/>
        <v>2017</v>
      </c>
      <c r="QA31">
        <f t="shared" si="6"/>
        <v>2017</v>
      </c>
      <c r="QB31">
        <f t="shared" si="6"/>
        <v>2017</v>
      </c>
      <c r="QC31">
        <f t="shared" si="6"/>
        <v>2017</v>
      </c>
      <c r="QD31">
        <f t="shared" si="6"/>
        <v>2017</v>
      </c>
      <c r="QE31">
        <f t="shared" si="6"/>
        <v>2017</v>
      </c>
      <c r="QF31">
        <f t="shared" si="6"/>
        <v>2017</v>
      </c>
      <c r="QG31">
        <f t="shared" si="6"/>
        <v>2017</v>
      </c>
      <c r="QH31">
        <f t="shared" si="6"/>
        <v>2017</v>
      </c>
      <c r="QI31">
        <f t="shared" si="6"/>
        <v>2017</v>
      </c>
      <c r="QJ31">
        <f t="shared" si="6"/>
        <v>2017</v>
      </c>
      <c r="QK31">
        <f t="shared" ref="QK31:SV31" si="7">YEAR(QK33)</f>
        <v>2017</v>
      </c>
      <c r="QL31">
        <f t="shared" si="7"/>
        <v>2017</v>
      </c>
      <c r="QM31">
        <f t="shared" si="7"/>
        <v>2017</v>
      </c>
      <c r="QN31">
        <f t="shared" si="7"/>
        <v>2017</v>
      </c>
      <c r="QO31">
        <f t="shared" si="7"/>
        <v>2017</v>
      </c>
      <c r="QP31">
        <f t="shared" si="7"/>
        <v>2017</v>
      </c>
      <c r="QQ31">
        <f t="shared" si="7"/>
        <v>2017</v>
      </c>
      <c r="QR31">
        <f t="shared" si="7"/>
        <v>2017</v>
      </c>
      <c r="QS31">
        <f t="shared" si="7"/>
        <v>2017</v>
      </c>
      <c r="QT31">
        <f t="shared" si="7"/>
        <v>2017</v>
      </c>
      <c r="QU31">
        <f t="shared" si="7"/>
        <v>2017</v>
      </c>
      <c r="QV31">
        <f t="shared" si="7"/>
        <v>2017</v>
      </c>
      <c r="QW31">
        <f t="shared" si="7"/>
        <v>2017</v>
      </c>
      <c r="QX31">
        <f t="shared" si="7"/>
        <v>2017</v>
      </c>
      <c r="QY31">
        <f t="shared" si="7"/>
        <v>2017</v>
      </c>
      <c r="QZ31">
        <f t="shared" si="7"/>
        <v>2017</v>
      </c>
      <c r="RA31">
        <f t="shared" si="7"/>
        <v>2017</v>
      </c>
      <c r="RB31">
        <f t="shared" si="7"/>
        <v>2017</v>
      </c>
      <c r="RC31">
        <f t="shared" si="7"/>
        <v>2017</v>
      </c>
      <c r="RD31">
        <f t="shared" si="7"/>
        <v>2017</v>
      </c>
      <c r="RE31">
        <f t="shared" si="7"/>
        <v>2017</v>
      </c>
      <c r="RF31">
        <f t="shared" si="7"/>
        <v>2017</v>
      </c>
      <c r="RG31">
        <f t="shared" si="7"/>
        <v>2017</v>
      </c>
      <c r="RH31">
        <f t="shared" si="7"/>
        <v>2017</v>
      </c>
      <c r="RI31">
        <f t="shared" si="7"/>
        <v>2017</v>
      </c>
      <c r="RJ31">
        <f t="shared" si="7"/>
        <v>2017</v>
      </c>
      <c r="RK31">
        <f t="shared" si="7"/>
        <v>2017</v>
      </c>
      <c r="RL31">
        <f t="shared" si="7"/>
        <v>2017</v>
      </c>
      <c r="RM31">
        <f t="shared" si="7"/>
        <v>2017</v>
      </c>
      <c r="RN31">
        <f t="shared" si="7"/>
        <v>2017</v>
      </c>
      <c r="RO31">
        <f t="shared" si="7"/>
        <v>2017</v>
      </c>
      <c r="RP31">
        <f t="shared" si="7"/>
        <v>2017</v>
      </c>
      <c r="RQ31">
        <f t="shared" si="7"/>
        <v>2017</v>
      </c>
      <c r="RR31">
        <f t="shared" si="7"/>
        <v>2017</v>
      </c>
      <c r="RS31">
        <f t="shared" si="7"/>
        <v>2017</v>
      </c>
      <c r="RT31">
        <f t="shared" si="7"/>
        <v>2017</v>
      </c>
      <c r="RU31">
        <f t="shared" si="7"/>
        <v>2017</v>
      </c>
      <c r="RV31">
        <f t="shared" si="7"/>
        <v>2017</v>
      </c>
      <c r="RW31">
        <f t="shared" si="7"/>
        <v>2017</v>
      </c>
      <c r="RX31">
        <f t="shared" si="7"/>
        <v>2017</v>
      </c>
      <c r="RY31">
        <f t="shared" si="7"/>
        <v>2017</v>
      </c>
      <c r="RZ31">
        <f t="shared" si="7"/>
        <v>2017</v>
      </c>
      <c r="SA31">
        <f t="shared" si="7"/>
        <v>2017</v>
      </c>
      <c r="SB31">
        <f t="shared" si="7"/>
        <v>2017</v>
      </c>
      <c r="SC31">
        <f t="shared" si="7"/>
        <v>2017</v>
      </c>
      <c r="SD31">
        <f t="shared" si="7"/>
        <v>2017</v>
      </c>
      <c r="SE31">
        <f t="shared" si="7"/>
        <v>2017</v>
      </c>
      <c r="SF31">
        <f t="shared" si="7"/>
        <v>2017</v>
      </c>
      <c r="SG31">
        <f t="shared" si="7"/>
        <v>2017</v>
      </c>
      <c r="SH31">
        <f t="shared" si="7"/>
        <v>2017</v>
      </c>
      <c r="SI31">
        <f t="shared" si="7"/>
        <v>2017</v>
      </c>
      <c r="SJ31">
        <f t="shared" si="7"/>
        <v>2017</v>
      </c>
      <c r="SK31">
        <f t="shared" si="7"/>
        <v>2017</v>
      </c>
      <c r="SL31">
        <f t="shared" si="7"/>
        <v>2017</v>
      </c>
      <c r="SM31">
        <f t="shared" si="7"/>
        <v>2017</v>
      </c>
      <c r="SN31">
        <f t="shared" si="7"/>
        <v>2017</v>
      </c>
      <c r="SO31">
        <f t="shared" si="7"/>
        <v>2017</v>
      </c>
      <c r="SP31">
        <f t="shared" si="7"/>
        <v>2017</v>
      </c>
      <c r="SQ31">
        <f t="shared" si="7"/>
        <v>2017</v>
      </c>
      <c r="SR31">
        <f t="shared" si="7"/>
        <v>2017</v>
      </c>
      <c r="SS31">
        <f t="shared" si="7"/>
        <v>2017</v>
      </c>
      <c r="ST31">
        <f t="shared" si="7"/>
        <v>2017</v>
      </c>
      <c r="SU31">
        <f t="shared" si="7"/>
        <v>2017</v>
      </c>
      <c r="SV31">
        <f t="shared" si="7"/>
        <v>2017</v>
      </c>
      <c r="SW31">
        <f t="shared" ref="SW31:VH31" si="8">YEAR(SW33)</f>
        <v>2017</v>
      </c>
      <c r="SX31">
        <f t="shared" si="8"/>
        <v>2017</v>
      </c>
      <c r="SY31">
        <f t="shared" si="8"/>
        <v>2018</v>
      </c>
      <c r="SZ31">
        <f t="shared" si="8"/>
        <v>2018</v>
      </c>
      <c r="TA31">
        <f t="shared" si="8"/>
        <v>2018</v>
      </c>
      <c r="TB31">
        <f t="shared" si="8"/>
        <v>2018</v>
      </c>
      <c r="TC31">
        <f t="shared" si="8"/>
        <v>2018</v>
      </c>
      <c r="TD31">
        <f t="shared" si="8"/>
        <v>2018</v>
      </c>
      <c r="TE31">
        <f t="shared" si="8"/>
        <v>2018</v>
      </c>
      <c r="TF31">
        <f t="shared" si="8"/>
        <v>2018</v>
      </c>
      <c r="TG31">
        <f t="shared" si="8"/>
        <v>2018</v>
      </c>
      <c r="TH31">
        <f t="shared" si="8"/>
        <v>2018</v>
      </c>
      <c r="TI31">
        <f t="shared" si="8"/>
        <v>2018</v>
      </c>
      <c r="TJ31">
        <f t="shared" si="8"/>
        <v>2018</v>
      </c>
      <c r="TK31">
        <f t="shared" si="8"/>
        <v>2018</v>
      </c>
      <c r="TL31">
        <f t="shared" si="8"/>
        <v>2018</v>
      </c>
      <c r="TM31">
        <f t="shared" si="8"/>
        <v>2018</v>
      </c>
      <c r="TN31">
        <f t="shared" si="8"/>
        <v>2018</v>
      </c>
      <c r="TO31">
        <f t="shared" si="8"/>
        <v>2018</v>
      </c>
      <c r="TP31">
        <f t="shared" si="8"/>
        <v>2018</v>
      </c>
      <c r="TQ31">
        <f t="shared" si="8"/>
        <v>2018</v>
      </c>
      <c r="TR31">
        <f t="shared" si="8"/>
        <v>2018</v>
      </c>
      <c r="TS31">
        <f t="shared" si="8"/>
        <v>2018</v>
      </c>
      <c r="TT31">
        <f t="shared" si="8"/>
        <v>2018</v>
      </c>
      <c r="TU31">
        <f t="shared" si="8"/>
        <v>2018</v>
      </c>
      <c r="TV31">
        <f t="shared" si="8"/>
        <v>2018</v>
      </c>
      <c r="TW31">
        <f t="shared" si="8"/>
        <v>2018</v>
      </c>
      <c r="TX31">
        <f t="shared" si="8"/>
        <v>2018</v>
      </c>
      <c r="TY31">
        <f t="shared" si="8"/>
        <v>2018</v>
      </c>
      <c r="TZ31">
        <f t="shared" si="8"/>
        <v>2018</v>
      </c>
      <c r="UA31">
        <f t="shared" si="8"/>
        <v>2018</v>
      </c>
      <c r="UB31">
        <f t="shared" si="8"/>
        <v>2018</v>
      </c>
      <c r="UC31">
        <f t="shared" si="8"/>
        <v>2018</v>
      </c>
      <c r="UD31">
        <f t="shared" si="8"/>
        <v>2018</v>
      </c>
      <c r="UE31">
        <f t="shared" si="8"/>
        <v>2018</v>
      </c>
      <c r="UF31">
        <f t="shared" si="8"/>
        <v>2018</v>
      </c>
      <c r="UG31">
        <f t="shared" si="8"/>
        <v>2018</v>
      </c>
      <c r="UH31">
        <f t="shared" si="8"/>
        <v>2018</v>
      </c>
      <c r="UI31">
        <f t="shared" si="8"/>
        <v>2018</v>
      </c>
      <c r="UJ31">
        <f t="shared" si="8"/>
        <v>2018</v>
      </c>
      <c r="UK31">
        <f t="shared" si="8"/>
        <v>2018</v>
      </c>
      <c r="UL31">
        <f t="shared" si="8"/>
        <v>2018</v>
      </c>
      <c r="UM31">
        <f t="shared" si="8"/>
        <v>2018</v>
      </c>
      <c r="UN31">
        <f t="shared" si="8"/>
        <v>2018</v>
      </c>
      <c r="UO31">
        <f t="shared" si="8"/>
        <v>2018</v>
      </c>
      <c r="UP31">
        <f t="shared" si="8"/>
        <v>2018</v>
      </c>
      <c r="UQ31">
        <f t="shared" si="8"/>
        <v>2018</v>
      </c>
      <c r="UR31">
        <f t="shared" si="8"/>
        <v>2018</v>
      </c>
      <c r="US31">
        <f t="shared" si="8"/>
        <v>2018</v>
      </c>
      <c r="UT31">
        <f t="shared" si="8"/>
        <v>2018</v>
      </c>
      <c r="UU31">
        <f t="shared" si="8"/>
        <v>2018</v>
      </c>
      <c r="UV31">
        <f t="shared" si="8"/>
        <v>2018</v>
      </c>
      <c r="UW31">
        <f t="shared" si="8"/>
        <v>2018</v>
      </c>
      <c r="UX31">
        <f t="shared" si="8"/>
        <v>2018</v>
      </c>
      <c r="UY31">
        <f t="shared" si="8"/>
        <v>2018</v>
      </c>
      <c r="UZ31">
        <f t="shared" si="8"/>
        <v>2018</v>
      </c>
      <c r="VA31">
        <f t="shared" si="8"/>
        <v>2018</v>
      </c>
      <c r="VB31">
        <f t="shared" si="8"/>
        <v>2018</v>
      </c>
      <c r="VC31">
        <f t="shared" si="8"/>
        <v>2018</v>
      </c>
      <c r="VD31">
        <f t="shared" si="8"/>
        <v>2018</v>
      </c>
      <c r="VE31">
        <f t="shared" si="8"/>
        <v>2018</v>
      </c>
      <c r="VF31">
        <f t="shared" si="8"/>
        <v>2018</v>
      </c>
      <c r="VG31">
        <f t="shared" si="8"/>
        <v>2018</v>
      </c>
      <c r="VH31">
        <f t="shared" si="8"/>
        <v>2018</v>
      </c>
      <c r="VI31">
        <f t="shared" ref="VI31:XT31" si="9">YEAR(VI33)</f>
        <v>2018</v>
      </c>
      <c r="VJ31">
        <f t="shared" si="9"/>
        <v>2018</v>
      </c>
      <c r="VK31">
        <f t="shared" si="9"/>
        <v>2018</v>
      </c>
      <c r="VL31">
        <f t="shared" si="9"/>
        <v>2018</v>
      </c>
      <c r="VM31">
        <f t="shared" si="9"/>
        <v>2018</v>
      </c>
      <c r="VN31">
        <f t="shared" si="9"/>
        <v>2018</v>
      </c>
      <c r="VO31">
        <f t="shared" si="9"/>
        <v>2018</v>
      </c>
      <c r="VP31">
        <f t="shared" si="9"/>
        <v>2018</v>
      </c>
      <c r="VQ31">
        <f t="shared" si="9"/>
        <v>2018</v>
      </c>
      <c r="VR31">
        <f t="shared" si="9"/>
        <v>2018</v>
      </c>
      <c r="VS31">
        <f t="shared" si="9"/>
        <v>2018</v>
      </c>
      <c r="VT31">
        <f t="shared" si="9"/>
        <v>2018</v>
      </c>
      <c r="VU31">
        <f t="shared" si="9"/>
        <v>2018</v>
      </c>
      <c r="VV31">
        <f t="shared" si="9"/>
        <v>2018</v>
      </c>
      <c r="VW31">
        <f t="shared" si="9"/>
        <v>2018</v>
      </c>
      <c r="VX31">
        <f t="shared" si="9"/>
        <v>2018</v>
      </c>
      <c r="VY31">
        <f t="shared" si="9"/>
        <v>2018</v>
      </c>
      <c r="VZ31">
        <f t="shared" si="9"/>
        <v>2018</v>
      </c>
      <c r="WA31">
        <f t="shared" si="9"/>
        <v>2018</v>
      </c>
      <c r="WB31">
        <f t="shared" si="9"/>
        <v>2018</v>
      </c>
      <c r="WC31">
        <f t="shared" si="9"/>
        <v>2018</v>
      </c>
      <c r="WD31">
        <f t="shared" si="9"/>
        <v>2018</v>
      </c>
      <c r="WE31">
        <f t="shared" si="9"/>
        <v>2018</v>
      </c>
      <c r="WF31">
        <f t="shared" si="9"/>
        <v>2018</v>
      </c>
      <c r="WG31">
        <f t="shared" si="9"/>
        <v>2018</v>
      </c>
      <c r="WH31">
        <f t="shared" si="9"/>
        <v>2019</v>
      </c>
      <c r="WI31">
        <f t="shared" si="9"/>
        <v>2019</v>
      </c>
      <c r="WJ31">
        <f t="shared" si="9"/>
        <v>2019</v>
      </c>
      <c r="WK31">
        <f t="shared" si="9"/>
        <v>2019</v>
      </c>
      <c r="WL31">
        <f t="shared" si="9"/>
        <v>2019</v>
      </c>
      <c r="WM31">
        <f t="shared" si="9"/>
        <v>2019</v>
      </c>
      <c r="WN31">
        <f t="shared" si="9"/>
        <v>2019</v>
      </c>
      <c r="WO31">
        <f t="shared" si="9"/>
        <v>2019</v>
      </c>
      <c r="WP31">
        <f t="shared" si="9"/>
        <v>2019</v>
      </c>
      <c r="WQ31">
        <f t="shared" si="9"/>
        <v>2019</v>
      </c>
      <c r="WR31">
        <f t="shared" si="9"/>
        <v>2019</v>
      </c>
      <c r="WS31">
        <f t="shared" si="9"/>
        <v>2019</v>
      </c>
      <c r="WT31">
        <f t="shared" si="9"/>
        <v>2019</v>
      </c>
      <c r="WU31">
        <f t="shared" si="9"/>
        <v>2019</v>
      </c>
      <c r="WV31">
        <f t="shared" si="9"/>
        <v>2019</v>
      </c>
      <c r="WW31">
        <f t="shared" si="9"/>
        <v>2019</v>
      </c>
      <c r="WX31">
        <f t="shared" si="9"/>
        <v>2019</v>
      </c>
      <c r="WY31">
        <f t="shared" si="9"/>
        <v>2019</v>
      </c>
      <c r="WZ31">
        <f t="shared" si="9"/>
        <v>2019</v>
      </c>
      <c r="XA31">
        <f t="shared" si="9"/>
        <v>2019</v>
      </c>
      <c r="XB31">
        <f t="shared" si="9"/>
        <v>2019</v>
      </c>
      <c r="XC31">
        <f t="shared" si="9"/>
        <v>2019</v>
      </c>
      <c r="XD31">
        <f t="shared" si="9"/>
        <v>2019</v>
      </c>
      <c r="XE31">
        <f t="shared" si="9"/>
        <v>2019</v>
      </c>
      <c r="XF31">
        <f t="shared" si="9"/>
        <v>2019</v>
      </c>
      <c r="XG31">
        <f t="shared" si="9"/>
        <v>2019</v>
      </c>
      <c r="XH31">
        <f t="shared" si="9"/>
        <v>2019</v>
      </c>
      <c r="XI31">
        <f t="shared" si="9"/>
        <v>2019</v>
      </c>
      <c r="XJ31">
        <f t="shared" si="9"/>
        <v>2019</v>
      </c>
      <c r="XK31">
        <f t="shared" si="9"/>
        <v>2019</v>
      </c>
      <c r="XL31">
        <f t="shared" si="9"/>
        <v>2019</v>
      </c>
      <c r="XM31">
        <f t="shared" si="9"/>
        <v>2019</v>
      </c>
      <c r="XN31">
        <f t="shared" si="9"/>
        <v>2019</v>
      </c>
      <c r="XO31">
        <f t="shared" si="9"/>
        <v>2019</v>
      </c>
      <c r="XP31">
        <f t="shared" si="9"/>
        <v>2019</v>
      </c>
      <c r="XQ31">
        <f t="shared" si="9"/>
        <v>2019</v>
      </c>
      <c r="XR31">
        <f t="shared" si="9"/>
        <v>2019</v>
      </c>
      <c r="XS31">
        <f t="shared" si="9"/>
        <v>2019</v>
      </c>
      <c r="XT31">
        <f t="shared" si="9"/>
        <v>2019</v>
      </c>
      <c r="XU31">
        <f t="shared" ref="XU31:ZP31" si="10">YEAR(XU33)</f>
        <v>2019</v>
      </c>
      <c r="XV31">
        <f t="shared" si="10"/>
        <v>2019</v>
      </c>
      <c r="XW31">
        <f t="shared" si="10"/>
        <v>2019</v>
      </c>
      <c r="XX31">
        <f t="shared" si="10"/>
        <v>2019</v>
      </c>
      <c r="XY31">
        <f t="shared" si="10"/>
        <v>2019</v>
      </c>
      <c r="XZ31">
        <f t="shared" si="10"/>
        <v>2019</v>
      </c>
      <c r="YA31">
        <f t="shared" si="10"/>
        <v>2019</v>
      </c>
      <c r="YB31">
        <f t="shared" si="10"/>
        <v>2019</v>
      </c>
      <c r="YC31">
        <f t="shared" si="10"/>
        <v>2019</v>
      </c>
      <c r="YD31">
        <f t="shared" si="10"/>
        <v>2019</v>
      </c>
      <c r="YE31">
        <f t="shared" si="10"/>
        <v>2019</v>
      </c>
      <c r="YF31">
        <f t="shared" si="10"/>
        <v>2019</v>
      </c>
      <c r="YG31">
        <f t="shared" si="10"/>
        <v>2019</v>
      </c>
      <c r="YH31">
        <f t="shared" si="10"/>
        <v>2019</v>
      </c>
      <c r="YI31">
        <f t="shared" si="10"/>
        <v>2019</v>
      </c>
      <c r="YJ31">
        <f t="shared" si="10"/>
        <v>2019</v>
      </c>
      <c r="YK31">
        <f t="shared" si="10"/>
        <v>2019</v>
      </c>
      <c r="YL31">
        <f t="shared" si="10"/>
        <v>2019</v>
      </c>
      <c r="YM31">
        <f t="shared" si="10"/>
        <v>2019</v>
      </c>
      <c r="YN31">
        <f t="shared" si="10"/>
        <v>2019</v>
      </c>
      <c r="YO31">
        <f t="shared" si="10"/>
        <v>2019</v>
      </c>
      <c r="YP31">
        <f t="shared" si="10"/>
        <v>2019</v>
      </c>
      <c r="YQ31">
        <f t="shared" si="10"/>
        <v>2019</v>
      </c>
      <c r="YR31">
        <f t="shared" si="10"/>
        <v>2019</v>
      </c>
      <c r="YS31">
        <f t="shared" si="10"/>
        <v>2019</v>
      </c>
      <c r="YT31">
        <f t="shared" si="10"/>
        <v>2019</v>
      </c>
      <c r="YU31">
        <f t="shared" si="10"/>
        <v>2019</v>
      </c>
      <c r="YV31">
        <f t="shared" si="10"/>
        <v>2019</v>
      </c>
      <c r="YW31">
        <f t="shared" si="10"/>
        <v>2019</v>
      </c>
      <c r="YX31">
        <f t="shared" si="10"/>
        <v>2019</v>
      </c>
      <c r="YY31">
        <f t="shared" si="10"/>
        <v>2019</v>
      </c>
      <c r="YZ31">
        <f t="shared" si="10"/>
        <v>2019</v>
      </c>
      <c r="ZA31">
        <f t="shared" si="10"/>
        <v>2019</v>
      </c>
      <c r="ZB31">
        <f t="shared" si="10"/>
        <v>2019</v>
      </c>
      <c r="ZC31">
        <f t="shared" si="10"/>
        <v>2019</v>
      </c>
      <c r="ZD31">
        <f t="shared" si="10"/>
        <v>2019</v>
      </c>
      <c r="ZE31">
        <f t="shared" si="10"/>
        <v>2019</v>
      </c>
      <c r="ZF31">
        <f t="shared" si="10"/>
        <v>2019</v>
      </c>
      <c r="ZG31">
        <f t="shared" si="10"/>
        <v>2019</v>
      </c>
      <c r="ZH31">
        <f t="shared" si="10"/>
        <v>2019</v>
      </c>
      <c r="ZI31">
        <f t="shared" si="10"/>
        <v>2019</v>
      </c>
      <c r="ZJ31">
        <f t="shared" si="10"/>
        <v>2019</v>
      </c>
      <c r="ZK31">
        <f t="shared" si="10"/>
        <v>2019</v>
      </c>
      <c r="ZL31">
        <f t="shared" si="10"/>
        <v>2019</v>
      </c>
      <c r="ZM31">
        <f t="shared" si="10"/>
        <v>2019</v>
      </c>
      <c r="ZN31">
        <f t="shared" si="10"/>
        <v>2019</v>
      </c>
      <c r="ZO31">
        <f t="shared" si="10"/>
        <v>2019</v>
      </c>
      <c r="ZP31">
        <f t="shared" si="10"/>
        <v>2019</v>
      </c>
      <c r="ZQ31">
        <v>2020</v>
      </c>
      <c r="ZR31">
        <v>2020</v>
      </c>
      <c r="ZS31">
        <v>2020</v>
      </c>
      <c r="ZT31">
        <v>2020</v>
      </c>
      <c r="ZU31">
        <v>2020</v>
      </c>
      <c r="ZV31">
        <v>2020</v>
      </c>
      <c r="ZW31">
        <v>2020</v>
      </c>
      <c r="ZX31">
        <v>2020</v>
      </c>
      <c r="ZY31">
        <v>2020</v>
      </c>
      <c r="ZZ31">
        <v>2020</v>
      </c>
      <c r="AAA31">
        <v>2020</v>
      </c>
      <c r="AAB31">
        <v>2020</v>
      </c>
      <c r="AAC31">
        <v>2020</v>
      </c>
      <c r="AAD31">
        <v>2020</v>
      </c>
      <c r="AAE31">
        <v>2020</v>
      </c>
      <c r="AAF31">
        <v>2020</v>
      </c>
      <c r="AAG31">
        <v>2020</v>
      </c>
      <c r="AAH31">
        <v>2020</v>
      </c>
      <c r="AAI31">
        <v>2020</v>
      </c>
      <c r="AAJ31">
        <v>2020</v>
      </c>
      <c r="AAK31">
        <v>2020</v>
      </c>
      <c r="AAL31">
        <v>2020</v>
      </c>
      <c r="AAM31">
        <v>2020</v>
      </c>
      <c r="AAN31">
        <v>2020</v>
      </c>
      <c r="AAO31">
        <v>2020</v>
      </c>
      <c r="AAP31">
        <v>2020</v>
      </c>
      <c r="AAQ31">
        <v>2020</v>
      </c>
      <c r="AAR31">
        <v>2020</v>
      </c>
      <c r="AAS31">
        <v>2020</v>
      </c>
      <c r="AAT31">
        <v>2020</v>
      </c>
      <c r="AAU31">
        <v>2020</v>
      </c>
      <c r="AAV31">
        <v>2020</v>
      </c>
      <c r="AAW31">
        <v>2020</v>
      </c>
      <c r="AAX31">
        <v>2020</v>
      </c>
      <c r="AAY31">
        <v>2020</v>
      </c>
      <c r="AAZ31">
        <v>2020</v>
      </c>
      <c r="ABA31">
        <v>2020</v>
      </c>
      <c r="ABB31">
        <v>2020</v>
      </c>
      <c r="ABC31">
        <v>2020</v>
      </c>
      <c r="ABD31">
        <v>2020</v>
      </c>
      <c r="ABE31">
        <v>2020</v>
      </c>
      <c r="ABF31">
        <v>2020</v>
      </c>
      <c r="ABG31">
        <v>2020</v>
      </c>
      <c r="ABH31">
        <v>2020</v>
      </c>
      <c r="ABI31">
        <v>2020</v>
      </c>
      <c r="ABJ31">
        <v>2020</v>
      </c>
      <c r="ABK31">
        <v>2020</v>
      </c>
      <c r="ABL31">
        <v>2020</v>
      </c>
      <c r="ABM31">
        <v>2020</v>
      </c>
      <c r="ABN31">
        <v>2020</v>
      </c>
      <c r="ABO31">
        <v>2020</v>
      </c>
      <c r="ABP31">
        <v>2020</v>
      </c>
      <c r="ABQ31">
        <v>2020</v>
      </c>
      <c r="ABR31">
        <v>2020</v>
      </c>
      <c r="ABS31">
        <v>2020</v>
      </c>
      <c r="ABT31">
        <v>2020</v>
      </c>
      <c r="ABU31">
        <v>2020</v>
      </c>
      <c r="ABV31">
        <v>2020</v>
      </c>
      <c r="ABW31">
        <v>2020</v>
      </c>
      <c r="ABX31">
        <v>2020</v>
      </c>
      <c r="ABY31">
        <v>2020</v>
      </c>
      <c r="ABZ31">
        <v>2020</v>
      </c>
      <c r="ACA31">
        <v>2020</v>
      </c>
      <c r="ACB31">
        <v>2020</v>
      </c>
      <c r="ACC31">
        <v>2020</v>
      </c>
      <c r="ACD31">
        <v>2020</v>
      </c>
      <c r="ACE31">
        <v>2020</v>
      </c>
      <c r="ACF31">
        <v>2020</v>
      </c>
      <c r="ACG31">
        <v>2020</v>
      </c>
      <c r="ACH31">
        <v>2020</v>
      </c>
      <c r="ACI31">
        <v>2020</v>
      </c>
      <c r="ACJ31">
        <v>2020</v>
      </c>
      <c r="ACK31">
        <v>2020</v>
      </c>
      <c r="ACL31">
        <v>2020</v>
      </c>
      <c r="ACM31">
        <v>2020</v>
      </c>
      <c r="ACN31">
        <v>2020</v>
      </c>
      <c r="ACO31">
        <v>2020</v>
      </c>
      <c r="ACP31">
        <v>2020</v>
      </c>
      <c r="ACQ31">
        <v>2020</v>
      </c>
      <c r="ACR31">
        <v>2020</v>
      </c>
      <c r="ACS31">
        <v>2020</v>
      </c>
      <c r="ACT31">
        <v>2020</v>
      </c>
      <c r="ACU31">
        <v>2020</v>
      </c>
      <c r="ACV31">
        <v>2020</v>
      </c>
      <c r="ACW31">
        <v>2020</v>
      </c>
      <c r="ACX31">
        <v>2020</v>
      </c>
      <c r="ACY31">
        <v>2020</v>
      </c>
      <c r="ACZ31">
        <v>2021</v>
      </c>
      <c r="ADA31">
        <v>2021</v>
      </c>
      <c r="ADB31">
        <v>2021</v>
      </c>
      <c r="ADC31">
        <v>2021</v>
      </c>
      <c r="ADD31">
        <v>2021</v>
      </c>
      <c r="ADE31">
        <v>2021</v>
      </c>
      <c r="ADF31">
        <v>2021</v>
      </c>
      <c r="ADG31">
        <v>2021</v>
      </c>
      <c r="ADH31">
        <v>2021</v>
      </c>
      <c r="ADI31">
        <v>2021</v>
      </c>
      <c r="ADJ31">
        <v>2021</v>
      </c>
      <c r="ADK31">
        <v>2021</v>
      </c>
      <c r="ADL31">
        <v>2021</v>
      </c>
      <c r="ADM31">
        <v>2021</v>
      </c>
      <c r="ADN31">
        <v>2021</v>
      </c>
      <c r="ADO31">
        <v>2021</v>
      </c>
      <c r="ADP31">
        <v>2021</v>
      </c>
      <c r="ADQ31">
        <v>2021</v>
      </c>
      <c r="ADR31">
        <v>2021</v>
      </c>
      <c r="ADS31">
        <v>2021</v>
      </c>
      <c r="ADT31">
        <v>2021</v>
      </c>
      <c r="ADU31">
        <v>2021</v>
      </c>
      <c r="ADV31">
        <v>2021</v>
      </c>
      <c r="ADW31">
        <v>2021</v>
      </c>
      <c r="ADX31">
        <v>2021</v>
      </c>
      <c r="ADY31">
        <v>2021</v>
      </c>
      <c r="ADZ31">
        <v>2021</v>
      </c>
      <c r="AEA31">
        <v>2021</v>
      </c>
      <c r="AEB31">
        <v>2021</v>
      </c>
      <c r="AEC31">
        <v>2021</v>
      </c>
      <c r="AED31">
        <v>2021</v>
      </c>
      <c r="AEE31">
        <v>2021</v>
      </c>
      <c r="AEF31">
        <v>2021</v>
      </c>
      <c r="AEG31">
        <v>2021</v>
      </c>
      <c r="AEH31">
        <v>2021</v>
      </c>
      <c r="AEI31">
        <v>2021</v>
      </c>
      <c r="AEJ31">
        <v>2021</v>
      </c>
      <c r="AEK31">
        <v>2021</v>
      </c>
      <c r="AEL31">
        <v>2021</v>
      </c>
      <c r="AEM31">
        <v>2021</v>
      </c>
      <c r="AEN31">
        <v>2021</v>
      </c>
      <c r="AEO31">
        <v>2021</v>
      </c>
      <c r="AEP31">
        <v>2021</v>
      </c>
      <c r="AEQ31">
        <v>2021</v>
      </c>
      <c r="AER31">
        <v>2021</v>
      </c>
      <c r="AES31">
        <v>2021</v>
      </c>
      <c r="AET31">
        <v>2021</v>
      </c>
      <c r="AEU31">
        <v>2021</v>
      </c>
      <c r="AEV31">
        <v>2021</v>
      </c>
      <c r="AEW31">
        <v>2021</v>
      </c>
      <c r="AEX31">
        <v>2021</v>
      </c>
      <c r="AEY31">
        <v>2021</v>
      </c>
      <c r="AEZ31">
        <v>2021</v>
      </c>
      <c r="AFA31">
        <v>2021</v>
      </c>
      <c r="AFB31">
        <v>2021</v>
      </c>
      <c r="AFC31">
        <v>2021</v>
      </c>
      <c r="AFD31">
        <v>2021</v>
      </c>
      <c r="AFE31">
        <v>2021</v>
      </c>
      <c r="AFF31">
        <v>2021</v>
      </c>
      <c r="AFG31">
        <v>2021</v>
      </c>
      <c r="AFH31">
        <v>2021</v>
      </c>
      <c r="AFI31">
        <v>2021</v>
      </c>
      <c r="AFJ31">
        <v>2021</v>
      </c>
      <c r="AFK31">
        <v>2021</v>
      </c>
      <c r="AFL31">
        <v>2021</v>
      </c>
      <c r="AFM31">
        <v>2021</v>
      </c>
      <c r="AFN31">
        <v>2021</v>
      </c>
      <c r="AFO31">
        <v>2021</v>
      </c>
      <c r="AFP31">
        <v>2021</v>
      </c>
      <c r="AFQ31">
        <v>2021</v>
      </c>
      <c r="AFR31">
        <v>2021</v>
      </c>
      <c r="AFS31">
        <v>2021</v>
      </c>
      <c r="AFT31">
        <v>2021</v>
      </c>
      <c r="AFU31">
        <v>2021</v>
      </c>
      <c r="AFV31">
        <v>2021</v>
      </c>
      <c r="AFW31">
        <v>2021</v>
      </c>
      <c r="AFX31">
        <v>2021</v>
      </c>
      <c r="AFY31">
        <v>2021</v>
      </c>
      <c r="AFZ31">
        <v>2021</v>
      </c>
      <c r="AGA31">
        <v>2021</v>
      </c>
      <c r="AGB31">
        <v>2021</v>
      </c>
      <c r="AGC31">
        <v>2021</v>
      </c>
      <c r="AGD31">
        <v>2021</v>
      </c>
      <c r="AGE31">
        <v>2021</v>
      </c>
      <c r="AGF31">
        <v>2021</v>
      </c>
      <c r="AGG31">
        <v>2021</v>
      </c>
      <c r="AGH31">
        <v>2021</v>
      </c>
      <c r="AGI31">
        <v>2022</v>
      </c>
      <c r="AGJ31">
        <v>2022</v>
      </c>
      <c r="AGK31">
        <v>2022</v>
      </c>
      <c r="AGL31">
        <v>2022</v>
      </c>
      <c r="AGM31">
        <v>2022</v>
      </c>
      <c r="AGN31">
        <v>2022</v>
      </c>
      <c r="AGO31">
        <v>2022</v>
      </c>
      <c r="AGP31">
        <v>2022</v>
      </c>
      <c r="AGQ31">
        <v>2022</v>
      </c>
      <c r="AGR31">
        <v>2022</v>
      </c>
      <c r="AGS31">
        <v>2022</v>
      </c>
      <c r="AGT31">
        <v>2022</v>
      </c>
      <c r="AGU31">
        <v>2022</v>
      </c>
      <c r="AGV31">
        <v>2022</v>
      </c>
      <c r="AGW31">
        <v>2022</v>
      </c>
      <c r="AGX31">
        <v>2022</v>
      </c>
      <c r="AGY31">
        <v>2022</v>
      </c>
      <c r="AGZ31">
        <v>2022</v>
      </c>
      <c r="AHA31">
        <v>2022</v>
      </c>
      <c r="AHB31">
        <v>2022</v>
      </c>
      <c r="AHC31">
        <v>2022</v>
      </c>
      <c r="AHD31">
        <v>2022</v>
      </c>
      <c r="AHE31">
        <v>2022</v>
      </c>
      <c r="AHF31">
        <v>2022</v>
      </c>
      <c r="AHG31">
        <v>2022</v>
      </c>
      <c r="AHH31">
        <v>2022</v>
      </c>
      <c r="AHI31">
        <v>2022</v>
      </c>
      <c r="AHJ31">
        <v>2022</v>
      </c>
      <c r="AHK31">
        <v>2022</v>
      </c>
      <c r="AHL31">
        <v>2022</v>
      </c>
      <c r="AHM31">
        <v>2022</v>
      </c>
      <c r="AHN31">
        <v>2022</v>
      </c>
      <c r="AHO31">
        <v>2022</v>
      </c>
      <c r="AHP31">
        <v>2022</v>
      </c>
      <c r="AHQ31">
        <v>2022</v>
      </c>
      <c r="AHR31">
        <v>2022</v>
      </c>
      <c r="AHS31">
        <v>2022</v>
      </c>
      <c r="AHT31">
        <v>2022</v>
      </c>
      <c r="AHU31">
        <v>2022</v>
      </c>
      <c r="AHV31">
        <v>2022</v>
      </c>
      <c r="AHW31">
        <v>2022</v>
      </c>
      <c r="AHX31">
        <v>2022</v>
      </c>
      <c r="AHY31">
        <v>2022</v>
      </c>
      <c r="AHZ31">
        <v>2022</v>
      </c>
      <c r="AIA31">
        <v>2022</v>
      </c>
      <c r="AIB31">
        <v>2022</v>
      </c>
      <c r="AIC31">
        <v>2022</v>
      </c>
      <c r="AID31">
        <v>2022</v>
      </c>
      <c r="AIE31">
        <v>2022</v>
      </c>
      <c r="AIF31">
        <v>2022</v>
      </c>
      <c r="AIG31">
        <v>2022</v>
      </c>
      <c r="AIH31">
        <v>2022</v>
      </c>
      <c r="AII31">
        <v>2022</v>
      </c>
      <c r="AIJ31">
        <v>2022</v>
      </c>
      <c r="AIK31">
        <v>2022</v>
      </c>
      <c r="AIL31">
        <v>2022</v>
      </c>
      <c r="AIM31">
        <v>2022</v>
      </c>
      <c r="AIN31">
        <v>2022</v>
      </c>
      <c r="AIO31">
        <v>2022</v>
      </c>
      <c r="AIP31">
        <v>2022</v>
      </c>
      <c r="AIQ31">
        <v>2022</v>
      </c>
      <c r="AIR31">
        <v>2022</v>
      </c>
      <c r="AIS31">
        <v>2022</v>
      </c>
      <c r="AIT31">
        <v>2022</v>
      </c>
      <c r="AIU31">
        <v>2022</v>
      </c>
      <c r="AIV31">
        <v>2022</v>
      </c>
      <c r="AIW31">
        <v>2022</v>
      </c>
      <c r="AIX31">
        <v>2022</v>
      </c>
      <c r="AIY31">
        <v>2022</v>
      </c>
      <c r="AIZ31">
        <v>2022</v>
      </c>
      <c r="AJA31">
        <v>2022</v>
      </c>
      <c r="AJB31">
        <v>2022</v>
      </c>
      <c r="AJC31">
        <v>2022</v>
      </c>
      <c r="AJD31">
        <v>2022</v>
      </c>
      <c r="AJE31">
        <v>2022</v>
      </c>
      <c r="AJF31">
        <v>2022</v>
      </c>
      <c r="AJG31">
        <v>2022</v>
      </c>
      <c r="AJH31">
        <v>2022</v>
      </c>
      <c r="AJI31">
        <v>2022</v>
      </c>
      <c r="AJJ31">
        <v>2022</v>
      </c>
      <c r="AJK31">
        <v>2022</v>
      </c>
      <c r="AJL31">
        <v>2022</v>
      </c>
      <c r="AJM31">
        <v>2022</v>
      </c>
      <c r="AJN31">
        <v>2022</v>
      </c>
      <c r="AJO31">
        <v>2022</v>
      </c>
      <c r="AJP31">
        <v>2022</v>
      </c>
      <c r="AJQ31">
        <v>2022</v>
      </c>
      <c r="AJR31">
        <v>2012</v>
      </c>
      <c r="AJS31">
        <v>2013</v>
      </c>
      <c r="AJT31">
        <v>2014</v>
      </c>
      <c r="AJU31">
        <v>2015</v>
      </c>
      <c r="AJV31">
        <v>2016</v>
      </c>
      <c r="AJW31">
        <v>2017</v>
      </c>
      <c r="AJX31">
        <v>2018</v>
      </c>
      <c r="AJY31">
        <v>2019</v>
      </c>
      <c r="AJZ31">
        <v>2020</v>
      </c>
      <c r="AKA31">
        <v>2014</v>
      </c>
      <c r="AKB31">
        <v>2015</v>
      </c>
      <c r="AKC31">
        <v>2016</v>
      </c>
      <c r="AKD31">
        <v>2017</v>
      </c>
      <c r="AKE31">
        <v>2018</v>
      </c>
      <c r="AKF31">
        <v>2019</v>
      </c>
      <c r="AKG31">
        <v>2020</v>
      </c>
      <c r="AKH31">
        <v>2022</v>
      </c>
      <c r="AKI31">
        <v>2023</v>
      </c>
      <c r="AKJ31">
        <f>YEAR(AKJ33)</f>
        <v>2017</v>
      </c>
      <c r="AKK31">
        <f t="shared" ref="AKK31:AKM31" si="11">YEAR(AKK33)</f>
        <v>2018</v>
      </c>
      <c r="AKL31">
        <f t="shared" si="11"/>
        <v>2019</v>
      </c>
      <c r="AKM31">
        <f t="shared" si="11"/>
        <v>2020</v>
      </c>
      <c r="AKN31">
        <v>2022</v>
      </c>
      <c r="AKO31">
        <v>2023</v>
      </c>
      <c r="AKP31">
        <v>2021</v>
      </c>
      <c r="AKQ31">
        <v>2022</v>
      </c>
      <c r="AKR31">
        <v>2023</v>
      </c>
      <c r="AKS31">
        <v>2021</v>
      </c>
      <c r="AKT31">
        <v>2021</v>
      </c>
      <c r="AKU31">
        <v>2021</v>
      </c>
      <c r="AKV31">
        <v>2021</v>
      </c>
      <c r="AKW31">
        <v>2021</v>
      </c>
    </row>
    <row r="32" spans="1:985" ht="14.4" customHeight="1" x14ac:dyDescent="0.55000000000000004">
      <c r="A32" t="s">
        <v>352</v>
      </c>
      <c r="B32" t="s">
        <v>1</v>
      </c>
      <c r="C32" s="1" t="s">
        <v>715</v>
      </c>
      <c r="D32">
        <f>YEAR(D33)</f>
        <v>2013</v>
      </c>
      <c r="E32">
        <f t="shared" ref="E32:BP32" si="12">YEAR(E33)</f>
        <v>2013</v>
      </c>
      <c r="F32">
        <f t="shared" si="12"/>
        <v>2013</v>
      </c>
      <c r="G32">
        <f t="shared" si="12"/>
        <v>2013</v>
      </c>
      <c r="H32">
        <f t="shared" si="12"/>
        <v>2014</v>
      </c>
      <c r="I32">
        <f t="shared" si="12"/>
        <v>2014</v>
      </c>
      <c r="J32">
        <f t="shared" si="12"/>
        <v>2014</v>
      </c>
      <c r="K32">
        <f t="shared" si="12"/>
        <v>2014</v>
      </c>
      <c r="L32">
        <f t="shared" si="12"/>
        <v>2014</v>
      </c>
      <c r="M32">
        <f t="shared" si="12"/>
        <v>2015</v>
      </c>
      <c r="N32">
        <f t="shared" si="12"/>
        <v>2015</v>
      </c>
      <c r="O32">
        <f t="shared" si="12"/>
        <v>2015</v>
      </c>
      <c r="P32">
        <f t="shared" si="12"/>
        <v>2015</v>
      </c>
      <c r="Q32">
        <f t="shared" si="12"/>
        <v>2015</v>
      </c>
      <c r="R32">
        <f t="shared" si="12"/>
        <v>2015</v>
      </c>
      <c r="S32">
        <f t="shared" si="12"/>
        <v>2015</v>
      </c>
      <c r="T32">
        <f t="shared" si="12"/>
        <v>2016</v>
      </c>
      <c r="U32">
        <f t="shared" si="12"/>
        <v>2016</v>
      </c>
      <c r="V32">
        <f t="shared" si="12"/>
        <v>2016</v>
      </c>
      <c r="W32">
        <f t="shared" si="12"/>
        <v>2016</v>
      </c>
      <c r="X32">
        <f t="shared" si="12"/>
        <v>2016</v>
      </c>
      <c r="Y32">
        <f t="shared" si="12"/>
        <v>2016</v>
      </c>
      <c r="Z32">
        <f t="shared" si="12"/>
        <v>2016</v>
      </c>
      <c r="AA32">
        <f t="shared" si="12"/>
        <v>2016</v>
      </c>
      <c r="AB32">
        <f t="shared" si="12"/>
        <v>2017</v>
      </c>
      <c r="AC32">
        <f t="shared" si="12"/>
        <v>2017</v>
      </c>
      <c r="AD32">
        <f t="shared" si="12"/>
        <v>2017</v>
      </c>
      <c r="AE32">
        <f t="shared" si="12"/>
        <v>2017</v>
      </c>
      <c r="AF32">
        <f t="shared" si="12"/>
        <v>2017</v>
      </c>
      <c r="AG32">
        <f t="shared" si="12"/>
        <v>2017</v>
      </c>
      <c r="AH32">
        <f t="shared" si="12"/>
        <v>2017</v>
      </c>
      <c r="AI32">
        <f t="shared" si="12"/>
        <v>2017</v>
      </c>
      <c r="AJ32">
        <f t="shared" si="12"/>
        <v>2018</v>
      </c>
      <c r="AK32">
        <f t="shared" si="12"/>
        <v>2018</v>
      </c>
      <c r="AL32">
        <f t="shared" si="12"/>
        <v>2018</v>
      </c>
      <c r="AM32">
        <f t="shared" si="12"/>
        <v>2018</v>
      </c>
      <c r="AN32">
        <f t="shared" si="12"/>
        <v>2018</v>
      </c>
      <c r="AO32">
        <f t="shared" si="12"/>
        <v>2018</v>
      </c>
      <c r="AP32">
        <f t="shared" si="12"/>
        <v>2018</v>
      </c>
      <c r="AQ32">
        <f t="shared" si="12"/>
        <v>2018</v>
      </c>
      <c r="AR32">
        <f t="shared" si="12"/>
        <v>2019</v>
      </c>
      <c r="AS32">
        <f t="shared" si="12"/>
        <v>2020</v>
      </c>
      <c r="AT32">
        <f t="shared" si="12"/>
        <v>2020</v>
      </c>
      <c r="AU32">
        <f t="shared" si="12"/>
        <v>2020</v>
      </c>
      <c r="AV32">
        <f t="shared" si="12"/>
        <v>2020</v>
      </c>
      <c r="AW32">
        <f t="shared" si="12"/>
        <v>2020</v>
      </c>
      <c r="AX32">
        <f t="shared" si="12"/>
        <v>2020</v>
      </c>
      <c r="AY32">
        <f t="shared" si="12"/>
        <v>2020</v>
      </c>
      <c r="AZ32">
        <f t="shared" si="12"/>
        <v>2020</v>
      </c>
      <c r="BA32">
        <f t="shared" si="12"/>
        <v>2021</v>
      </c>
      <c r="BB32">
        <f t="shared" si="12"/>
        <v>2021</v>
      </c>
      <c r="BC32">
        <f t="shared" si="12"/>
        <v>2021</v>
      </c>
      <c r="BD32">
        <f t="shared" si="12"/>
        <v>2021</v>
      </c>
      <c r="BE32">
        <f t="shared" si="12"/>
        <v>2021</v>
      </c>
      <c r="BF32">
        <f t="shared" si="12"/>
        <v>2021</v>
      </c>
      <c r="BG32">
        <f t="shared" si="12"/>
        <v>2011</v>
      </c>
      <c r="BH32">
        <f t="shared" si="12"/>
        <v>2012</v>
      </c>
      <c r="BI32">
        <f t="shared" si="12"/>
        <v>2013</v>
      </c>
      <c r="BJ32">
        <f t="shared" si="12"/>
        <v>2014</v>
      </c>
      <c r="BK32">
        <f t="shared" si="12"/>
        <v>2015</v>
      </c>
      <c r="BL32">
        <f t="shared" si="12"/>
        <v>2016</v>
      </c>
      <c r="BM32">
        <f t="shared" si="12"/>
        <v>2017</v>
      </c>
      <c r="BN32">
        <f t="shared" si="12"/>
        <v>2018</v>
      </c>
      <c r="BO32">
        <f t="shared" si="12"/>
        <v>2019</v>
      </c>
      <c r="BP32">
        <f t="shared" si="12"/>
        <v>2021</v>
      </c>
      <c r="BQ32">
        <f t="shared" ref="BQ32:EB32" si="13">YEAR(BQ33)</f>
        <v>2011</v>
      </c>
      <c r="BR32">
        <f t="shared" si="13"/>
        <v>2012</v>
      </c>
      <c r="BS32">
        <f t="shared" si="13"/>
        <v>2013</v>
      </c>
      <c r="BT32">
        <f t="shared" si="13"/>
        <v>2014</v>
      </c>
      <c r="BU32">
        <f t="shared" si="13"/>
        <v>2015</v>
      </c>
      <c r="BV32">
        <f t="shared" si="13"/>
        <v>2016</v>
      </c>
      <c r="BW32">
        <f t="shared" si="13"/>
        <v>2017</v>
      </c>
      <c r="BX32">
        <f t="shared" si="13"/>
        <v>2018</v>
      </c>
      <c r="BY32">
        <f t="shared" si="13"/>
        <v>2019</v>
      </c>
      <c r="BZ32">
        <f t="shared" si="13"/>
        <v>2021</v>
      </c>
      <c r="CA32">
        <f t="shared" si="13"/>
        <v>2012</v>
      </c>
      <c r="CB32">
        <f t="shared" si="13"/>
        <v>2013</v>
      </c>
      <c r="CC32">
        <f t="shared" si="13"/>
        <v>2013</v>
      </c>
      <c r="CD32">
        <f t="shared" si="13"/>
        <v>2013</v>
      </c>
      <c r="CE32">
        <f t="shared" si="13"/>
        <v>2013</v>
      </c>
      <c r="CF32">
        <f t="shared" si="13"/>
        <v>2013</v>
      </c>
      <c r="CG32">
        <f t="shared" si="13"/>
        <v>2013</v>
      </c>
      <c r="CH32">
        <f t="shared" si="13"/>
        <v>2013</v>
      </c>
      <c r="CI32">
        <f t="shared" si="13"/>
        <v>2013</v>
      </c>
      <c r="CJ32">
        <f t="shared" si="13"/>
        <v>2013</v>
      </c>
      <c r="CK32">
        <f t="shared" si="13"/>
        <v>2013</v>
      </c>
      <c r="CL32">
        <f t="shared" si="13"/>
        <v>2013</v>
      </c>
      <c r="CM32">
        <f t="shared" si="13"/>
        <v>2013</v>
      </c>
      <c r="CN32">
        <f t="shared" si="13"/>
        <v>2013</v>
      </c>
      <c r="CO32">
        <f t="shared" si="13"/>
        <v>2013</v>
      </c>
      <c r="CP32">
        <f t="shared" si="13"/>
        <v>2013</v>
      </c>
      <c r="CQ32">
        <f t="shared" si="13"/>
        <v>2013</v>
      </c>
      <c r="CR32">
        <f t="shared" si="13"/>
        <v>2013</v>
      </c>
      <c r="CS32">
        <f t="shared" si="13"/>
        <v>2013</v>
      </c>
      <c r="CT32">
        <f t="shared" si="13"/>
        <v>2013</v>
      </c>
      <c r="CU32">
        <f t="shared" si="13"/>
        <v>2013</v>
      </c>
      <c r="CV32">
        <f t="shared" si="13"/>
        <v>2013</v>
      </c>
      <c r="CW32">
        <f t="shared" si="13"/>
        <v>2013</v>
      </c>
      <c r="CX32">
        <f t="shared" si="13"/>
        <v>2013</v>
      </c>
      <c r="CY32">
        <f t="shared" si="13"/>
        <v>2013</v>
      </c>
      <c r="CZ32">
        <f t="shared" si="13"/>
        <v>2013</v>
      </c>
      <c r="DA32">
        <f t="shared" si="13"/>
        <v>2013</v>
      </c>
      <c r="DB32">
        <f t="shared" si="13"/>
        <v>2013</v>
      </c>
      <c r="DC32">
        <f t="shared" si="13"/>
        <v>2013</v>
      </c>
      <c r="DD32">
        <f t="shared" si="13"/>
        <v>2013</v>
      </c>
      <c r="DE32">
        <f t="shared" si="13"/>
        <v>2013</v>
      </c>
      <c r="DF32">
        <f t="shared" si="13"/>
        <v>2013</v>
      </c>
      <c r="DG32">
        <f t="shared" si="13"/>
        <v>2013</v>
      </c>
      <c r="DH32">
        <f t="shared" si="13"/>
        <v>2013</v>
      </c>
      <c r="DI32">
        <f t="shared" si="13"/>
        <v>2013</v>
      </c>
      <c r="DJ32">
        <f t="shared" si="13"/>
        <v>2013</v>
      </c>
      <c r="DK32">
        <f t="shared" si="13"/>
        <v>2013</v>
      </c>
      <c r="DL32">
        <f t="shared" si="13"/>
        <v>2013</v>
      </c>
      <c r="DM32">
        <f t="shared" si="13"/>
        <v>2013</v>
      </c>
      <c r="DN32">
        <f t="shared" si="13"/>
        <v>2013</v>
      </c>
      <c r="DO32">
        <f t="shared" si="13"/>
        <v>2013</v>
      </c>
      <c r="DP32">
        <f t="shared" si="13"/>
        <v>2013</v>
      </c>
      <c r="DQ32">
        <f t="shared" si="13"/>
        <v>2013</v>
      </c>
      <c r="DR32">
        <f t="shared" si="13"/>
        <v>2013</v>
      </c>
      <c r="DS32">
        <f t="shared" si="13"/>
        <v>2013</v>
      </c>
      <c r="DT32">
        <f t="shared" si="13"/>
        <v>2013</v>
      </c>
      <c r="DU32">
        <f t="shared" si="13"/>
        <v>2013</v>
      </c>
      <c r="DV32">
        <f t="shared" si="13"/>
        <v>2013</v>
      </c>
      <c r="DW32">
        <f t="shared" si="13"/>
        <v>2013</v>
      </c>
      <c r="DX32">
        <f t="shared" si="13"/>
        <v>2013</v>
      </c>
      <c r="DY32">
        <f t="shared" si="13"/>
        <v>2013</v>
      </c>
      <c r="DZ32">
        <f t="shared" si="13"/>
        <v>2013</v>
      </c>
      <c r="EA32">
        <f t="shared" si="13"/>
        <v>2013</v>
      </c>
      <c r="EB32">
        <f t="shared" si="13"/>
        <v>2013</v>
      </c>
      <c r="EC32">
        <f t="shared" ref="EC32:GN32" si="14">YEAR(EC33)</f>
        <v>2013</v>
      </c>
      <c r="ED32">
        <f t="shared" si="14"/>
        <v>2013</v>
      </c>
      <c r="EE32">
        <f t="shared" si="14"/>
        <v>2013</v>
      </c>
      <c r="EF32">
        <f t="shared" si="14"/>
        <v>2013</v>
      </c>
      <c r="EG32">
        <f t="shared" si="14"/>
        <v>2013</v>
      </c>
      <c r="EH32">
        <f t="shared" si="14"/>
        <v>2013</v>
      </c>
      <c r="EI32">
        <f t="shared" si="14"/>
        <v>2013</v>
      </c>
      <c r="EJ32">
        <f t="shared" si="14"/>
        <v>2013</v>
      </c>
      <c r="EK32">
        <f t="shared" si="14"/>
        <v>2013</v>
      </c>
      <c r="EL32">
        <f t="shared" si="14"/>
        <v>2013</v>
      </c>
      <c r="EM32">
        <f t="shared" si="14"/>
        <v>2013</v>
      </c>
      <c r="EN32">
        <f t="shared" si="14"/>
        <v>2013</v>
      </c>
      <c r="EO32">
        <f t="shared" si="14"/>
        <v>2013</v>
      </c>
      <c r="EP32">
        <f t="shared" si="14"/>
        <v>2013</v>
      </c>
      <c r="EQ32">
        <f t="shared" si="14"/>
        <v>2013</v>
      </c>
      <c r="ER32">
        <f t="shared" si="14"/>
        <v>2013</v>
      </c>
      <c r="ES32">
        <f t="shared" si="14"/>
        <v>2013</v>
      </c>
      <c r="ET32">
        <f t="shared" si="14"/>
        <v>2013</v>
      </c>
      <c r="EU32">
        <f t="shared" si="14"/>
        <v>2013</v>
      </c>
      <c r="EV32">
        <f t="shared" si="14"/>
        <v>2013</v>
      </c>
      <c r="EW32">
        <f t="shared" si="14"/>
        <v>2013</v>
      </c>
      <c r="EX32">
        <f t="shared" si="14"/>
        <v>2013</v>
      </c>
      <c r="EY32">
        <f t="shared" si="14"/>
        <v>2013</v>
      </c>
      <c r="EZ32">
        <f t="shared" si="14"/>
        <v>2013</v>
      </c>
      <c r="FA32">
        <f t="shared" si="14"/>
        <v>2013</v>
      </c>
      <c r="FB32">
        <f t="shared" si="14"/>
        <v>2013</v>
      </c>
      <c r="FC32">
        <f t="shared" si="14"/>
        <v>2013</v>
      </c>
      <c r="FD32">
        <f t="shared" si="14"/>
        <v>2013</v>
      </c>
      <c r="FE32">
        <f t="shared" si="14"/>
        <v>2013</v>
      </c>
      <c r="FF32">
        <f t="shared" si="14"/>
        <v>2013</v>
      </c>
      <c r="FG32">
        <f t="shared" si="14"/>
        <v>2013</v>
      </c>
      <c r="FH32">
        <f t="shared" si="14"/>
        <v>2013</v>
      </c>
      <c r="FI32">
        <f t="shared" si="14"/>
        <v>2013</v>
      </c>
      <c r="FJ32">
        <f t="shared" si="14"/>
        <v>2013</v>
      </c>
      <c r="FK32">
        <f t="shared" si="14"/>
        <v>2013</v>
      </c>
      <c r="FL32">
        <f t="shared" si="14"/>
        <v>2013</v>
      </c>
      <c r="FM32">
        <f t="shared" si="14"/>
        <v>2013</v>
      </c>
      <c r="FN32">
        <f t="shared" si="14"/>
        <v>2013</v>
      </c>
      <c r="FO32">
        <f t="shared" si="14"/>
        <v>2013</v>
      </c>
      <c r="FP32">
        <f t="shared" si="14"/>
        <v>2013</v>
      </c>
      <c r="FQ32">
        <f t="shared" si="14"/>
        <v>2013</v>
      </c>
      <c r="FR32">
        <f t="shared" si="14"/>
        <v>2013</v>
      </c>
      <c r="FS32">
        <f t="shared" si="14"/>
        <v>2013</v>
      </c>
      <c r="FT32">
        <f t="shared" si="14"/>
        <v>2013</v>
      </c>
      <c r="FU32">
        <f t="shared" si="14"/>
        <v>2013</v>
      </c>
      <c r="FV32">
        <f t="shared" si="14"/>
        <v>2013</v>
      </c>
      <c r="FW32">
        <f t="shared" si="14"/>
        <v>2013</v>
      </c>
      <c r="FX32">
        <f t="shared" si="14"/>
        <v>2013</v>
      </c>
      <c r="FY32">
        <f t="shared" si="14"/>
        <v>2013</v>
      </c>
      <c r="FZ32">
        <f t="shared" si="14"/>
        <v>2013</v>
      </c>
      <c r="GA32">
        <f t="shared" si="14"/>
        <v>2013</v>
      </c>
      <c r="GB32">
        <f t="shared" si="14"/>
        <v>2013</v>
      </c>
      <c r="GC32">
        <f t="shared" si="14"/>
        <v>2014</v>
      </c>
      <c r="GD32">
        <f t="shared" si="14"/>
        <v>2014</v>
      </c>
      <c r="GE32">
        <f t="shared" si="14"/>
        <v>2014</v>
      </c>
      <c r="GF32">
        <f t="shared" si="14"/>
        <v>2014</v>
      </c>
      <c r="GG32">
        <f t="shared" si="14"/>
        <v>2014</v>
      </c>
      <c r="GH32">
        <f t="shared" si="14"/>
        <v>2014</v>
      </c>
      <c r="GI32">
        <f t="shared" si="14"/>
        <v>2014</v>
      </c>
      <c r="GJ32">
        <f t="shared" si="14"/>
        <v>2014</v>
      </c>
      <c r="GK32">
        <f t="shared" si="14"/>
        <v>2014</v>
      </c>
      <c r="GL32">
        <f t="shared" si="14"/>
        <v>2014</v>
      </c>
      <c r="GM32">
        <f t="shared" si="14"/>
        <v>2014</v>
      </c>
      <c r="GN32">
        <f t="shared" si="14"/>
        <v>2014</v>
      </c>
      <c r="GO32">
        <f t="shared" ref="GO32:IZ32" si="15">YEAR(GO33)</f>
        <v>2014</v>
      </c>
      <c r="GP32">
        <f t="shared" si="15"/>
        <v>2014</v>
      </c>
      <c r="GQ32">
        <f t="shared" si="15"/>
        <v>2014</v>
      </c>
      <c r="GR32">
        <f t="shared" si="15"/>
        <v>2014</v>
      </c>
      <c r="GS32">
        <f t="shared" si="15"/>
        <v>2014</v>
      </c>
      <c r="GT32">
        <f t="shared" si="15"/>
        <v>2014</v>
      </c>
      <c r="GU32">
        <f t="shared" si="15"/>
        <v>2014</v>
      </c>
      <c r="GV32">
        <f t="shared" si="15"/>
        <v>2014</v>
      </c>
      <c r="GW32">
        <f t="shared" si="15"/>
        <v>2014</v>
      </c>
      <c r="GX32">
        <f t="shared" si="15"/>
        <v>2014</v>
      </c>
      <c r="GY32">
        <f t="shared" si="15"/>
        <v>2014</v>
      </c>
      <c r="GZ32">
        <f t="shared" si="15"/>
        <v>2014</v>
      </c>
      <c r="HA32">
        <f t="shared" si="15"/>
        <v>2014</v>
      </c>
      <c r="HB32">
        <f t="shared" si="15"/>
        <v>2014</v>
      </c>
      <c r="HC32">
        <f t="shared" si="15"/>
        <v>2014</v>
      </c>
      <c r="HD32">
        <f t="shared" si="15"/>
        <v>2014</v>
      </c>
      <c r="HE32">
        <f t="shared" si="15"/>
        <v>2014</v>
      </c>
      <c r="HF32">
        <f t="shared" si="15"/>
        <v>2014</v>
      </c>
      <c r="HG32">
        <f t="shared" si="15"/>
        <v>2014</v>
      </c>
      <c r="HH32">
        <f t="shared" si="15"/>
        <v>2014</v>
      </c>
      <c r="HI32">
        <f t="shared" si="15"/>
        <v>2014</v>
      </c>
      <c r="HJ32">
        <f t="shared" si="15"/>
        <v>2014</v>
      </c>
      <c r="HK32">
        <f t="shared" si="15"/>
        <v>2014</v>
      </c>
      <c r="HL32">
        <f t="shared" si="15"/>
        <v>2014</v>
      </c>
      <c r="HM32">
        <f t="shared" si="15"/>
        <v>2014</v>
      </c>
      <c r="HN32">
        <f t="shared" si="15"/>
        <v>2014</v>
      </c>
      <c r="HO32">
        <f t="shared" si="15"/>
        <v>2014</v>
      </c>
      <c r="HP32">
        <f t="shared" si="15"/>
        <v>2014</v>
      </c>
      <c r="HQ32">
        <f t="shared" si="15"/>
        <v>2014</v>
      </c>
      <c r="HR32">
        <f t="shared" si="15"/>
        <v>2014</v>
      </c>
      <c r="HS32">
        <f t="shared" si="15"/>
        <v>2014</v>
      </c>
      <c r="HT32">
        <f t="shared" si="15"/>
        <v>2014</v>
      </c>
      <c r="HU32">
        <f t="shared" si="15"/>
        <v>2014</v>
      </c>
      <c r="HV32">
        <f t="shared" si="15"/>
        <v>2014</v>
      </c>
      <c r="HW32">
        <f t="shared" si="15"/>
        <v>2014</v>
      </c>
      <c r="HX32">
        <f t="shared" si="15"/>
        <v>2014</v>
      </c>
      <c r="HY32">
        <f t="shared" si="15"/>
        <v>2014</v>
      </c>
      <c r="HZ32">
        <f t="shared" si="15"/>
        <v>2014</v>
      </c>
      <c r="IA32">
        <f t="shared" si="15"/>
        <v>2014</v>
      </c>
      <c r="IB32">
        <f t="shared" si="15"/>
        <v>2014</v>
      </c>
      <c r="IC32">
        <f t="shared" si="15"/>
        <v>2014</v>
      </c>
      <c r="ID32">
        <f t="shared" si="15"/>
        <v>2014</v>
      </c>
      <c r="IE32">
        <f t="shared" si="15"/>
        <v>2014</v>
      </c>
      <c r="IF32">
        <f t="shared" si="15"/>
        <v>2014</v>
      </c>
      <c r="IG32">
        <f t="shared" si="15"/>
        <v>2014</v>
      </c>
      <c r="IH32">
        <f t="shared" si="15"/>
        <v>2014</v>
      </c>
      <c r="II32">
        <f t="shared" si="15"/>
        <v>2014</v>
      </c>
      <c r="IJ32">
        <f t="shared" si="15"/>
        <v>2014</v>
      </c>
      <c r="IK32">
        <f t="shared" si="15"/>
        <v>2014</v>
      </c>
      <c r="IL32">
        <f t="shared" si="15"/>
        <v>2014</v>
      </c>
      <c r="IM32">
        <f t="shared" si="15"/>
        <v>2014</v>
      </c>
      <c r="IN32">
        <f t="shared" si="15"/>
        <v>2014</v>
      </c>
      <c r="IO32">
        <f t="shared" si="15"/>
        <v>2014</v>
      </c>
      <c r="IP32">
        <f t="shared" si="15"/>
        <v>2014</v>
      </c>
      <c r="IQ32">
        <f t="shared" si="15"/>
        <v>2014</v>
      </c>
      <c r="IR32">
        <f t="shared" si="15"/>
        <v>2014</v>
      </c>
      <c r="IS32">
        <f t="shared" si="15"/>
        <v>2014</v>
      </c>
      <c r="IT32">
        <f t="shared" si="15"/>
        <v>2014</v>
      </c>
      <c r="IU32">
        <f t="shared" si="15"/>
        <v>2014</v>
      </c>
      <c r="IV32">
        <f t="shared" si="15"/>
        <v>2014</v>
      </c>
      <c r="IW32">
        <f t="shared" si="15"/>
        <v>2014</v>
      </c>
      <c r="IX32">
        <f t="shared" si="15"/>
        <v>2015</v>
      </c>
      <c r="IY32">
        <f t="shared" si="15"/>
        <v>2015</v>
      </c>
      <c r="IZ32">
        <f t="shared" si="15"/>
        <v>2015</v>
      </c>
      <c r="JA32">
        <f t="shared" ref="JA32:LL32" si="16">YEAR(JA33)</f>
        <v>2015</v>
      </c>
      <c r="JB32">
        <f t="shared" si="16"/>
        <v>2015</v>
      </c>
      <c r="JC32">
        <f t="shared" si="16"/>
        <v>2015</v>
      </c>
      <c r="JD32">
        <f t="shared" si="16"/>
        <v>2015</v>
      </c>
      <c r="JE32">
        <f t="shared" si="16"/>
        <v>2015</v>
      </c>
      <c r="JF32">
        <f t="shared" si="16"/>
        <v>2015</v>
      </c>
      <c r="JG32">
        <f t="shared" si="16"/>
        <v>2015</v>
      </c>
      <c r="JH32">
        <f t="shared" si="16"/>
        <v>2015</v>
      </c>
      <c r="JI32">
        <f t="shared" si="16"/>
        <v>2015</v>
      </c>
      <c r="JJ32">
        <f t="shared" si="16"/>
        <v>2015</v>
      </c>
      <c r="JK32">
        <f t="shared" si="16"/>
        <v>2015</v>
      </c>
      <c r="JL32">
        <f t="shared" si="16"/>
        <v>2015</v>
      </c>
      <c r="JM32">
        <f t="shared" si="16"/>
        <v>2015</v>
      </c>
      <c r="JN32">
        <f t="shared" si="16"/>
        <v>2015</v>
      </c>
      <c r="JO32">
        <f t="shared" si="16"/>
        <v>2015</v>
      </c>
      <c r="JP32">
        <f t="shared" si="16"/>
        <v>2015</v>
      </c>
      <c r="JQ32">
        <f t="shared" si="16"/>
        <v>2015</v>
      </c>
      <c r="JR32">
        <f t="shared" si="16"/>
        <v>2015</v>
      </c>
      <c r="JS32">
        <f t="shared" si="16"/>
        <v>2015</v>
      </c>
      <c r="JT32">
        <f t="shared" si="16"/>
        <v>2015</v>
      </c>
      <c r="JU32">
        <f t="shared" si="16"/>
        <v>2015</v>
      </c>
      <c r="JV32">
        <f t="shared" si="16"/>
        <v>2015</v>
      </c>
      <c r="JW32">
        <f t="shared" si="16"/>
        <v>2015</v>
      </c>
      <c r="JX32">
        <f t="shared" si="16"/>
        <v>2015</v>
      </c>
      <c r="JY32">
        <f t="shared" si="16"/>
        <v>2015</v>
      </c>
      <c r="JZ32">
        <f t="shared" si="16"/>
        <v>2015</v>
      </c>
      <c r="KA32">
        <f t="shared" si="16"/>
        <v>2015</v>
      </c>
      <c r="KB32">
        <f t="shared" si="16"/>
        <v>2015</v>
      </c>
      <c r="KC32">
        <f t="shared" si="16"/>
        <v>2015</v>
      </c>
      <c r="KD32">
        <f t="shared" si="16"/>
        <v>2015</v>
      </c>
      <c r="KE32">
        <f t="shared" si="16"/>
        <v>2015</v>
      </c>
      <c r="KF32">
        <f t="shared" si="16"/>
        <v>2015</v>
      </c>
      <c r="KG32">
        <f t="shared" si="16"/>
        <v>2015</v>
      </c>
      <c r="KH32">
        <f t="shared" si="16"/>
        <v>2015</v>
      </c>
      <c r="KI32">
        <f t="shared" si="16"/>
        <v>2015</v>
      </c>
      <c r="KJ32">
        <f t="shared" si="16"/>
        <v>2015</v>
      </c>
      <c r="KK32">
        <f t="shared" si="16"/>
        <v>2015</v>
      </c>
      <c r="KL32">
        <f t="shared" si="16"/>
        <v>2015</v>
      </c>
      <c r="KM32">
        <f t="shared" si="16"/>
        <v>2015</v>
      </c>
      <c r="KN32">
        <f t="shared" si="16"/>
        <v>2015</v>
      </c>
      <c r="KO32">
        <f t="shared" si="16"/>
        <v>2015</v>
      </c>
      <c r="KP32">
        <f t="shared" si="16"/>
        <v>2015</v>
      </c>
      <c r="KQ32">
        <f t="shared" si="16"/>
        <v>2015</v>
      </c>
      <c r="KR32">
        <f t="shared" si="16"/>
        <v>2015</v>
      </c>
      <c r="KS32">
        <f t="shared" si="16"/>
        <v>2015</v>
      </c>
      <c r="KT32">
        <f t="shared" si="16"/>
        <v>2015</v>
      </c>
      <c r="KU32">
        <f t="shared" si="16"/>
        <v>2015</v>
      </c>
      <c r="KV32">
        <f t="shared" si="16"/>
        <v>2015</v>
      </c>
      <c r="KW32">
        <f t="shared" si="16"/>
        <v>2015</v>
      </c>
      <c r="KX32">
        <f t="shared" si="16"/>
        <v>2015</v>
      </c>
      <c r="KY32">
        <f t="shared" si="16"/>
        <v>2015</v>
      </c>
      <c r="KZ32">
        <f t="shared" si="16"/>
        <v>2015</v>
      </c>
      <c r="LA32">
        <f t="shared" si="16"/>
        <v>2015</v>
      </c>
      <c r="LB32">
        <f t="shared" si="16"/>
        <v>2015</v>
      </c>
      <c r="LC32">
        <f t="shared" si="16"/>
        <v>2015</v>
      </c>
      <c r="LD32">
        <f t="shared" si="16"/>
        <v>2015</v>
      </c>
      <c r="LE32">
        <f t="shared" si="16"/>
        <v>2015</v>
      </c>
      <c r="LF32">
        <f t="shared" si="16"/>
        <v>2015</v>
      </c>
      <c r="LG32">
        <f t="shared" si="16"/>
        <v>2015</v>
      </c>
      <c r="LH32">
        <f t="shared" si="16"/>
        <v>2015</v>
      </c>
      <c r="LI32">
        <f t="shared" si="16"/>
        <v>2015</v>
      </c>
      <c r="LJ32">
        <f t="shared" si="16"/>
        <v>2015</v>
      </c>
      <c r="LK32">
        <f t="shared" si="16"/>
        <v>2015</v>
      </c>
      <c r="LL32">
        <f t="shared" si="16"/>
        <v>2015</v>
      </c>
      <c r="LM32">
        <f t="shared" ref="LM32:NX32" si="17">YEAR(LM33)</f>
        <v>2015</v>
      </c>
      <c r="LN32">
        <f t="shared" si="17"/>
        <v>2015</v>
      </c>
      <c r="LO32">
        <f t="shared" si="17"/>
        <v>2015</v>
      </c>
      <c r="LP32">
        <f t="shared" si="17"/>
        <v>2015</v>
      </c>
      <c r="LQ32">
        <f t="shared" si="17"/>
        <v>2015</v>
      </c>
      <c r="LR32">
        <f t="shared" si="17"/>
        <v>2015</v>
      </c>
      <c r="LS32">
        <f t="shared" si="17"/>
        <v>2015</v>
      </c>
      <c r="LT32">
        <f t="shared" si="17"/>
        <v>2015</v>
      </c>
      <c r="LU32">
        <f t="shared" si="17"/>
        <v>2015</v>
      </c>
      <c r="LV32">
        <f t="shared" si="17"/>
        <v>2015</v>
      </c>
      <c r="LW32">
        <f t="shared" si="17"/>
        <v>2015</v>
      </c>
      <c r="LX32">
        <f t="shared" si="17"/>
        <v>2015</v>
      </c>
      <c r="LY32">
        <f t="shared" si="17"/>
        <v>2015</v>
      </c>
      <c r="LZ32">
        <f t="shared" si="17"/>
        <v>2015</v>
      </c>
      <c r="MA32">
        <f t="shared" si="17"/>
        <v>2015</v>
      </c>
      <c r="MB32">
        <f t="shared" si="17"/>
        <v>2015</v>
      </c>
      <c r="MC32">
        <f t="shared" si="17"/>
        <v>2015</v>
      </c>
      <c r="MD32">
        <f t="shared" si="17"/>
        <v>2015</v>
      </c>
      <c r="ME32">
        <f t="shared" si="17"/>
        <v>2015</v>
      </c>
      <c r="MF32">
        <f t="shared" si="17"/>
        <v>2015</v>
      </c>
      <c r="MG32">
        <f t="shared" si="17"/>
        <v>2016</v>
      </c>
      <c r="MH32">
        <f t="shared" si="17"/>
        <v>2016</v>
      </c>
      <c r="MI32">
        <f t="shared" si="17"/>
        <v>2016</v>
      </c>
      <c r="MJ32">
        <f t="shared" si="17"/>
        <v>2016</v>
      </c>
      <c r="MK32">
        <f t="shared" si="17"/>
        <v>2016</v>
      </c>
      <c r="ML32">
        <f t="shared" si="17"/>
        <v>2016</v>
      </c>
      <c r="MM32">
        <f t="shared" si="17"/>
        <v>2016</v>
      </c>
      <c r="MN32">
        <f t="shared" si="17"/>
        <v>2016</v>
      </c>
      <c r="MO32">
        <f t="shared" si="17"/>
        <v>2016</v>
      </c>
      <c r="MP32">
        <f t="shared" si="17"/>
        <v>2016</v>
      </c>
      <c r="MQ32">
        <f t="shared" si="17"/>
        <v>2016</v>
      </c>
      <c r="MR32">
        <f t="shared" si="17"/>
        <v>2016</v>
      </c>
      <c r="MS32">
        <f t="shared" si="17"/>
        <v>2016</v>
      </c>
      <c r="MT32">
        <f t="shared" si="17"/>
        <v>2016</v>
      </c>
      <c r="MU32">
        <f t="shared" si="17"/>
        <v>2016</v>
      </c>
      <c r="MV32">
        <f t="shared" si="17"/>
        <v>2016</v>
      </c>
      <c r="MW32">
        <f t="shared" si="17"/>
        <v>2016</v>
      </c>
      <c r="MX32">
        <f t="shared" si="17"/>
        <v>2016</v>
      </c>
      <c r="MY32">
        <f t="shared" si="17"/>
        <v>2016</v>
      </c>
      <c r="MZ32">
        <f t="shared" si="17"/>
        <v>2016</v>
      </c>
      <c r="NA32">
        <f t="shared" si="17"/>
        <v>2016</v>
      </c>
      <c r="NB32">
        <f t="shared" si="17"/>
        <v>2016</v>
      </c>
      <c r="NC32">
        <f t="shared" si="17"/>
        <v>2016</v>
      </c>
      <c r="ND32">
        <f t="shared" si="17"/>
        <v>2016</v>
      </c>
      <c r="NE32">
        <f t="shared" si="17"/>
        <v>2016</v>
      </c>
      <c r="NF32">
        <f t="shared" si="17"/>
        <v>2016</v>
      </c>
      <c r="NG32">
        <f t="shared" si="17"/>
        <v>2016</v>
      </c>
      <c r="NH32">
        <f t="shared" si="17"/>
        <v>2016</v>
      </c>
      <c r="NI32">
        <f t="shared" si="17"/>
        <v>2016</v>
      </c>
      <c r="NJ32">
        <f t="shared" si="17"/>
        <v>2016</v>
      </c>
      <c r="NK32">
        <f t="shared" si="17"/>
        <v>2016</v>
      </c>
      <c r="NL32">
        <f t="shared" si="17"/>
        <v>2016</v>
      </c>
      <c r="NM32">
        <f t="shared" si="17"/>
        <v>2016</v>
      </c>
      <c r="NN32">
        <f t="shared" si="17"/>
        <v>2016</v>
      </c>
      <c r="NO32">
        <f t="shared" si="17"/>
        <v>2016</v>
      </c>
      <c r="NP32">
        <f t="shared" si="17"/>
        <v>2016</v>
      </c>
      <c r="NQ32">
        <f t="shared" si="17"/>
        <v>2016</v>
      </c>
      <c r="NR32">
        <f t="shared" si="17"/>
        <v>2016</v>
      </c>
      <c r="NS32">
        <f t="shared" si="17"/>
        <v>2016</v>
      </c>
      <c r="NT32">
        <f t="shared" si="17"/>
        <v>2016</v>
      </c>
      <c r="NU32">
        <f t="shared" si="17"/>
        <v>2016</v>
      </c>
      <c r="NV32">
        <f t="shared" si="17"/>
        <v>2016</v>
      </c>
      <c r="NW32">
        <f t="shared" si="17"/>
        <v>2016</v>
      </c>
      <c r="NX32">
        <f t="shared" si="17"/>
        <v>2016</v>
      </c>
      <c r="NY32">
        <f t="shared" ref="NY32:QJ32" si="18">YEAR(NY33)</f>
        <v>2016</v>
      </c>
      <c r="NZ32">
        <f t="shared" si="18"/>
        <v>2016</v>
      </c>
      <c r="OA32">
        <f t="shared" si="18"/>
        <v>2016</v>
      </c>
      <c r="OB32">
        <f t="shared" si="18"/>
        <v>2016</v>
      </c>
      <c r="OC32">
        <f t="shared" si="18"/>
        <v>2016</v>
      </c>
      <c r="OD32">
        <f t="shared" si="18"/>
        <v>2016</v>
      </c>
      <c r="OE32">
        <f t="shared" si="18"/>
        <v>2016</v>
      </c>
      <c r="OF32">
        <f t="shared" si="18"/>
        <v>2016</v>
      </c>
      <c r="OG32">
        <f t="shared" si="18"/>
        <v>2016</v>
      </c>
      <c r="OH32">
        <f t="shared" si="18"/>
        <v>2016</v>
      </c>
      <c r="OI32">
        <f t="shared" si="18"/>
        <v>2016</v>
      </c>
      <c r="OJ32">
        <f t="shared" si="18"/>
        <v>2016</v>
      </c>
      <c r="OK32">
        <f t="shared" si="18"/>
        <v>2016</v>
      </c>
      <c r="OL32">
        <f t="shared" si="18"/>
        <v>2016</v>
      </c>
      <c r="OM32">
        <f t="shared" si="18"/>
        <v>2016</v>
      </c>
      <c r="ON32">
        <f t="shared" si="18"/>
        <v>2016</v>
      </c>
      <c r="OO32">
        <f t="shared" si="18"/>
        <v>2016</v>
      </c>
      <c r="OP32">
        <f t="shared" si="18"/>
        <v>2016</v>
      </c>
      <c r="OQ32">
        <f t="shared" si="18"/>
        <v>2016</v>
      </c>
      <c r="OR32">
        <f t="shared" si="18"/>
        <v>2016</v>
      </c>
      <c r="OS32">
        <f t="shared" si="18"/>
        <v>2016</v>
      </c>
      <c r="OT32">
        <f t="shared" si="18"/>
        <v>2016</v>
      </c>
      <c r="OU32">
        <f t="shared" si="18"/>
        <v>2016</v>
      </c>
      <c r="OV32">
        <f t="shared" si="18"/>
        <v>2016</v>
      </c>
      <c r="OW32">
        <f t="shared" si="18"/>
        <v>2016</v>
      </c>
      <c r="OX32">
        <f t="shared" si="18"/>
        <v>2016</v>
      </c>
      <c r="OY32">
        <f t="shared" si="18"/>
        <v>2016</v>
      </c>
      <c r="OZ32">
        <f t="shared" si="18"/>
        <v>2016</v>
      </c>
      <c r="PA32">
        <f t="shared" si="18"/>
        <v>2016</v>
      </c>
      <c r="PB32">
        <f t="shared" si="18"/>
        <v>2016</v>
      </c>
      <c r="PC32">
        <f t="shared" si="18"/>
        <v>2016</v>
      </c>
      <c r="PD32">
        <f t="shared" si="18"/>
        <v>2016</v>
      </c>
      <c r="PE32">
        <f t="shared" si="18"/>
        <v>2016</v>
      </c>
      <c r="PF32">
        <f t="shared" si="18"/>
        <v>2016</v>
      </c>
      <c r="PG32">
        <f t="shared" si="18"/>
        <v>2016</v>
      </c>
      <c r="PH32">
        <f t="shared" si="18"/>
        <v>2016</v>
      </c>
      <c r="PI32">
        <f t="shared" si="18"/>
        <v>2016</v>
      </c>
      <c r="PJ32">
        <f t="shared" si="18"/>
        <v>2016</v>
      </c>
      <c r="PK32">
        <f t="shared" si="18"/>
        <v>2016</v>
      </c>
      <c r="PL32">
        <f t="shared" si="18"/>
        <v>2016</v>
      </c>
      <c r="PM32">
        <f t="shared" si="18"/>
        <v>2016</v>
      </c>
      <c r="PN32">
        <f t="shared" si="18"/>
        <v>2016</v>
      </c>
      <c r="PO32">
        <f t="shared" si="18"/>
        <v>2016</v>
      </c>
      <c r="PP32">
        <f t="shared" si="18"/>
        <v>2017</v>
      </c>
      <c r="PQ32">
        <f t="shared" si="18"/>
        <v>2017</v>
      </c>
      <c r="PR32">
        <f t="shared" si="18"/>
        <v>2017</v>
      </c>
      <c r="PS32">
        <f t="shared" si="18"/>
        <v>2017</v>
      </c>
      <c r="PT32">
        <f t="shared" si="18"/>
        <v>2017</v>
      </c>
      <c r="PU32">
        <f t="shared" si="18"/>
        <v>2017</v>
      </c>
      <c r="PV32">
        <f t="shared" si="18"/>
        <v>2017</v>
      </c>
      <c r="PW32">
        <f t="shared" si="18"/>
        <v>2017</v>
      </c>
      <c r="PX32">
        <f t="shared" si="18"/>
        <v>2017</v>
      </c>
      <c r="PY32">
        <f t="shared" si="18"/>
        <v>2017</v>
      </c>
      <c r="PZ32">
        <f t="shared" si="18"/>
        <v>2017</v>
      </c>
      <c r="QA32">
        <f t="shared" si="18"/>
        <v>2017</v>
      </c>
      <c r="QB32">
        <f t="shared" si="18"/>
        <v>2017</v>
      </c>
      <c r="QC32">
        <f t="shared" si="18"/>
        <v>2017</v>
      </c>
      <c r="QD32">
        <f t="shared" si="18"/>
        <v>2017</v>
      </c>
      <c r="QE32">
        <f t="shared" si="18"/>
        <v>2017</v>
      </c>
      <c r="QF32">
        <f t="shared" si="18"/>
        <v>2017</v>
      </c>
      <c r="QG32">
        <f t="shared" si="18"/>
        <v>2017</v>
      </c>
      <c r="QH32">
        <f t="shared" si="18"/>
        <v>2017</v>
      </c>
      <c r="QI32">
        <f t="shared" si="18"/>
        <v>2017</v>
      </c>
      <c r="QJ32">
        <f t="shared" si="18"/>
        <v>2017</v>
      </c>
      <c r="QK32">
        <f t="shared" ref="QK32:SV32" si="19">YEAR(QK33)</f>
        <v>2017</v>
      </c>
      <c r="QL32">
        <f t="shared" si="19"/>
        <v>2017</v>
      </c>
      <c r="QM32">
        <f t="shared" si="19"/>
        <v>2017</v>
      </c>
      <c r="QN32">
        <f t="shared" si="19"/>
        <v>2017</v>
      </c>
      <c r="QO32">
        <f t="shared" si="19"/>
        <v>2017</v>
      </c>
      <c r="QP32">
        <f t="shared" si="19"/>
        <v>2017</v>
      </c>
      <c r="QQ32">
        <f t="shared" si="19"/>
        <v>2017</v>
      </c>
      <c r="QR32">
        <f t="shared" si="19"/>
        <v>2017</v>
      </c>
      <c r="QS32">
        <f t="shared" si="19"/>
        <v>2017</v>
      </c>
      <c r="QT32">
        <f t="shared" si="19"/>
        <v>2017</v>
      </c>
      <c r="QU32">
        <f t="shared" si="19"/>
        <v>2017</v>
      </c>
      <c r="QV32">
        <f t="shared" si="19"/>
        <v>2017</v>
      </c>
      <c r="QW32">
        <f t="shared" si="19"/>
        <v>2017</v>
      </c>
      <c r="QX32">
        <f t="shared" si="19"/>
        <v>2017</v>
      </c>
      <c r="QY32">
        <f t="shared" si="19"/>
        <v>2017</v>
      </c>
      <c r="QZ32">
        <f t="shared" si="19"/>
        <v>2017</v>
      </c>
      <c r="RA32">
        <f t="shared" si="19"/>
        <v>2017</v>
      </c>
      <c r="RB32">
        <f t="shared" si="19"/>
        <v>2017</v>
      </c>
      <c r="RC32">
        <f t="shared" si="19"/>
        <v>2017</v>
      </c>
      <c r="RD32">
        <f t="shared" si="19"/>
        <v>2017</v>
      </c>
      <c r="RE32">
        <f t="shared" si="19"/>
        <v>2017</v>
      </c>
      <c r="RF32">
        <f t="shared" si="19"/>
        <v>2017</v>
      </c>
      <c r="RG32">
        <f t="shared" si="19"/>
        <v>2017</v>
      </c>
      <c r="RH32">
        <f t="shared" si="19"/>
        <v>2017</v>
      </c>
      <c r="RI32">
        <f t="shared" si="19"/>
        <v>2017</v>
      </c>
      <c r="RJ32">
        <f t="shared" si="19"/>
        <v>2017</v>
      </c>
      <c r="RK32">
        <f t="shared" si="19"/>
        <v>2017</v>
      </c>
      <c r="RL32">
        <f t="shared" si="19"/>
        <v>2017</v>
      </c>
      <c r="RM32">
        <f t="shared" si="19"/>
        <v>2017</v>
      </c>
      <c r="RN32">
        <f t="shared" si="19"/>
        <v>2017</v>
      </c>
      <c r="RO32">
        <f t="shared" si="19"/>
        <v>2017</v>
      </c>
      <c r="RP32">
        <f t="shared" si="19"/>
        <v>2017</v>
      </c>
      <c r="RQ32">
        <f t="shared" si="19"/>
        <v>2017</v>
      </c>
      <c r="RR32">
        <f t="shared" si="19"/>
        <v>2017</v>
      </c>
      <c r="RS32">
        <f t="shared" si="19"/>
        <v>2017</v>
      </c>
      <c r="RT32">
        <f t="shared" si="19"/>
        <v>2017</v>
      </c>
      <c r="RU32">
        <f t="shared" si="19"/>
        <v>2017</v>
      </c>
      <c r="RV32">
        <f t="shared" si="19"/>
        <v>2017</v>
      </c>
      <c r="RW32">
        <f t="shared" si="19"/>
        <v>2017</v>
      </c>
      <c r="RX32">
        <f t="shared" si="19"/>
        <v>2017</v>
      </c>
      <c r="RY32">
        <f t="shared" si="19"/>
        <v>2017</v>
      </c>
      <c r="RZ32">
        <f t="shared" si="19"/>
        <v>2017</v>
      </c>
      <c r="SA32">
        <f t="shared" si="19"/>
        <v>2017</v>
      </c>
      <c r="SB32">
        <f t="shared" si="19"/>
        <v>2017</v>
      </c>
      <c r="SC32">
        <f t="shared" si="19"/>
        <v>2017</v>
      </c>
      <c r="SD32">
        <f t="shared" si="19"/>
        <v>2017</v>
      </c>
      <c r="SE32">
        <f t="shared" si="19"/>
        <v>2017</v>
      </c>
      <c r="SF32">
        <f t="shared" si="19"/>
        <v>2017</v>
      </c>
      <c r="SG32">
        <f t="shared" si="19"/>
        <v>2017</v>
      </c>
      <c r="SH32">
        <f t="shared" si="19"/>
        <v>2017</v>
      </c>
      <c r="SI32">
        <f t="shared" si="19"/>
        <v>2017</v>
      </c>
      <c r="SJ32">
        <f t="shared" si="19"/>
        <v>2017</v>
      </c>
      <c r="SK32">
        <f t="shared" si="19"/>
        <v>2017</v>
      </c>
      <c r="SL32">
        <f t="shared" si="19"/>
        <v>2017</v>
      </c>
      <c r="SM32">
        <f t="shared" si="19"/>
        <v>2017</v>
      </c>
      <c r="SN32">
        <f t="shared" si="19"/>
        <v>2017</v>
      </c>
      <c r="SO32">
        <f t="shared" si="19"/>
        <v>2017</v>
      </c>
      <c r="SP32">
        <f t="shared" si="19"/>
        <v>2017</v>
      </c>
      <c r="SQ32">
        <f t="shared" si="19"/>
        <v>2017</v>
      </c>
      <c r="SR32">
        <f t="shared" si="19"/>
        <v>2017</v>
      </c>
      <c r="SS32">
        <f t="shared" si="19"/>
        <v>2017</v>
      </c>
      <c r="ST32">
        <f t="shared" si="19"/>
        <v>2017</v>
      </c>
      <c r="SU32">
        <f t="shared" si="19"/>
        <v>2017</v>
      </c>
      <c r="SV32">
        <f t="shared" si="19"/>
        <v>2017</v>
      </c>
      <c r="SW32">
        <f t="shared" ref="SW32:VH32" si="20">YEAR(SW33)</f>
        <v>2017</v>
      </c>
      <c r="SX32">
        <f t="shared" si="20"/>
        <v>2017</v>
      </c>
      <c r="SY32">
        <f t="shared" si="20"/>
        <v>2018</v>
      </c>
      <c r="SZ32">
        <f t="shared" si="20"/>
        <v>2018</v>
      </c>
      <c r="TA32">
        <f t="shared" si="20"/>
        <v>2018</v>
      </c>
      <c r="TB32">
        <f t="shared" si="20"/>
        <v>2018</v>
      </c>
      <c r="TC32">
        <f t="shared" si="20"/>
        <v>2018</v>
      </c>
      <c r="TD32">
        <f t="shared" si="20"/>
        <v>2018</v>
      </c>
      <c r="TE32">
        <f t="shared" si="20"/>
        <v>2018</v>
      </c>
      <c r="TF32">
        <f t="shared" si="20"/>
        <v>2018</v>
      </c>
      <c r="TG32">
        <f t="shared" si="20"/>
        <v>2018</v>
      </c>
      <c r="TH32">
        <f t="shared" si="20"/>
        <v>2018</v>
      </c>
      <c r="TI32">
        <f t="shared" si="20"/>
        <v>2018</v>
      </c>
      <c r="TJ32">
        <f t="shared" si="20"/>
        <v>2018</v>
      </c>
      <c r="TK32">
        <f t="shared" si="20"/>
        <v>2018</v>
      </c>
      <c r="TL32">
        <f t="shared" si="20"/>
        <v>2018</v>
      </c>
      <c r="TM32">
        <f t="shared" si="20"/>
        <v>2018</v>
      </c>
      <c r="TN32">
        <f t="shared" si="20"/>
        <v>2018</v>
      </c>
      <c r="TO32">
        <f t="shared" si="20"/>
        <v>2018</v>
      </c>
      <c r="TP32">
        <f t="shared" si="20"/>
        <v>2018</v>
      </c>
      <c r="TQ32">
        <f t="shared" si="20"/>
        <v>2018</v>
      </c>
      <c r="TR32">
        <f t="shared" si="20"/>
        <v>2018</v>
      </c>
      <c r="TS32">
        <f t="shared" si="20"/>
        <v>2018</v>
      </c>
      <c r="TT32">
        <f t="shared" si="20"/>
        <v>2018</v>
      </c>
      <c r="TU32">
        <f t="shared" si="20"/>
        <v>2018</v>
      </c>
      <c r="TV32">
        <f t="shared" si="20"/>
        <v>2018</v>
      </c>
      <c r="TW32">
        <f t="shared" si="20"/>
        <v>2018</v>
      </c>
      <c r="TX32">
        <f t="shared" si="20"/>
        <v>2018</v>
      </c>
      <c r="TY32">
        <f t="shared" si="20"/>
        <v>2018</v>
      </c>
      <c r="TZ32">
        <f t="shared" si="20"/>
        <v>2018</v>
      </c>
      <c r="UA32">
        <f t="shared" si="20"/>
        <v>2018</v>
      </c>
      <c r="UB32">
        <f t="shared" si="20"/>
        <v>2018</v>
      </c>
      <c r="UC32">
        <f t="shared" si="20"/>
        <v>2018</v>
      </c>
      <c r="UD32">
        <f t="shared" si="20"/>
        <v>2018</v>
      </c>
      <c r="UE32">
        <f t="shared" si="20"/>
        <v>2018</v>
      </c>
      <c r="UF32">
        <f t="shared" si="20"/>
        <v>2018</v>
      </c>
      <c r="UG32">
        <f t="shared" si="20"/>
        <v>2018</v>
      </c>
      <c r="UH32">
        <f t="shared" si="20"/>
        <v>2018</v>
      </c>
      <c r="UI32">
        <f t="shared" si="20"/>
        <v>2018</v>
      </c>
      <c r="UJ32">
        <f t="shared" si="20"/>
        <v>2018</v>
      </c>
      <c r="UK32">
        <f t="shared" si="20"/>
        <v>2018</v>
      </c>
      <c r="UL32">
        <f t="shared" si="20"/>
        <v>2018</v>
      </c>
      <c r="UM32">
        <f t="shared" si="20"/>
        <v>2018</v>
      </c>
      <c r="UN32">
        <f t="shared" si="20"/>
        <v>2018</v>
      </c>
      <c r="UO32">
        <f t="shared" si="20"/>
        <v>2018</v>
      </c>
      <c r="UP32">
        <f t="shared" si="20"/>
        <v>2018</v>
      </c>
      <c r="UQ32">
        <f t="shared" si="20"/>
        <v>2018</v>
      </c>
      <c r="UR32">
        <f t="shared" si="20"/>
        <v>2018</v>
      </c>
      <c r="US32">
        <f t="shared" si="20"/>
        <v>2018</v>
      </c>
      <c r="UT32">
        <f t="shared" si="20"/>
        <v>2018</v>
      </c>
      <c r="UU32">
        <f t="shared" si="20"/>
        <v>2018</v>
      </c>
      <c r="UV32">
        <f t="shared" si="20"/>
        <v>2018</v>
      </c>
      <c r="UW32">
        <f t="shared" si="20"/>
        <v>2018</v>
      </c>
      <c r="UX32">
        <f t="shared" si="20"/>
        <v>2018</v>
      </c>
      <c r="UY32">
        <f t="shared" si="20"/>
        <v>2018</v>
      </c>
      <c r="UZ32">
        <f t="shared" si="20"/>
        <v>2018</v>
      </c>
      <c r="VA32">
        <f t="shared" si="20"/>
        <v>2018</v>
      </c>
      <c r="VB32">
        <f t="shared" si="20"/>
        <v>2018</v>
      </c>
      <c r="VC32">
        <f t="shared" si="20"/>
        <v>2018</v>
      </c>
      <c r="VD32">
        <f t="shared" si="20"/>
        <v>2018</v>
      </c>
      <c r="VE32">
        <f t="shared" si="20"/>
        <v>2018</v>
      </c>
      <c r="VF32">
        <f t="shared" si="20"/>
        <v>2018</v>
      </c>
      <c r="VG32">
        <f t="shared" si="20"/>
        <v>2018</v>
      </c>
      <c r="VH32">
        <f t="shared" si="20"/>
        <v>2018</v>
      </c>
      <c r="VI32">
        <f t="shared" ref="VI32:XT32" si="21">YEAR(VI33)</f>
        <v>2018</v>
      </c>
      <c r="VJ32">
        <f t="shared" si="21"/>
        <v>2018</v>
      </c>
      <c r="VK32">
        <f t="shared" si="21"/>
        <v>2018</v>
      </c>
      <c r="VL32">
        <f t="shared" si="21"/>
        <v>2018</v>
      </c>
      <c r="VM32">
        <f t="shared" si="21"/>
        <v>2018</v>
      </c>
      <c r="VN32">
        <f t="shared" si="21"/>
        <v>2018</v>
      </c>
      <c r="VO32">
        <f t="shared" si="21"/>
        <v>2018</v>
      </c>
      <c r="VP32">
        <f t="shared" si="21"/>
        <v>2018</v>
      </c>
      <c r="VQ32">
        <f t="shared" si="21"/>
        <v>2018</v>
      </c>
      <c r="VR32">
        <f t="shared" si="21"/>
        <v>2018</v>
      </c>
      <c r="VS32">
        <f t="shared" si="21"/>
        <v>2018</v>
      </c>
      <c r="VT32">
        <f t="shared" si="21"/>
        <v>2018</v>
      </c>
      <c r="VU32">
        <f t="shared" si="21"/>
        <v>2018</v>
      </c>
      <c r="VV32">
        <f t="shared" si="21"/>
        <v>2018</v>
      </c>
      <c r="VW32">
        <f t="shared" si="21"/>
        <v>2018</v>
      </c>
      <c r="VX32">
        <f t="shared" si="21"/>
        <v>2018</v>
      </c>
      <c r="VY32">
        <f t="shared" si="21"/>
        <v>2018</v>
      </c>
      <c r="VZ32">
        <f t="shared" si="21"/>
        <v>2018</v>
      </c>
      <c r="WA32">
        <f t="shared" si="21"/>
        <v>2018</v>
      </c>
      <c r="WB32">
        <f t="shared" si="21"/>
        <v>2018</v>
      </c>
      <c r="WC32">
        <f t="shared" si="21"/>
        <v>2018</v>
      </c>
      <c r="WD32">
        <f t="shared" si="21"/>
        <v>2018</v>
      </c>
      <c r="WE32">
        <f t="shared" si="21"/>
        <v>2018</v>
      </c>
      <c r="WF32">
        <f t="shared" si="21"/>
        <v>2018</v>
      </c>
      <c r="WG32">
        <f t="shared" si="21"/>
        <v>2018</v>
      </c>
      <c r="WH32">
        <f t="shared" si="21"/>
        <v>2019</v>
      </c>
      <c r="WI32">
        <f t="shared" si="21"/>
        <v>2019</v>
      </c>
      <c r="WJ32">
        <f t="shared" si="21"/>
        <v>2019</v>
      </c>
      <c r="WK32">
        <f t="shared" si="21"/>
        <v>2019</v>
      </c>
      <c r="WL32">
        <f t="shared" si="21"/>
        <v>2019</v>
      </c>
      <c r="WM32">
        <f t="shared" si="21"/>
        <v>2019</v>
      </c>
      <c r="WN32">
        <f t="shared" si="21"/>
        <v>2019</v>
      </c>
      <c r="WO32">
        <f t="shared" si="21"/>
        <v>2019</v>
      </c>
      <c r="WP32">
        <f t="shared" si="21"/>
        <v>2019</v>
      </c>
      <c r="WQ32">
        <f t="shared" si="21"/>
        <v>2019</v>
      </c>
      <c r="WR32">
        <f t="shared" si="21"/>
        <v>2019</v>
      </c>
      <c r="WS32">
        <f t="shared" si="21"/>
        <v>2019</v>
      </c>
      <c r="WT32">
        <f t="shared" si="21"/>
        <v>2019</v>
      </c>
      <c r="WU32">
        <f t="shared" si="21"/>
        <v>2019</v>
      </c>
      <c r="WV32">
        <f t="shared" si="21"/>
        <v>2019</v>
      </c>
      <c r="WW32">
        <f t="shared" si="21"/>
        <v>2019</v>
      </c>
      <c r="WX32">
        <f t="shared" si="21"/>
        <v>2019</v>
      </c>
      <c r="WY32">
        <f t="shared" si="21"/>
        <v>2019</v>
      </c>
      <c r="WZ32">
        <f t="shared" si="21"/>
        <v>2019</v>
      </c>
      <c r="XA32">
        <f t="shared" si="21"/>
        <v>2019</v>
      </c>
      <c r="XB32">
        <f t="shared" si="21"/>
        <v>2019</v>
      </c>
      <c r="XC32">
        <f t="shared" si="21"/>
        <v>2019</v>
      </c>
      <c r="XD32">
        <f t="shared" si="21"/>
        <v>2019</v>
      </c>
      <c r="XE32">
        <f t="shared" si="21"/>
        <v>2019</v>
      </c>
      <c r="XF32">
        <f t="shared" si="21"/>
        <v>2019</v>
      </c>
      <c r="XG32">
        <f t="shared" si="21"/>
        <v>2019</v>
      </c>
      <c r="XH32">
        <f t="shared" si="21"/>
        <v>2019</v>
      </c>
      <c r="XI32">
        <f t="shared" si="21"/>
        <v>2019</v>
      </c>
      <c r="XJ32">
        <f t="shared" si="21"/>
        <v>2019</v>
      </c>
      <c r="XK32">
        <f t="shared" si="21"/>
        <v>2019</v>
      </c>
      <c r="XL32">
        <f t="shared" si="21"/>
        <v>2019</v>
      </c>
      <c r="XM32">
        <f t="shared" si="21"/>
        <v>2019</v>
      </c>
      <c r="XN32">
        <f t="shared" si="21"/>
        <v>2019</v>
      </c>
      <c r="XO32">
        <f t="shared" si="21"/>
        <v>2019</v>
      </c>
      <c r="XP32">
        <f t="shared" si="21"/>
        <v>2019</v>
      </c>
      <c r="XQ32">
        <f t="shared" si="21"/>
        <v>2019</v>
      </c>
      <c r="XR32">
        <f t="shared" si="21"/>
        <v>2019</v>
      </c>
      <c r="XS32">
        <f t="shared" si="21"/>
        <v>2019</v>
      </c>
      <c r="XT32">
        <f t="shared" si="21"/>
        <v>2019</v>
      </c>
      <c r="XU32">
        <f t="shared" ref="XU32:ZP32" si="22">YEAR(XU33)</f>
        <v>2019</v>
      </c>
      <c r="XV32">
        <f t="shared" si="22"/>
        <v>2019</v>
      </c>
      <c r="XW32">
        <f t="shared" si="22"/>
        <v>2019</v>
      </c>
      <c r="XX32">
        <f t="shared" si="22"/>
        <v>2019</v>
      </c>
      <c r="XY32">
        <f t="shared" si="22"/>
        <v>2019</v>
      </c>
      <c r="XZ32">
        <f t="shared" si="22"/>
        <v>2019</v>
      </c>
      <c r="YA32">
        <f t="shared" si="22"/>
        <v>2019</v>
      </c>
      <c r="YB32">
        <f t="shared" si="22"/>
        <v>2019</v>
      </c>
      <c r="YC32">
        <f t="shared" si="22"/>
        <v>2019</v>
      </c>
      <c r="YD32">
        <f t="shared" si="22"/>
        <v>2019</v>
      </c>
      <c r="YE32">
        <f t="shared" si="22"/>
        <v>2019</v>
      </c>
      <c r="YF32">
        <f t="shared" si="22"/>
        <v>2019</v>
      </c>
      <c r="YG32">
        <f t="shared" si="22"/>
        <v>2019</v>
      </c>
      <c r="YH32">
        <f t="shared" si="22"/>
        <v>2019</v>
      </c>
      <c r="YI32">
        <f t="shared" si="22"/>
        <v>2019</v>
      </c>
      <c r="YJ32">
        <f t="shared" si="22"/>
        <v>2019</v>
      </c>
      <c r="YK32">
        <f t="shared" si="22"/>
        <v>2019</v>
      </c>
      <c r="YL32">
        <f t="shared" si="22"/>
        <v>2019</v>
      </c>
      <c r="YM32">
        <f t="shared" si="22"/>
        <v>2019</v>
      </c>
      <c r="YN32">
        <f t="shared" si="22"/>
        <v>2019</v>
      </c>
      <c r="YO32">
        <f t="shared" si="22"/>
        <v>2019</v>
      </c>
      <c r="YP32">
        <f t="shared" si="22"/>
        <v>2019</v>
      </c>
      <c r="YQ32">
        <f t="shared" si="22"/>
        <v>2019</v>
      </c>
      <c r="YR32">
        <f t="shared" si="22"/>
        <v>2019</v>
      </c>
      <c r="YS32">
        <f t="shared" si="22"/>
        <v>2019</v>
      </c>
      <c r="YT32">
        <f t="shared" si="22"/>
        <v>2019</v>
      </c>
      <c r="YU32">
        <f t="shared" si="22"/>
        <v>2019</v>
      </c>
      <c r="YV32">
        <f t="shared" si="22"/>
        <v>2019</v>
      </c>
      <c r="YW32">
        <f t="shared" si="22"/>
        <v>2019</v>
      </c>
      <c r="YX32">
        <f t="shared" si="22"/>
        <v>2019</v>
      </c>
      <c r="YY32">
        <f t="shared" si="22"/>
        <v>2019</v>
      </c>
      <c r="YZ32">
        <f t="shared" si="22"/>
        <v>2019</v>
      </c>
      <c r="ZA32">
        <f t="shared" si="22"/>
        <v>2019</v>
      </c>
      <c r="ZB32">
        <f t="shared" si="22"/>
        <v>2019</v>
      </c>
      <c r="ZC32">
        <f t="shared" si="22"/>
        <v>2019</v>
      </c>
      <c r="ZD32">
        <f t="shared" si="22"/>
        <v>2019</v>
      </c>
      <c r="ZE32">
        <f t="shared" si="22"/>
        <v>2019</v>
      </c>
      <c r="ZF32">
        <f t="shared" si="22"/>
        <v>2019</v>
      </c>
      <c r="ZG32">
        <f t="shared" si="22"/>
        <v>2019</v>
      </c>
      <c r="ZH32">
        <f t="shared" si="22"/>
        <v>2019</v>
      </c>
      <c r="ZI32">
        <f t="shared" si="22"/>
        <v>2019</v>
      </c>
      <c r="ZJ32">
        <f t="shared" si="22"/>
        <v>2019</v>
      </c>
      <c r="ZK32">
        <f t="shared" si="22"/>
        <v>2019</v>
      </c>
      <c r="ZL32">
        <f t="shared" si="22"/>
        <v>2019</v>
      </c>
      <c r="ZM32">
        <f t="shared" si="22"/>
        <v>2019</v>
      </c>
      <c r="ZN32">
        <f t="shared" si="22"/>
        <v>2019</v>
      </c>
      <c r="ZO32">
        <f t="shared" si="22"/>
        <v>2019</v>
      </c>
      <c r="ZP32">
        <f t="shared" si="22"/>
        <v>2019</v>
      </c>
      <c r="ZQ32">
        <v>2020</v>
      </c>
      <c r="ZR32">
        <v>2020</v>
      </c>
      <c r="ZS32">
        <v>2020</v>
      </c>
      <c r="ZT32">
        <v>2020</v>
      </c>
      <c r="ZU32">
        <v>2020</v>
      </c>
      <c r="ZV32">
        <v>2020</v>
      </c>
      <c r="ZW32">
        <v>2020</v>
      </c>
      <c r="ZX32">
        <v>2020</v>
      </c>
      <c r="ZY32">
        <v>2020</v>
      </c>
      <c r="ZZ32">
        <v>2020</v>
      </c>
      <c r="AAA32">
        <v>2020</v>
      </c>
      <c r="AAB32">
        <v>2020</v>
      </c>
      <c r="AAC32">
        <v>2020</v>
      </c>
      <c r="AAD32">
        <v>2020</v>
      </c>
      <c r="AAE32">
        <v>2020</v>
      </c>
      <c r="AAF32">
        <v>2020</v>
      </c>
      <c r="AAG32">
        <v>2020</v>
      </c>
      <c r="AAH32">
        <v>2020</v>
      </c>
      <c r="AAI32">
        <v>2020</v>
      </c>
      <c r="AAJ32">
        <v>2020</v>
      </c>
      <c r="AAK32">
        <v>2020</v>
      </c>
      <c r="AAL32">
        <v>2020</v>
      </c>
      <c r="AAM32">
        <v>2020</v>
      </c>
      <c r="AAN32">
        <v>2020</v>
      </c>
      <c r="AAO32">
        <v>2020</v>
      </c>
      <c r="AAP32">
        <v>2020</v>
      </c>
      <c r="AAQ32">
        <v>2020</v>
      </c>
      <c r="AAR32">
        <v>2020</v>
      </c>
      <c r="AAS32">
        <v>2020</v>
      </c>
      <c r="AAT32">
        <v>2020</v>
      </c>
      <c r="AAU32">
        <v>2020</v>
      </c>
      <c r="AAV32">
        <v>2020</v>
      </c>
      <c r="AAW32">
        <v>2020</v>
      </c>
      <c r="AAX32">
        <v>2020</v>
      </c>
      <c r="AAY32">
        <v>2020</v>
      </c>
      <c r="AAZ32">
        <v>2020</v>
      </c>
      <c r="ABA32">
        <v>2020</v>
      </c>
      <c r="ABB32">
        <v>2020</v>
      </c>
      <c r="ABC32">
        <v>2020</v>
      </c>
      <c r="ABD32">
        <v>2020</v>
      </c>
      <c r="ABE32">
        <v>2020</v>
      </c>
      <c r="ABF32">
        <v>2020</v>
      </c>
      <c r="ABG32">
        <v>2020</v>
      </c>
      <c r="ABH32">
        <v>2020</v>
      </c>
      <c r="ABI32">
        <v>2020</v>
      </c>
      <c r="ABJ32">
        <v>2020</v>
      </c>
      <c r="ABK32">
        <v>2020</v>
      </c>
      <c r="ABL32">
        <v>2020</v>
      </c>
      <c r="ABM32">
        <v>2020</v>
      </c>
      <c r="ABN32">
        <v>2020</v>
      </c>
      <c r="ABO32">
        <v>2020</v>
      </c>
      <c r="ABP32">
        <v>2020</v>
      </c>
      <c r="ABQ32">
        <v>2020</v>
      </c>
      <c r="ABR32">
        <v>2020</v>
      </c>
      <c r="ABS32">
        <v>2020</v>
      </c>
      <c r="ABT32">
        <v>2020</v>
      </c>
      <c r="ABU32">
        <v>2020</v>
      </c>
      <c r="ABV32">
        <v>2020</v>
      </c>
      <c r="ABW32">
        <v>2020</v>
      </c>
      <c r="ABX32">
        <v>2020</v>
      </c>
      <c r="ABY32">
        <v>2020</v>
      </c>
      <c r="ABZ32">
        <v>2020</v>
      </c>
      <c r="ACA32">
        <v>2020</v>
      </c>
      <c r="ACB32">
        <v>2020</v>
      </c>
      <c r="ACC32">
        <v>2020</v>
      </c>
      <c r="ACD32">
        <v>2020</v>
      </c>
      <c r="ACE32">
        <v>2020</v>
      </c>
      <c r="ACF32">
        <v>2020</v>
      </c>
      <c r="ACG32">
        <v>2020</v>
      </c>
      <c r="ACH32">
        <v>2020</v>
      </c>
      <c r="ACI32">
        <v>2020</v>
      </c>
      <c r="ACJ32">
        <v>2020</v>
      </c>
      <c r="ACK32">
        <v>2020</v>
      </c>
      <c r="ACL32">
        <v>2020</v>
      </c>
      <c r="ACM32">
        <v>2020</v>
      </c>
      <c r="ACN32">
        <v>2020</v>
      </c>
      <c r="ACO32">
        <v>2020</v>
      </c>
      <c r="ACP32">
        <v>2020</v>
      </c>
      <c r="ACQ32">
        <v>2020</v>
      </c>
      <c r="ACR32">
        <v>2020</v>
      </c>
      <c r="ACS32">
        <v>2020</v>
      </c>
      <c r="ACT32">
        <v>2020</v>
      </c>
      <c r="ACU32">
        <v>2020</v>
      </c>
      <c r="ACV32">
        <v>2020</v>
      </c>
      <c r="ACW32">
        <v>2020</v>
      </c>
      <c r="ACX32">
        <v>2020</v>
      </c>
      <c r="ACY32">
        <v>2020</v>
      </c>
      <c r="ACZ32">
        <v>2021</v>
      </c>
      <c r="ADA32">
        <v>2021</v>
      </c>
      <c r="ADB32">
        <v>2021</v>
      </c>
      <c r="ADC32">
        <v>2021</v>
      </c>
      <c r="ADD32">
        <v>2021</v>
      </c>
      <c r="ADE32">
        <v>2021</v>
      </c>
      <c r="ADF32">
        <v>2021</v>
      </c>
      <c r="ADG32">
        <v>2021</v>
      </c>
      <c r="ADH32">
        <v>2021</v>
      </c>
      <c r="ADI32">
        <v>2021</v>
      </c>
      <c r="ADJ32">
        <v>2021</v>
      </c>
      <c r="ADK32">
        <v>2021</v>
      </c>
      <c r="ADL32">
        <v>2021</v>
      </c>
      <c r="ADM32">
        <v>2021</v>
      </c>
      <c r="ADN32">
        <v>2021</v>
      </c>
      <c r="ADO32">
        <v>2021</v>
      </c>
      <c r="ADP32">
        <v>2021</v>
      </c>
      <c r="ADQ32">
        <v>2021</v>
      </c>
      <c r="ADR32">
        <v>2021</v>
      </c>
      <c r="ADS32">
        <v>2021</v>
      </c>
      <c r="ADT32">
        <v>2021</v>
      </c>
      <c r="ADU32">
        <v>2021</v>
      </c>
      <c r="ADV32">
        <v>2021</v>
      </c>
      <c r="ADW32">
        <v>2021</v>
      </c>
      <c r="ADX32">
        <v>2021</v>
      </c>
      <c r="ADY32">
        <v>2021</v>
      </c>
      <c r="ADZ32">
        <v>2021</v>
      </c>
      <c r="AEA32">
        <v>2021</v>
      </c>
      <c r="AEB32">
        <v>2021</v>
      </c>
      <c r="AEC32">
        <v>2021</v>
      </c>
      <c r="AED32">
        <v>2021</v>
      </c>
      <c r="AEE32">
        <v>2021</v>
      </c>
      <c r="AEF32">
        <v>2021</v>
      </c>
      <c r="AEG32">
        <v>2021</v>
      </c>
      <c r="AEH32">
        <v>2021</v>
      </c>
      <c r="AEI32">
        <v>2021</v>
      </c>
      <c r="AEJ32">
        <v>2021</v>
      </c>
      <c r="AEK32">
        <v>2021</v>
      </c>
      <c r="AEL32">
        <v>2021</v>
      </c>
      <c r="AEM32">
        <v>2021</v>
      </c>
      <c r="AEN32">
        <v>2021</v>
      </c>
      <c r="AEO32">
        <v>2021</v>
      </c>
      <c r="AEP32">
        <v>2021</v>
      </c>
      <c r="AEQ32">
        <v>2021</v>
      </c>
      <c r="AER32">
        <v>2021</v>
      </c>
      <c r="AES32">
        <v>2021</v>
      </c>
      <c r="AET32">
        <v>2021</v>
      </c>
      <c r="AEU32">
        <v>2021</v>
      </c>
      <c r="AEV32">
        <v>2021</v>
      </c>
      <c r="AEW32">
        <v>2021</v>
      </c>
      <c r="AEX32">
        <v>2021</v>
      </c>
      <c r="AEY32">
        <v>2021</v>
      </c>
      <c r="AEZ32">
        <v>2021</v>
      </c>
      <c r="AFA32">
        <v>2021</v>
      </c>
      <c r="AFB32">
        <v>2021</v>
      </c>
      <c r="AFC32">
        <v>2021</v>
      </c>
      <c r="AFD32">
        <v>2021</v>
      </c>
      <c r="AFE32">
        <v>2021</v>
      </c>
      <c r="AFF32">
        <v>2021</v>
      </c>
      <c r="AFG32">
        <v>2021</v>
      </c>
      <c r="AFH32">
        <v>2021</v>
      </c>
      <c r="AFI32">
        <v>2021</v>
      </c>
      <c r="AFJ32">
        <v>2021</v>
      </c>
      <c r="AFK32">
        <v>2021</v>
      </c>
      <c r="AFL32">
        <v>2021</v>
      </c>
      <c r="AFM32">
        <v>2021</v>
      </c>
      <c r="AFN32">
        <v>2021</v>
      </c>
      <c r="AFO32">
        <v>2021</v>
      </c>
      <c r="AFP32">
        <v>2021</v>
      </c>
      <c r="AFQ32">
        <v>2021</v>
      </c>
      <c r="AFR32">
        <v>2021</v>
      </c>
      <c r="AFS32">
        <v>2021</v>
      </c>
      <c r="AFT32">
        <v>2021</v>
      </c>
      <c r="AFU32">
        <v>2021</v>
      </c>
      <c r="AFV32">
        <v>2021</v>
      </c>
      <c r="AFW32">
        <v>2021</v>
      </c>
      <c r="AFX32">
        <v>2021</v>
      </c>
      <c r="AFY32">
        <v>2021</v>
      </c>
      <c r="AFZ32">
        <v>2021</v>
      </c>
      <c r="AGA32">
        <v>2021</v>
      </c>
      <c r="AGB32">
        <v>2021</v>
      </c>
      <c r="AGC32">
        <v>2021</v>
      </c>
      <c r="AGD32">
        <v>2021</v>
      </c>
      <c r="AGE32">
        <v>2021</v>
      </c>
      <c r="AGF32">
        <v>2021</v>
      </c>
      <c r="AGG32">
        <v>2021</v>
      </c>
      <c r="AGH32">
        <v>2021</v>
      </c>
      <c r="AGI32">
        <v>2022</v>
      </c>
      <c r="AGJ32">
        <v>2022</v>
      </c>
      <c r="AGK32">
        <v>2022</v>
      </c>
      <c r="AGL32">
        <v>2022</v>
      </c>
      <c r="AGM32">
        <v>2022</v>
      </c>
      <c r="AGN32">
        <v>2022</v>
      </c>
      <c r="AGO32">
        <v>2022</v>
      </c>
      <c r="AGP32">
        <v>2022</v>
      </c>
      <c r="AGQ32">
        <v>2022</v>
      </c>
      <c r="AGR32">
        <v>2022</v>
      </c>
      <c r="AGS32">
        <v>2022</v>
      </c>
      <c r="AGT32">
        <v>2022</v>
      </c>
      <c r="AGU32">
        <v>2022</v>
      </c>
      <c r="AGV32">
        <v>2022</v>
      </c>
      <c r="AGW32">
        <v>2022</v>
      </c>
      <c r="AGX32">
        <v>2022</v>
      </c>
      <c r="AGY32">
        <v>2022</v>
      </c>
      <c r="AGZ32">
        <v>2022</v>
      </c>
      <c r="AHA32">
        <v>2022</v>
      </c>
      <c r="AHB32">
        <v>2022</v>
      </c>
      <c r="AHC32">
        <v>2022</v>
      </c>
      <c r="AHD32">
        <v>2022</v>
      </c>
      <c r="AHE32">
        <v>2022</v>
      </c>
      <c r="AHF32">
        <v>2022</v>
      </c>
      <c r="AHG32">
        <v>2022</v>
      </c>
      <c r="AHH32">
        <v>2022</v>
      </c>
      <c r="AHI32">
        <v>2022</v>
      </c>
      <c r="AHJ32">
        <v>2022</v>
      </c>
      <c r="AHK32">
        <v>2022</v>
      </c>
      <c r="AHL32">
        <v>2022</v>
      </c>
      <c r="AHM32">
        <v>2022</v>
      </c>
      <c r="AHN32">
        <v>2022</v>
      </c>
      <c r="AHO32">
        <v>2022</v>
      </c>
      <c r="AHP32">
        <v>2022</v>
      </c>
      <c r="AHQ32">
        <v>2022</v>
      </c>
      <c r="AHR32">
        <v>2022</v>
      </c>
      <c r="AHS32">
        <v>2022</v>
      </c>
      <c r="AHT32">
        <v>2022</v>
      </c>
      <c r="AHU32">
        <v>2022</v>
      </c>
      <c r="AHV32">
        <v>2022</v>
      </c>
      <c r="AHW32">
        <v>2022</v>
      </c>
      <c r="AHX32">
        <v>2022</v>
      </c>
      <c r="AHY32">
        <v>2022</v>
      </c>
      <c r="AHZ32">
        <v>2022</v>
      </c>
      <c r="AIA32">
        <v>2022</v>
      </c>
      <c r="AIB32">
        <v>2022</v>
      </c>
      <c r="AIC32">
        <v>2022</v>
      </c>
      <c r="AID32">
        <v>2022</v>
      </c>
      <c r="AIE32">
        <v>2022</v>
      </c>
      <c r="AIF32">
        <v>2022</v>
      </c>
      <c r="AIG32">
        <v>2022</v>
      </c>
      <c r="AIH32">
        <v>2022</v>
      </c>
      <c r="AII32">
        <v>2022</v>
      </c>
      <c r="AIJ32">
        <v>2022</v>
      </c>
      <c r="AIK32">
        <v>2022</v>
      </c>
      <c r="AIL32">
        <v>2022</v>
      </c>
      <c r="AIM32">
        <v>2022</v>
      </c>
      <c r="AIN32">
        <v>2022</v>
      </c>
      <c r="AIO32">
        <v>2022</v>
      </c>
      <c r="AIP32">
        <v>2022</v>
      </c>
      <c r="AIQ32">
        <v>2022</v>
      </c>
      <c r="AIR32">
        <v>2022</v>
      </c>
      <c r="AIS32">
        <v>2022</v>
      </c>
      <c r="AIT32">
        <v>2022</v>
      </c>
      <c r="AIU32">
        <v>2022</v>
      </c>
      <c r="AIV32">
        <v>2022</v>
      </c>
      <c r="AIW32">
        <v>2022</v>
      </c>
      <c r="AIX32">
        <v>2022</v>
      </c>
      <c r="AIY32">
        <v>2022</v>
      </c>
      <c r="AIZ32">
        <v>2022</v>
      </c>
      <c r="AJA32">
        <v>2022</v>
      </c>
      <c r="AJB32">
        <v>2022</v>
      </c>
      <c r="AJC32">
        <v>2022</v>
      </c>
      <c r="AJD32">
        <v>2022</v>
      </c>
      <c r="AJE32">
        <v>2022</v>
      </c>
      <c r="AJF32">
        <v>2022</v>
      </c>
      <c r="AJG32">
        <v>2022</v>
      </c>
      <c r="AJH32">
        <v>2022</v>
      </c>
      <c r="AJI32">
        <v>2022</v>
      </c>
      <c r="AJJ32">
        <v>2022</v>
      </c>
      <c r="AJK32">
        <v>2022</v>
      </c>
      <c r="AJL32">
        <v>2022</v>
      </c>
      <c r="AJM32">
        <v>2022</v>
      </c>
      <c r="AJN32">
        <v>2022</v>
      </c>
      <c r="AJO32">
        <v>2022</v>
      </c>
      <c r="AJP32">
        <v>2022</v>
      </c>
      <c r="AJQ32">
        <v>2022</v>
      </c>
      <c r="AJR32">
        <v>2012</v>
      </c>
      <c r="AJS32">
        <v>2013</v>
      </c>
      <c r="AJT32">
        <v>2014</v>
      </c>
      <c r="AJU32">
        <v>2015</v>
      </c>
      <c r="AJV32">
        <v>2016</v>
      </c>
      <c r="AJW32">
        <v>2017</v>
      </c>
      <c r="AJX32">
        <v>2018</v>
      </c>
      <c r="AJY32">
        <v>2019</v>
      </c>
      <c r="AJZ32">
        <v>2020</v>
      </c>
      <c r="AKA32">
        <v>2014</v>
      </c>
      <c r="AKB32">
        <v>2015</v>
      </c>
      <c r="AKC32">
        <v>2016</v>
      </c>
      <c r="AKD32">
        <v>2017</v>
      </c>
      <c r="AKE32">
        <v>2018</v>
      </c>
      <c r="AKF32">
        <v>2019</v>
      </c>
      <c r="AKG32">
        <v>2020</v>
      </c>
      <c r="AKH32">
        <v>2022</v>
      </c>
      <c r="AKI32">
        <v>2023</v>
      </c>
      <c r="AKJ32">
        <f>YEAR(AKJ33)</f>
        <v>2017</v>
      </c>
      <c r="AKK32">
        <f t="shared" ref="AKK32:AKM32" si="23">YEAR(AKK33)</f>
        <v>2018</v>
      </c>
      <c r="AKL32">
        <f t="shared" si="23"/>
        <v>2019</v>
      </c>
      <c r="AKM32">
        <f t="shared" si="23"/>
        <v>2020</v>
      </c>
      <c r="AKN32">
        <v>2022</v>
      </c>
      <c r="AKO32">
        <v>2023</v>
      </c>
      <c r="AKP32">
        <v>2021</v>
      </c>
      <c r="AKQ32">
        <v>2022</v>
      </c>
      <c r="AKR32">
        <v>2023</v>
      </c>
      <c r="AKS32">
        <v>2021</v>
      </c>
      <c r="AKT32">
        <v>2021</v>
      </c>
      <c r="AKU32">
        <v>2021</v>
      </c>
      <c r="AKV32">
        <v>2021</v>
      </c>
      <c r="AKW32">
        <v>2021</v>
      </c>
    </row>
    <row r="33" spans="1:985" ht="14.4" customHeight="1" x14ac:dyDescent="0.55000000000000004">
      <c r="A33" t="s">
        <v>35</v>
      </c>
      <c r="B33" t="s">
        <v>620</v>
      </c>
      <c r="C33" s="1" t="s">
        <v>716</v>
      </c>
      <c r="D33">
        <v>41487</v>
      </c>
      <c r="E33">
        <v>41402</v>
      </c>
      <c r="F33">
        <v>41402</v>
      </c>
      <c r="G33">
        <v>41402</v>
      </c>
      <c r="H33">
        <v>41852</v>
      </c>
      <c r="I33">
        <v>41852</v>
      </c>
      <c r="J33">
        <v>41852</v>
      </c>
      <c r="K33">
        <v>41852</v>
      </c>
      <c r="L33">
        <v>41876</v>
      </c>
      <c r="M33">
        <v>42217</v>
      </c>
      <c r="N33">
        <v>42217</v>
      </c>
      <c r="O33">
        <v>42217</v>
      </c>
      <c r="P33">
        <v>42217</v>
      </c>
      <c r="Q33">
        <v>42217</v>
      </c>
      <c r="R33">
        <v>42217</v>
      </c>
      <c r="S33">
        <v>42217</v>
      </c>
      <c r="T33">
        <v>42583</v>
      </c>
      <c r="U33">
        <v>42583</v>
      </c>
      <c r="V33">
        <v>42583</v>
      </c>
      <c r="W33">
        <v>42583</v>
      </c>
      <c r="X33">
        <v>42583</v>
      </c>
      <c r="Y33">
        <v>42583</v>
      </c>
      <c r="Z33">
        <v>42583</v>
      </c>
      <c r="AA33">
        <v>42583</v>
      </c>
      <c r="AB33">
        <v>42948</v>
      </c>
      <c r="AC33">
        <v>42948</v>
      </c>
      <c r="AD33">
        <v>42948</v>
      </c>
      <c r="AE33">
        <v>42948</v>
      </c>
      <c r="AF33">
        <v>42948</v>
      </c>
      <c r="AG33">
        <v>42948</v>
      </c>
      <c r="AH33">
        <v>42948</v>
      </c>
      <c r="AI33">
        <v>42948</v>
      </c>
      <c r="AJ33">
        <v>43313</v>
      </c>
      <c r="AK33">
        <v>43313</v>
      </c>
      <c r="AL33">
        <v>43313</v>
      </c>
      <c r="AM33">
        <v>43313</v>
      </c>
      <c r="AN33">
        <v>43313</v>
      </c>
      <c r="AO33">
        <v>43313</v>
      </c>
      <c r="AP33">
        <v>43313</v>
      </c>
      <c r="AQ33">
        <v>43313</v>
      </c>
      <c r="AR33">
        <v>43600</v>
      </c>
      <c r="AS33">
        <v>43861</v>
      </c>
      <c r="AT33">
        <v>43861</v>
      </c>
      <c r="AU33">
        <v>43861</v>
      </c>
      <c r="AV33">
        <v>43861</v>
      </c>
      <c r="AW33">
        <v>43861</v>
      </c>
      <c r="AX33">
        <v>43861</v>
      </c>
      <c r="AY33">
        <v>43861</v>
      </c>
      <c r="AZ33">
        <v>43861</v>
      </c>
      <c r="BA33">
        <v>44197</v>
      </c>
      <c r="BB33">
        <v>44197</v>
      </c>
      <c r="BC33">
        <v>44197</v>
      </c>
      <c r="BD33">
        <v>44197</v>
      </c>
      <c r="BE33">
        <v>44197</v>
      </c>
      <c r="BF33">
        <v>44197</v>
      </c>
      <c r="BG33">
        <v>40890</v>
      </c>
      <c r="BH33">
        <v>41122</v>
      </c>
      <c r="BI33">
        <v>41487</v>
      </c>
      <c r="BJ33">
        <v>41852</v>
      </c>
      <c r="BK33">
        <v>42217</v>
      </c>
      <c r="BL33">
        <v>42583</v>
      </c>
      <c r="BM33">
        <v>42948</v>
      </c>
      <c r="BN33">
        <v>43447</v>
      </c>
      <c r="BO33">
        <v>43678</v>
      </c>
      <c r="BP33">
        <v>44197</v>
      </c>
      <c r="BQ33">
        <v>40890</v>
      </c>
      <c r="BR33">
        <v>41122</v>
      </c>
      <c r="BS33">
        <v>41487</v>
      </c>
      <c r="BT33">
        <v>41852</v>
      </c>
      <c r="BU33">
        <v>42217</v>
      </c>
      <c r="BV33">
        <v>42583</v>
      </c>
      <c r="BW33">
        <v>42948</v>
      </c>
      <c r="BX33">
        <v>43447</v>
      </c>
      <c r="BY33">
        <v>43678</v>
      </c>
      <c r="BZ33">
        <v>44197</v>
      </c>
      <c r="CA33">
        <v>41039</v>
      </c>
      <c r="CB33">
        <v>41377</v>
      </c>
      <c r="CC33">
        <v>41377</v>
      </c>
      <c r="CD33">
        <v>41377</v>
      </c>
      <c r="CE33">
        <v>41377</v>
      </c>
      <c r="CF33">
        <v>41377</v>
      </c>
      <c r="CG33">
        <v>41377</v>
      </c>
      <c r="CH33">
        <v>41377</v>
      </c>
      <c r="CI33">
        <v>41377</v>
      </c>
      <c r="CJ33">
        <v>41377</v>
      </c>
      <c r="CK33">
        <v>41377</v>
      </c>
      <c r="CL33">
        <v>41377</v>
      </c>
      <c r="CM33">
        <v>41377</v>
      </c>
      <c r="CN33">
        <v>41377</v>
      </c>
      <c r="CO33">
        <v>41377</v>
      </c>
      <c r="CP33">
        <v>41377</v>
      </c>
      <c r="CQ33">
        <v>41377</v>
      </c>
      <c r="CR33">
        <v>41377</v>
      </c>
      <c r="CS33">
        <v>41377</v>
      </c>
      <c r="CT33">
        <v>41377</v>
      </c>
      <c r="CU33">
        <v>41377</v>
      </c>
      <c r="CV33">
        <v>41377</v>
      </c>
      <c r="CW33">
        <v>41377</v>
      </c>
      <c r="CX33">
        <v>41377</v>
      </c>
      <c r="CY33">
        <v>41377</v>
      </c>
      <c r="CZ33">
        <v>41377</v>
      </c>
      <c r="DA33">
        <v>41377</v>
      </c>
      <c r="DB33">
        <v>41377</v>
      </c>
      <c r="DC33">
        <v>41377</v>
      </c>
      <c r="DD33">
        <v>41377</v>
      </c>
      <c r="DE33">
        <v>41377</v>
      </c>
      <c r="DF33">
        <v>41377</v>
      </c>
      <c r="DG33">
        <v>41377</v>
      </c>
      <c r="DH33">
        <v>41377</v>
      </c>
      <c r="DI33">
        <v>41377</v>
      </c>
      <c r="DJ33">
        <v>41377</v>
      </c>
      <c r="DK33">
        <v>41377</v>
      </c>
      <c r="DL33">
        <v>41377</v>
      </c>
      <c r="DM33">
        <v>41377</v>
      </c>
      <c r="DN33">
        <v>41377</v>
      </c>
      <c r="DO33">
        <v>41377</v>
      </c>
      <c r="DP33">
        <v>41377</v>
      </c>
      <c r="DQ33">
        <v>41377</v>
      </c>
      <c r="DR33">
        <v>41377</v>
      </c>
      <c r="DS33">
        <v>41377</v>
      </c>
      <c r="DT33">
        <v>41377</v>
      </c>
      <c r="DU33">
        <v>41377</v>
      </c>
      <c r="DV33">
        <v>41377</v>
      </c>
      <c r="DW33">
        <v>41377</v>
      </c>
      <c r="DX33">
        <v>41377</v>
      </c>
      <c r="DY33">
        <v>41377</v>
      </c>
      <c r="DZ33">
        <v>41377</v>
      </c>
      <c r="EA33">
        <v>41377</v>
      </c>
      <c r="EB33">
        <v>41431</v>
      </c>
      <c r="EC33">
        <v>41431</v>
      </c>
      <c r="ED33">
        <v>41431</v>
      </c>
      <c r="EE33">
        <v>41431</v>
      </c>
      <c r="EF33">
        <v>41431</v>
      </c>
      <c r="EG33">
        <v>41431</v>
      </c>
      <c r="EH33">
        <v>41431</v>
      </c>
      <c r="EI33">
        <v>41431</v>
      </c>
      <c r="EJ33">
        <v>41431</v>
      </c>
      <c r="EK33">
        <v>41431</v>
      </c>
      <c r="EL33">
        <v>41431</v>
      </c>
      <c r="EM33">
        <v>41431</v>
      </c>
      <c r="EN33">
        <v>41431</v>
      </c>
      <c r="EO33">
        <v>41431</v>
      </c>
      <c r="EP33">
        <v>41431</v>
      </c>
      <c r="EQ33">
        <v>41431</v>
      </c>
      <c r="ER33">
        <v>41431</v>
      </c>
      <c r="ES33">
        <v>41431</v>
      </c>
      <c r="ET33">
        <v>41431</v>
      </c>
      <c r="EU33">
        <v>41431</v>
      </c>
      <c r="EV33">
        <v>41431</v>
      </c>
      <c r="EW33">
        <v>41431</v>
      </c>
      <c r="EX33">
        <v>41431</v>
      </c>
      <c r="EY33">
        <v>41431</v>
      </c>
      <c r="EZ33">
        <v>41431</v>
      </c>
      <c r="FA33">
        <v>41431</v>
      </c>
      <c r="FB33">
        <v>41431</v>
      </c>
      <c r="FC33">
        <v>41431</v>
      </c>
      <c r="FD33">
        <v>41431</v>
      </c>
      <c r="FE33">
        <v>41431</v>
      </c>
      <c r="FF33">
        <v>41431</v>
      </c>
      <c r="FG33">
        <v>41431</v>
      </c>
      <c r="FH33">
        <v>41431</v>
      </c>
      <c r="FI33">
        <v>41431</v>
      </c>
      <c r="FJ33">
        <v>41431</v>
      </c>
      <c r="FK33">
        <v>41431</v>
      </c>
      <c r="FL33">
        <v>41431</v>
      </c>
      <c r="FM33">
        <v>41431</v>
      </c>
      <c r="FN33">
        <v>41431</v>
      </c>
      <c r="FO33">
        <v>41431</v>
      </c>
      <c r="FP33">
        <v>41431</v>
      </c>
      <c r="FQ33">
        <v>41431</v>
      </c>
      <c r="FR33">
        <v>41431</v>
      </c>
      <c r="FS33">
        <v>41431</v>
      </c>
      <c r="FT33">
        <v>41431</v>
      </c>
      <c r="FU33">
        <v>41431</v>
      </c>
      <c r="FV33">
        <v>41431</v>
      </c>
      <c r="FW33">
        <v>41431</v>
      </c>
      <c r="FX33">
        <v>41431</v>
      </c>
      <c r="FY33">
        <v>41431</v>
      </c>
      <c r="FZ33">
        <v>41431</v>
      </c>
      <c r="GA33">
        <v>41431</v>
      </c>
      <c r="GB33">
        <v>41431</v>
      </c>
      <c r="GC33">
        <v>41699</v>
      </c>
      <c r="GD33">
        <v>41699</v>
      </c>
      <c r="GE33">
        <v>41699</v>
      </c>
      <c r="GF33">
        <v>41699</v>
      </c>
      <c r="GG33">
        <v>41699</v>
      </c>
      <c r="GH33">
        <v>41699</v>
      </c>
      <c r="GI33">
        <v>41699</v>
      </c>
      <c r="GJ33">
        <v>41699</v>
      </c>
      <c r="GK33">
        <v>41699</v>
      </c>
      <c r="GL33">
        <v>41699</v>
      </c>
      <c r="GM33">
        <v>41699</v>
      </c>
      <c r="GN33">
        <v>41699</v>
      </c>
      <c r="GO33">
        <v>41699</v>
      </c>
      <c r="GP33">
        <v>41699</v>
      </c>
      <c r="GQ33">
        <v>41699</v>
      </c>
      <c r="GR33">
        <v>41699</v>
      </c>
      <c r="GS33">
        <v>41699</v>
      </c>
      <c r="GT33">
        <v>41699</v>
      </c>
      <c r="GU33">
        <v>41699</v>
      </c>
      <c r="GV33">
        <v>41699</v>
      </c>
      <c r="GW33">
        <v>41699</v>
      </c>
      <c r="GX33">
        <v>41699</v>
      </c>
      <c r="GY33">
        <v>41699</v>
      </c>
      <c r="GZ33">
        <v>41699</v>
      </c>
      <c r="HA33">
        <v>41699</v>
      </c>
      <c r="HB33">
        <v>41699</v>
      </c>
      <c r="HC33">
        <v>41699</v>
      </c>
      <c r="HD33">
        <v>41699</v>
      </c>
      <c r="HE33">
        <v>41699</v>
      </c>
      <c r="HF33">
        <v>41699</v>
      </c>
      <c r="HG33">
        <v>41699</v>
      </c>
      <c r="HH33">
        <v>41699</v>
      </c>
      <c r="HI33">
        <v>41699</v>
      </c>
      <c r="HJ33">
        <v>41699</v>
      </c>
      <c r="HK33">
        <v>41699</v>
      </c>
      <c r="HL33">
        <v>41699</v>
      </c>
      <c r="HM33">
        <v>41699</v>
      </c>
      <c r="HN33">
        <v>41699</v>
      </c>
      <c r="HO33">
        <v>41699</v>
      </c>
      <c r="HP33">
        <v>41699</v>
      </c>
      <c r="HQ33">
        <v>41699</v>
      </c>
      <c r="HR33">
        <v>41699</v>
      </c>
      <c r="HS33">
        <v>41699</v>
      </c>
      <c r="HT33">
        <v>41699</v>
      </c>
      <c r="HU33">
        <v>41699</v>
      </c>
      <c r="HV33">
        <v>41699</v>
      </c>
      <c r="HW33">
        <v>41699</v>
      </c>
      <c r="HX33">
        <v>41699</v>
      </c>
      <c r="HY33">
        <v>41699</v>
      </c>
      <c r="HZ33">
        <v>41699</v>
      </c>
      <c r="IA33">
        <v>41699</v>
      </c>
      <c r="IB33">
        <v>41699</v>
      </c>
      <c r="IC33">
        <v>41699</v>
      </c>
      <c r="ID33">
        <v>41699</v>
      </c>
      <c r="IE33">
        <v>41699</v>
      </c>
      <c r="IF33">
        <v>41699</v>
      </c>
      <c r="IG33">
        <v>41699</v>
      </c>
      <c r="IH33">
        <v>41699</v>
      </c>
      <c r="II33">
        <v>41699</v>
      </c>
      <c r="IJ33">
        <v>41699</v>
      </c>
      <c r="IK33">
        <v>41699</v>
      </c>
      <c r="IL33">
        <v>41699</v>
      </c>
      <c r="IM33">
        <v>41699</v>
      </c>
      <c r="IN33">
        <v>41699</v>
      </c>
      <c r="IO33">
        <v>41699</v>
      </c>
      <c r="IP33">
        <v>41699</v>
      </c>
      <c r="IQ33">
        <v>41699</v>
      </c>
      <c r="IR33">
        <v>41699</v>
      </c>
      <c r="IS33">
        <v>41699</v>
      </c>
      <c r="IT33">
        <v>41699</v>
      </c>
      <c r="IU33">
        <v>41699</v>
      </c>
      <c r="IV33">
        <v>41699</v>
      </c>
      <c r="IW33">
        <v>41699</v>
      </c>
      <c r="IX33">
        <v>42005</v>
      </c>
      <c r="IY33">
        <v>42005</v>
      </c>
      <c r="IZ33">
        <v>42005</v>
      </c>
      <c r="JA33">
        <v>42005</v>
      </c>
      <c r="JB33">
        <v>42005</v>
      </c>
      <c r="JC33">
        <v>42005</v>
      </c>
      <c r="JD33">
        <v>42005</v>
      </c>
      <c r="JE33">
        <v>42005</v>
      </c>
      <c r="JF33">
        <v>42005</v>
      </c>
      <c r="JG33">
        <v>42005</v>
      </c>
      <c r="JH33">
        <v>42005</v>
      </c>
      <c r="JI33">
        <v>42005</v>
      </c>
      <c r="JJ33">
        <v>42005</v>
      </c>
      <c r="JK33">
        <v>42005</v>
      </c>
      <c r="JL33">
        <v>42005</v>
      </c>
      <c r="JM33">
        <v>42005</v>
      </c>
      <c r="JN33">
        <v>42005</v>
      </c>
      <c r="JO33">
        <v>42005</v>
      </c>
      <c r="JP33">
        <v>42005</v>
      </c>
      <c r="JQ33">
        <v>42005</v>
      </c>
      <c r="JR33">
        <v>42005</v>
      </c>
      <c r="JS33">
        <v>42005</v>
      </c>
      <c r="JT33">
        <v>42005</v>
      </c>
      <c r="JU33">
        <v>42005</v>
      </c>
      <c r="JV33">
        <v>42005</v>
      </c>
      <c r="JW33">
        <v>42005</v>
      </c>
      <c r="JX33">
        <v>42005</v>
      </c>
      <c r="JY33">
        <v>42005</v>
      </c>
      <c r="JZ33">
        <v>42005</v>
      </c>
      <c r="KA33">
        <v>42005</v>
      </c>
      <c r="KB33">
        <v>42005</v>
      </c>
      <c r="KC33">
        <v>42005</v>
      </c>
      <c r="KD33">
        <v>42005</v>
      </c>
      <c r="KE33">
        <v>42005</v>
      </c>
      <c r="KF33">
        <v>42005</v>
      </c>
      <c r="KG33">
        <v>42005</v>
      </c>
      <c r="KH33">
        <v>42005</v>
      </c>
      <c r="KI33">
        <v>42005</v>
      </c>
      <c r="KJ33">
        <v>42005</v>
      </c>
      <c r="KK33">
        <v>42005</v>
      </c>
      <c r="KL33">
        <v>42005</v>
      </c>
      <c r="KM33">
        <v>42005</v>
      </c>
      <c r="KN33">
        <v>42005</v>
      </c>
      <c r="KO33">
        <v>42005</v>
      </c>
      <c r="KP33">
        <v>42005</v>
      </c>
      <c r="KQ33">
        <v>42005</v>
      </c>
      <c r="KR33">
        <v>42005</v>
      </c>
      <c r="KS33">
        <v>42005</v>
      </c>
      <c r="KT33">
        <v>42005</v>
      </c>
      <c r="KU33">
        <v>42005</v>
      </c>
      <c r="KV33">
        <v>42005</v>
      </c>
      <c r="KW33">
        <v>42005</v>
      </c>
      <c r="KX33">
        <v>42005</v>
      </c>
      <c r="KY33">
        <v>42005</v>
      </c>
      <c r="KZ33">
        <v>42005</v>
      </c>
      <c r="LA33">
        <v>42005</v>
      </c>
      <c r="LB33">
        <v>42005</v>
      </c>
      <c r="LC33">
        <v>42005</v>
      </c>
      <c r="LD33">
        <v>42005</v>
      </c>
      <c r="LE33">
        <v>42005</v>
      </c>
      <c r="LF33">
        <v>42005</v>
      </c>
      <c r="LG33">
        <v>42005</v>
      </c>
      <c r="LH33">
        <v>42005</v>
      </c>
      <c r="LI33">
        <v>42005</v>
      </c>
      <c r="LJ33">
        <v>42005</v>
      </c>
      <c r="LK33">
        <v>42005</v>
      </c>
      <c r="LL33">
        <v>42005</v>
      </c>
      <c r="LM33">
        <v>42005</v>
      </c>
      <c r="LN33">
        <v>42005</v>
      </c>
      <c r="LO33">
        <v>42005</v>
      </c>
      <c r="LP33">
        <v>42005</v>
      </c>
      <c r="LQ33">
        <v>42005</v>
      </c>
      <c r="LR33">
        <v>42005</v>
      </c>
      <c r="LS33">
        <v>42036</v>
      </c>
      <c r="LT33">
        <v>42036</v>
      </c>
      <c r="LU33">
        <v>42036</v>
      </c>
      <c r="LV33">
        <v>42036</v>
      </c>
      <c r="LW33">
        <v>42036</v>
      </c>
      <c r="LX33">
        <v>42036</v>
      </c>
      <c r="LY33">
        <v>42036</v>
      </c>
      <c r="LZ33">
        <v>42036</v>
      </c>
      <c r="MA33">
        <v>42036</v>
      </c>
      <c r="MB33">
        <v>42036</v>
      </c>
      <c r="MC33">
        <v>42036</v>
      </c>
      <c r="MD33">
        <v>42036</v>
      </c>
      <c r="ME33">
        <v>42036</v>
      </c>
      <c r="MF33">
        <v>42036</v>
      </c>
      <c r="MG33">
        <v>42370</v>
      </c>
      <c r="MH33">
        <v>42370</v>
      </c>
      <c r="MI33">
        <v>42370</v>
      </c>
      <c r="MJ33">
        <v>42370</v>
      </c>
      <c r="MK33">
        <v>42370</v>
      </c>
      <c r="ML33">
        <v>42370</v>
      </c>
      <c r="MM33">
        <v>42370</v>
      </c>
      <c r="MN33">
        <v>42370</v>
      </c>
      <c r="MO33">
        <v>42370</v>
      </c>
      <c r="MP33">
        <v>42370</v>
      </c>
      <c r="MQ33">
        <v>42370</v>
      </c>
      <c r="MR33">
        <v>42370</v>
      </c>
      <c r="MS33">
        <v>42370</v>
      </c>
      <c r="MT33">
        <v>42370</v>
      </c>
      <c r="MU33">
        <v>42370</v>
      </c>
      <c r="MV33">
        <v>42370</v>
      </c>
      <c r="MW33">
        <v>42370</v>
      </c>
      <c r="MX33">
        <v>42370</v>
      </c>
      <c r="MY33">
        <v>42370</v>
      </c>
      <c r="MZ33">
        <v>42370</v>
      </c>
      <c r="NA33">
        <v>42370</v>
      </c>
      <c r="NB33">
        <v>42370</v>
      </c>
      <c r="NC33">
        <v>42370</v>
      </c>
      <c r="ND33">
        <v>42370</v>
      </c>
      <c r="NE33">
        <v>42370</v>
      </c>
      <c r="NF33">
        <v>42370</v>
      </c>
      <c r="NG33">
        <v>42370</v>
      </c>
      <c r="NH33">
        <v>42370</v>
      </c>
      <c r="NI33">
        <v>42370</v>
      </c>
      <c r="NJ33">
        <v>42370</v>
      </c>
      <c r="NK33">
        <v>42370</v>
      </c>
      <c r="NL33">
        <v>42370</v>
      </c>
      <c r="NM33">
        <v>42370</v>
      </c>
      <c r="NN33">
        <v>42370</v>
      </c>
      <c r="NO33">
        <v>42370</v>
      </c>
      <c r="NP33">
        <v>42370</v>
      </c>
      <c r="NQ33">
        <v>42370</v>
      </c>
      <c r="NR33">
        <v>42370</v>
      </c>
      <c r="NS33">
        <v>42370</v>
      </c>
      <c r="NT33">
        <v>42370</v>
      </c>
      <c r="NU33">
        <v>42370</v>
      </c>
      <c r="NV33">
        <v>42370</v>
      </c>
      <c r="NW33">
        <v>42370</v>
      </c>
      <c r="NX33">
        <v>42370</v>
      </c>
      <c r="NY33">
        <v>42370</v>
      </c>
      <c r="NZ33">
        <v>42370</v>
      </c>
      <c r="OA33">
        <v>42370</v>
      </c>
      <c r="OB33">
        <v>42370</v>
      </c>
      <c r="OC33">
        <v>42370</v>
      </c>
      <c r="OD33">
        <v>42370</v>
      </c>
      <c r="OE33">
        <v>42370</v>
      </c>
      <c r="OF33">
        <v>42370</v>
      </c>
      <c r="OG33">
        <v>42370</v>
      </c>
      <c r="OH33">
        <v>42370</v>
      </c>
      <c r="OI33">
        <v>42370</v>
      </c>
      <c r="OJ33">
        <v>42370</v>
      </c>
      <c r="OK33">
        <v>42370</v>
      </c>
      <c r="OL33">
        <v>42370</v>
      </c>
      <c r="OM33">
        <v>42370</v>
      </c>
      <c r="ON33">
        <v>42370</v>
      </c>
      <c r="OO33">
        <v>42370</v>
      </c>
      <c r="OP33">
        <v>42370</v>
      </c>
      <c r="OQ33">
        <v>42370</v>
      </c>
      <c r="OR33">
        <v>42370</v>
      </c>
      <c r="OS33">
        <v>42370</v>
      </c>
      <c r="OT33">
        <v>42370</v>
      </c>
      <c r="OU33">
        <v>42370</v>
      </c>
      <c r="OV33">
        <v>42370</v>
      </c>
      <c r="OW33">
        <v>42370</v>
      </c>
      <c r="OX33">
        <v>42370</v>
      </c>
      <c r="OY33">
        <v>42370</v>
      </c>
      <c r="OZ33">
        <v>42370</v>
      </c>
      <c r="PA33">
        <v>42370</v>
      </c>
      <c r="PB33">
        <v>42370</v>
      </c>
      <c r="PC33">
        <v>42370</v>
      </c>
      <c r="PD33">
        <v>42370</v>
      </c>
      <c r="PE33">
        <v>42370</v>
      </c>
      <c r="PF33">
        <v>42370</v>
      </c>
      <c r="PG33">
        <v>42370</v>
      </c>
      <c r="PH33">
        <v>42370</v>
      </c>
      <c r="PI33">
        <v>42370</v>
      </c>
      <c r="PJ33">
        <v>42370</v>
      </c>
      <c r="PK33">
        <v>42370</v>
      </c>
      <c r="PL33">
        <v>42370</v>
      </c>
      <c r="PM33">
        <v>42370</v>
      </c>
      <c r="PN33">
        <v>42370</v>
      </c>
      <c r="PO33">
        <v>42370</v>
      </c>
      <c r="PP33">
        <v>42736</v>
      </c>
      <c r="PQ33">
        <v>42736</v>
      </c>
      <c r="PR33">
        <v>42736</v>
      </c>
      <c r="PS33">
        <v>42736</v>
      </c>
      <c r="PT33">
        <v>42736</v>
      </c>
      <c r="PU33">
        <v>42736</v>
      </c>
      <c r="PV33">
        <v>42736</v>
      </c>
      <c r="PW33">
        <v>42736</v>
      </c>
      <c r="PX33">
        <v>42736</v>
      </c>
      <c r="PY33">
        <v>42736</v>
      </c>
      <c r="PZ33">
        <v>42736</v>
      </c>
      <c r="QA33">
        <v>42736</v>
      </c>
      <c r="QB33">
        <v>42736</v>
      </c>
      <c r="QC33">
        <v>42736</v>
      </c>
      <c r="QD33">
        <v>42736</v>
      </c>
      <c r="QE33">
        <v>42736</v>
      </c>
      <c r="QF33">
        <v>42736</v>
      </c>
      <c r="QG33">
        <v>42736</v>
      </c>
      <c r="QH33">
        <v>42736</v>
      </c>
      <c r="QI33">
        <v>42736</v>
      </c>
      <c r="QJ33">
        <v>42736</v>
      </c>
      <c r="QK33">
        <v>42736</v>
      </c>
      <c r="QL33">
        <v>42736</v>
      </c>
      <c r="QM33">
        <v>42736</v>
      </c>
      <c r="QN33">
        <v>42736</v>
      </c>
      <c r="QO33">
        <v>42736</v>
      </c>
      <c r="QP33">
        <v>42736</v>
      </c>
      <c r="QQ33">
        <v>42736</v>
      </c>
      <c r="QR33">
        <v>42736</v>
      </c>
      <c r="QS33">
        <v>42736</v>
      </c>
      <c r="QT33">
        <v>42736</v>
      </c>
      <c r="QU33">
        <v>42736</v>
      </c>
      <c r="QV33">
        <v>42736</v>
      </c>
      <c r="QW33">
        <v>42736</v>
      </c>
      <c r="QX33">
        <v>42736</v>
      </c>
      <c r="QY33">
        <v>42736</v>
      </c>
      <c r="QZ33">
        <v>42736</v>
      </c>
      <c r="RA33">
        <v>42736</v>
      </c>
      <c r="RB33">
        <v>42736</v>
      </c>
      <c r="RC33">
        <v>42736</v>
      </c>
      <c r="RD33">
        <v>42736</v>
      </c>
      <c r="RE33">
        <v>42736</v>
      </c>
      <c r="RF33">
        <v>42736</v>
      </c>
      <c r="RG33">
        <v>42736</v>
      </c>
      <c r="RH33">
        <v>42736</v>
      </c>
      <c r="RI33">
        <v>42736</v>
      </c>
      <c r="RJ33">
        <v>42736</v>
      </c>
      <c r="RK33">
        <v>42736</v>
      </c>
      <c r="RL33">
        <v>42736</v>
      </c>
      <c r="RM33">
        <v>42736</v>
      </c>
      <c r="RN33">
        <v>42736</v>
      </c>
      <c r="RO33">
        <v>42736</v>
      </c>
      <c r="RP33">
        <v>42736</v>
      </c>
      <c r="RQ33">
        <v>42736</v>
      </c>
      <c r="RR33">
        <v>42736</v>
      </c>
      <c r="RS33">
        <v>42736</v>
      </c>
      <c r="RT33">
        <v>42736</v>
      </c>
      <c r="RU33">
        <v>42736</v>
      </c>
      <c r="RV33">
        <v>42736</v>
      </c>
      <c r="RW33">
        <v>42736</v>
      </c>
      <c r="RX33">
        <v>42736</v>
      </c>
      <c r="RY33">
        <v>42736</v>
      </c>
      <c r="RZ33">
        <v>42736</v>
      </c>
      <c r="SA33">
        <v>42736</v>
      </c>
      <c r="SB33">
        <v>42736</v>
      </c>
      <c r="SC33">
        <v>42736</v>
      </c>
      <c r="SD33">
        <v>42736</v>
      </c>
      <c r="SE33">
        <v>42736</v>
      </c>
      <c r="SF33">
        <v>42736</v>
      </c>
      <c r="SG33">
        <v>42736</v>
      </c>
      <c r="SH33">
        <v>42736</v>
      </c>
      <c r="SI33">
        <v>42736</v>
      </c>
      <c r="SJ33">
        <v>42736</v>
      </c>
      <c r="SK33">
        <v>42736</v>
      </c>
      <c r="SL33">
        <v>42736</v>
      </c>
      <c r="SM33">
        <v>42736</v>
      </c>
      <c r="SN33">
        <v>42736</v>
      </c>
      <c r="SO33">
        <v>42736</v>
      </c>
      <c r="SP33">
        <v>42736</v>
      </c>
      <c r="SQ33">
        <v>42736</v>
      </c>
      <c r="SR33">
        <v>42736</v>
      </c>
      <c r="SS33">
        <v>42736</v>
      </c>
      <c r="ST33">
        <v>42736</v>
      </c>
      <c r="SU33">
        <v>42736</v>
      </c>
      <c r="SV33">
        <v>42736</v>
      </c>
      <c r="SW33">
        <v>42736</v>
      </c>
      <c r="SX33">
        <v>42736</v>
      </c>
      <c r="SY33">
        <v>43101</v>
      </c>
      <c r="SZ33">
        <v>43101</v>
      </c>
      <c r="TA33">
        <v>43101</v>
      </c>
      <c r="TB33">
        <v>43101</v>
      </c>
      <c r="TC33">
        <v>43101</v>
      </c>
      <c r="TD33">
        <v>43101</v>
      </c>
      <c r="TE33">
        <v>43101</v>
      </c>
      <c r="TF33">
        <v>43101</v>
      </c>
      <c r="TG33">
        <v>43101</v>
      </c>
      <c r="TH33">
        <v>43101</v>
      </c>
      <c r="TI33">
        <v>43101</v>
      </c>
      <c r="TJ33">
        <v>43101</v>
      </c>
      <c r="TK33">
        <v>43101</v>
      </c>
      <c r="TL33">
        <v>43101</v>
      </c>
      <c r="TM33">
        <v>43101</v>
      </c>
      <c r="TN33">
        <v>43101</v>
      </c>
      <c r="TO33">
        <v>43101</v>
      </c>
      <c r="TP33">
        <v>43101</v>
      </c>
      <c r="TQ33">
        <v>43101</v>
      </c>
      <c r="TR33">
        <v>43101</v>
      </c>
      <c r="TS33">
        <v>43101</v>
      </c>
      <c r="TT33">
        <v>43101</v>
      </c>
      <c r="TU33">
        <v>43101</v>
      </c>
      <c r="TV33">
        <v>43101</v>
      </c>
      <c r="TW33">
        <v>43101</v>
      </c>
      <c r="TX33">
        <v>43101</v>
      </c>
      <c r="TY33">
        <v>43101</v>
      </c>
      <c r="TZ33">
        <v>43101</v>
      </c>
      <c r="UA33">
        <v>43101</v>
      </c>
      <c r="UB33">
        <v>43101</v>
      </c>
      <c r="UC33">
        <v>43101</v>
      </c>
      <c r="UD33">
        <v>43101</v>
      </c>
      <c r="UE33">
        <v>43101</v>
      </c>
      <c r="UF33">
        <v>43101</v>
      </c>
      <c r="UG33">
        <v>43101</v>
      </c>
      <c r="UH33">
        <v>43101</v>
      </c>
      <c r="UI33">
        <v>43101</v>
      </c>
      <c r="UJ33">
        <v>43101</v>
      </c>
      <c r="UK33">
        <v>43101</v>
      </c>
      <c r="UL33">
        <v>43101</v>
      </c>
      <c r="UM33">
        <v>43101</v>
      </c>
      <c r="UN33">
        <v>43101</v>
      </c>
      <c r="UO33">
        <v>43101</v>
      </c>
      <c r="UP33">
        <v>43101</v>
      </c>
      <c r="UQ33">
        <v>43101</v>
      </c>
      <c r="UR33">
        <v>43101</v>
      </c>
      <c r="US33">
        <v>43101</v>
      </c>
      <c r="UT33">
        <v>43101</v>
      </c>
      <c r="UU33">
        <v>43101</v>
      </c>
      <c r="UV33">
        <v>43101</v>
      </c>
      <c r="UW33">
        <v>43101</v>
      </c>
      <c r="UX33">
        <v>43101</v>
      </c>
      <c r="UY33">
        <v>43101</v>
      </c>
      <c r="UZ33">
        <v>43101</v>
      </c>
      <c r="VA33">
        <v>43101</v>
      </c>
      <c r="VB33">
        <v>43101</v>
      </c>
      <c r="VC33">
        <v>43101</v>
      </c>
      <c r="VD33">
        <v>43101</v>
      </c>
      <c r="VE33">
        <v>43101</v>
      </c>
      <c r="VF33">
        <v>43101</v>
      </c>
      <c r="VG33">
        <v>43101</v>
      </c>
      <c r="VH33">
        <v>43101</v>
      </c>
      <c r="VI33">
        <v>43101</v>
      </c>
      <c r="VJ33">
        <v>43101</v>
      </c>
      <c r="VK33">
        <v>43101</v>
      </c>
      <c r="VL33">
        <v>43101</v>
      </c>
      <c r="VM33">
        <v>43101</v>
      </c>
      <c r="VN33">
        <v>43101</v>
      </c>
      <c r="VO33">
        <v>43101</v>
      </c>
      <c r="VP33">
        <v>43101</v>
      </c>
      <c r="VQ33">
        <v>43101</v>
      </c>
      <c r="VR33">
        <v>43101</v>
      </c>
      <c r="VS33">
        <v>43101</v>
      </c>
      <c r="VT33">
        <v>43101</v>
      </c>
      <c r="VU33">
        <v>43101</v>
      </c>
      <c r="VV33">
        <v>43101</v>
      </c>
      <c r="VW33">
        <v>43101</v>
      </c>
      <c r="VX33">
        <v>43101</v>
      </c>
      <c r="VY33">
        <v>43101</v>
      </c>
      <c r="VZ33">
        <v>43101</v>
      </c>
      <c r="WA33">
        <v>43101</v>
      </c>
      <c r="WB33">
        <v>43101</v>
      </c>
      <c r="WC33">
        <v>43101</v>
      </c>
      <c r="WD33">
        <v>43101</v>
      </c>
      <c r="WE33">
        <v>43101</v>
      </c>
      <c r="WF33">
        <v>43101</v>
      </c>
      <c r="WG33">
        <v>43101</v>
      </c>
      <c r="WH33">
        <v>43466</v>
      </c>
      <c r="WI33">
        <v>43466</v>
      </c>
      <c r="WJ33">
        <v>43466</v>
      </c>
      <c r="WK33">
        <v>43466</v>
      </c>
      <c r="WL33">
        <v>43466</v>
      </c>
      <c r="WM33">
        <v>43466</v>
      </c>
      <c r="WN33">
        <v>43466</v>
      </c>
      <c r="WO33">
        <v>43466</v>
      </c>
      <c r="WP33">
        <v>43466</v>
      </c>
      <c r="WQ33">
        <v>43466</v>
      </c>
      <c r="WR33">
        <v>43466</v>
      </c>
      <c r="WS33">
        <v>43466</v>
      </c>
      <c r="WT33">
        <v>43466</v>
      </c>
      <c r="WU33">
        <v>43466</v>
      </c>
      <c r="WV33">
        <v>43466</v>
      </c>
      <c r="WW33">
        <v>43466</v>
      </c>
      <c r="WX33">
        <v>43466</v>
      </c>
      <c r="WY33">
        <v>43466</v>
      </c>
      <c r="WZ33">
        <v>43466</v>
      </c>
      <c r="XA33">
        <v>43466</v>
      </c>
      <c r="XB33">
        <v>43466</v>
      </c>
      <c r="XC33">
        <v>43466</v>
      </c>
      <c r="XD33">
        <v>43466</v>
      </c>
      <c r="XE33">
        <v>43466</v>
      </c>
      <c r="XF33">
        <v>43466</v>
      </c>
      <c r="XG33">
        <v>43466</v>
      </c>
      <c r="XH33">
        <v>43466</v>
      </c>
      <c r="XI33">
        <v>43466</v>
      </c>
      <c r="XJ33">
        <v>43466</v>
      </c>
      <c r="XK33">
        <v>43466</v>
      </c>
      <c r="XL33">
        <v>43466</v>
      </c>
      <c r="XM33">
        <v>43466</v>
      </c>
      <c r="XN33">
        <v>43466</v>
      </c>
      <c r="XO33">
        <v>43466</v>
      </c>
      <c r="XP33">
        <v>43466</v>
      </c>
      <c r="XQ33">
        <v>43466</v>
      </c>
      <c r="XR33">
        <v>43466</v>
      </c>
      <c r="XS33">
        <v>43466</v>
      </c>
      <c r="XT33">
        <v>43466</v>
      </c>
      <c r="XU33">
        <v>43466</v>
      </c>
      <c r="XV33">
        <v>43466</v>
      </c>
      <c r="XW33">
        <v>43466</v>
      </c>
      <c r="XX33">
        <v>43466</v>
      </c>
      <c r="XY33">
        <v>43466</v>
      </c>
      <c r="XZ33">
        <v>43466</v>
      </c>
      <c r="YA33">
        <v>43466</v>
      </c>
      <c r="YB33">
        <v>43466</v>
      </c>
      <c r="YC33">
        <v>43466</v>
      </c>
      <c r="YD33">
        <v>43466</v>
      </c>
      <c r="YE33">
        <v>43466</v>
      </c>
      <c r="YF33">
        <v>43466</v>
      </c>
      <c r="YG33">
        <v>43466</v>
      </c>
      <c r="YH33">
        <v>43466</v>
      </c>
      <c r="YI33">
        <v>43466</v>
      </c>
      <c r="YJ33">
        <v>43466</v>
      </c>
      <c r="YK33">
        <v>43466</v>
      </c>
      <c r="YL33">
        <v>43466</v>
      </c>
      <c r="YM33">
        <v>43466</v>
      </c>
      <c r="YN33">
        <v>43466</v>
      </c>
      <c r="YO33">
        <v>43466</v>
      </c>
      <c r="YP33">
        <v>43466</v>
      </c>
      <c r="YQ33">
        <v>43466</v>
      </c>
      <c r="YR33">
        <v>43466</v>
      </c>
      <c r="YS33">
        <v>43466</v>
      </c>
      <c r="YT33">
        <v>43466</v>
      </c>
      <c r="YU33">
        <v>43466</v>
      </c>
      <c r="YV33">
        <v>43466</v>
      </c>
      <c r="YW33">
        <v>43466</v>
      </c>
      <c r="YX33">
        <v>43466</v>
      </c>
      <c r="YY33">
        <v>43466</v>
      </c>
      <c r="YZ33">
        <v>43466</v>
      </c>
      <c r="ZA33">
        <v>43466</v>
      </c>
      <c r="ZB33">
        <v>43466</v>
      </c>
      <c r="ZC33">
        <v>43466</v>
      </c>
      <c r="ZD33">
        <v>43466</v>
      </c>
      <c r="ZE33">
        <v>43466</v>
      </c>
      <c r="ZF33">
        <v>43466</v>
      </c>
      <c r="ZG33">
        <v>43466</v>
      </c>
      <c r="ZH33">
        <v>43466</v>
      </c>
      <c r="ZI33">
        <v>43466</v>
      </c>
      <c r="ZJ33">
        <v>43466</v>
      </c>
      <c r="ZK33">
        <v>43466</v>
      </c>
      <c r="ZL33">
        <v>43466</v>
      </c>
      <c r="ZM33">
        <v>43466</v>
      </c>
      <c r="ZN33">
        <v>43466</v>
      </c>
      <c r="ZO33">
        <v>43466</v>
      </c>
      <c r="ZP33">
        <v>43466</v>
      </c>
      <c r="ZQ33">
        <v>43831</v>
      </c>
      <c r="ZR33">
        <v>43831</v>
      </c>
      <c r="ZS33">
        <v>43831</v>
      </c>
      <c r="ZT33">
        <v>43831</v>
      </c>
      <c r="ZU33">
        <v>43831</v>
      </c>
      <c r="ZV33">
        <v>43831</v>
      </c>
      <c r="ZW33">
        <v>43831</v>
      </c>
      <c r="ZX33">
        <v>43831</v>
      </c>
      <c r="ZY33">
        <v>43831</v>
      </c>
      <c r="ZZ33">
        <v>43831</v>
      </c>
      <c r="AAA33">
        <v>43831</v>
      </c>
      <c r="AAB33">
        <v>43831</v>
      </c>
      <c r="AAC33">
        <v>43831</v>
      </c>
      <c r="AAD33">
        <v>43831</v>
      </c>
      <c r="AAE33">
        <v>43831</v>
      </c>
      <c r="AAF33">
        <v>43831</v>
      </c>
      <c r="AAG33">
        <v>43831</v>
      </c>
      <c r="AAH33">
        <v>43831</v>
      </c>
      <c r="AAI33">
        <v>43831</v>
      </c>
      <c r="AAJ33">
        <v>43831</v>
      </c>
      <c r="AAK33">
        <v>43831</v>
      </c>
      <c r="AAL33">
        <v>43831</v>
      </c>
      <c r="AAM33">
        <v>43831</v>
      </c>
      <c r="AAN33">
        <v>43831</v>
      </c>
      <c r="AAO33">
        <v>43831</v>
      </c>
      <c r="AAP33">
        <v>43831</v>
      </c>
      <c r="AAQ33">
        <v>43831</v>
      </c>
      <c r="AAR33">
        <v>43831</v>
      </c>
      <c r="AAS33">
        <v>43831</v>
      </c>
      <c r="AAT33">
        <v>43831</v>
      </c>
      <c r="AAU33">
        <v>43831</v>
      </c>
      <c r="AAV33">
        <v>43831</v>
      </c>
      <c r="AAW33">
        <v>43831</v>
      </c>
      <c r="AAX33">
        <v>43831</v>
      </c>
      <c r="AAY33">
        <v>43831</v>
      </c>
      <c r="AAZ33">
        <v>43831</v>
      </c>
      <c r="ABA33">
        <v>43831</v>
      </c>
      <c r="ABB33">
        <v>43831</v>
      </c>
      <c r="ABC33">
        <v>43831</v>
      </c>
      <c r="ABD33">
        <v>43831</v>
      </c>
      <c r="ABE33">
        <v>43831</v>
      </c>
      <c r="ABF33">
        <v>43831</v>
      </c>
      <c r="ABG33">
        <v>43831</v>
      </c>
      <c r="ABH33">
        <v>43831</v>
      </c>
      <c r="ABI33">
        <v>43831</v>
      </c>
      <c r="ABJ33">
        <v>43831</v>
      </c>
      <c r="ABK33">
        <v>43831</v>
      </c>
      <c r="ABL33">
        <v>43831</v>
      </c>
      <c r="ABM33">
        <v>43831</v>
      </c>
      <c r="ABN33">
        <v>43831</v>
      </c>
      <c r="ABO33">
        <v>43831</v>
      </c>
      <c r="ABP33">
        <v>43831</v>
      </c>
      <c r="ABQ33">
        <v>43831</v>
      </c>
      <c r="ABR33">
        <v>43831</v>
      </c>
      <c r="ABS33">
        <v>43831</v>
      </c>
      <c r="ABT33">
        <v>43831</v>
      </c>
      <c r="ABU33">
        <v>43831</v>
      </c>
      <c r="ABV33">
        <v>43831</v>
      </c>
      <c r="ABW33">
        <v>43831</v>
      </c>
      <c r="ABX33">
        <v>43831</v>
      </c>
      <c r="ABY33">
        <v>43831</v>
      </c>
      <c r="ABZ33">
        <v>43831</v>
      </c>
      <c r="ACA33">
        <v>43831</v>
      </c>
      <c r="ACB33">
        <v>43831</v>
      </c>
      <c r="ACC33">
        <v>43831</v>
      </c>
      <c r="ACD33">
        <v>43831</v>
      </c>
      <c r="ACE33">
        <v>43831</v>
      </c>
      <c r="ACF33">
        <v>43831</v>
      </c>
      <c r="ACG33">
        <v>43831</v>
      </c>
      <c r="ACH33">
        <v>43831</v>
      </c>
      <c r="ACI33">
        <v>43831</v>
      </c>
      <c r="ACJ33">
        <v>43831</v>
      </c>
      <c r="ACK33">
        <v>43831</v>
      </c>
      <c r="ACL33">
        <v>43831</v>
      </c>
      <c r="ACM33">
        <v>43831</v>
      </c>
      <c r="ACN33">
        <v>43831</v>
      </c>
      <c r="ACO33">
        <v>43831</v>
      </c>
      <c r="ACP33">
        <v>43831</v>
      </c>
      <c r="ACQ33">
        <v>43831</v>
      </c>
      <c r="ACR33">
        <v>43831</v>
      </c>
      <c r="ACS33">
        <v>43831</v>
      </c>
      <c r="ACT33">
        <v>43831</v>
      </c>
      <c r="ACU33">
        <v>43831</v>
      </c>
      <c r="ACV33">
        <v>43831</v>
      </c>
      <c r="ACW33">
        <v>43831</v>
      </c>
      <c r="ACX33">
        <v>43831</v>
      </c>
      <c r="ACY33">
        <v>43831</v>
      </c>
      <c r="ACZ33">
        <v>44197</v>
      </c>
      <c r="ADA33">
        <v>44197</v>
      </c>
      <c r="ADB33">
        <v>44197</v>
      </c>
      <c r="ADC33">
        <v>44197</v>
      </c>
      <c r="ADD33">
        <v>44197</v>
      </c>
      <c r="ADE33">
        <v>44197</v>
      </c>
      <c r="ADF33">
        <v>44197</v>
      </c>
      <c r="ADG33">
        <v>44197</v>
      </c>
      <c r="ADH33">
        <v>44197</v>
      </c>
      <c r="ADI33">
        <v>44197</v>
      </c>
      <c r="ADJ33">
        <v>44197</v>
      </c>
      <c r="ADK33">
        <v>44197</v>
      </c>
      <c r="ADL33">
        <v>44197</v>
      </c>
      <c r="ADM33">
        <v>44197</v>
      </c>
      <c r="ADN33">
        <v>44197</v>
      </c>
      <c r="ADO33">
        <v>44197</v>
      </c>
      <c r="ADP33">
        <v>44197</v>
      </c>
      <c r="ADQ33">
        <v>44197</v>
      </c>
      <c r="ADR33">
        <v>44197</v>
      </c>
      <c r="ADS33">
        <v>44197</v>
      </c>
      <c r="ADT33">
        <v>44197</v>
      </c>
      <c r="ADU33">
        <v>44197</v>
      </c>
      <c r="ADV33">
        <v>44197</v>
      </c>
      <c r="ADW33">
        <v>44197</v>
      </c>
      <c r="ADX33">
        <v>44197</v>
      </c>
      <c r="ADY33">
        <v>44197</v>
      </c>
      <c r="ADZ33">
        <v>44197</v>
      </c>
      <c r="AEA33">
        <v>44197</v>
      </c>
      <c r="AEB33">
        <v>44197</v>
      </c>
      <c r="AEC33">
        <v>44197</v>
      </c>
      <c r="AED33">
        <v>44197</v>
      </c>
      <c r="AEE33">
        <v>44197</v>
      </c>
      <c r="AEF33">
        <v>44197</v>
      </c>
      <c r="AEG33">
        <v>44197</v>
      </c>
      <c r="AEH33">
        <v>44197</v>
      </c>
      <c r="AEI33">
        <v>44197</v>
      </c>
      <c r="AEJ33">
        <v>44197</v>
      </c>
      <c r="AEK33">
        <v>44197</v>
      </c>
      <c r="AEL33">
        <v>44197</v>
      </c>
      <c r="AEM33">
        <v>44197</v>
      </c>
      <c r="AEN33">
        <v>44197</v>
      </c>
      <c r="AEO33">
        <v>44197</v>
      </c>
      <c r="AEP33">
        <v>44197</v>
      </c>
      <c r="AEQ33">
        <v>44197</v>
      </c>
      <c r="AER33">
        <v>44197</v>
      </c>
      <c r="AES33">
        <v>44197</v>
      </c>
      <c r="AET33">
        <v>44197</v>
      </c>
      <c r="AEU33">
        <v>44197</v>
      </c>
      <c r="AEV33">
        <v>44197</v>
      </c>
      <c r="AEW33">
        <v>44197</v>
      </c>
      <c r="AEX33">
        <v>44197</v>
      </c>
      <c r="AEY33">
        <v>44197</v>
      </c>
      <c r="AEZ33">
        <v>44197</v>
      </c>
      <c r="AFA33">
        <v>44197</v>
      </c>
      <c r="AFB33">
        <v>44197</v>
      </c>
      <c r="AFC33">
        <v>44197</v>
      </c>
      <c r="AFD33">
        <v>44197</v>
      </c>
      <c r="AFE33">
        <v>44197</v>
      </c>
      <c r="AFF33">
        <v>44197</v>
      </c>
      <c r="AFG33">
        <v>44197</v>
      </c>
      <c r="AFH33">
        <v>44197</v>
      </c>
      <c r="AFI33">
        <v>44197</v>
      </c>
      <c r="AFJ33">
        <v>44197</v>
      </c>
      <c r="AFK33">
        <v>44197</v>
      </c>
      <c r="AFL33">
        <v>44197</v>
      </c>
      <c r="AFM33">
        <v>44197</v>
      </c>
      <c r="AFN33">
        <v>44197</v>
      </c>
      <c r="AFO33">
        <v>44197</v>
      </c>
      <c r="AFP33">
        <v>44197</v>
      </c>
      <c r="AFQ33">
        <v>44197</v>
      </c>
      <c r="AFR33">
        <v>44197</v>
      </c>
      <c r="AFS33">
        <v>44197</v>
      </c>
      <c r="AFT33">
        <v>44197</v>
      </c>
      <c r="AFU33">
        <v>44197</v>
      </c>
      <c r="AFV33">
        <v>44197</v>
      </c>
      <c r="AFW33">
        <v>44197</v>
      </c>
      <c r="AFX33">
        <v>44197</v>
      </c>
      <c r="AFY33">
        <v>44197</v>
      </c>
      <c r="AFZ33">
        <v>44197</v>
      </c>
      <c r="AGA33">
        <v>44197</v>
      </c>
      <c r="AGB33">
        <v>44197</v>
      </c>
      <c r="AGC33">
        <v>44197</v>
      </c>
      <c r="AGD33">
        <v>44197</v>
      </c>
      <c r="AGE33">
        <v>44197</v>
      </c>
      <c r="AGF33">
        <v>44197</v>
      </c>
      <c r="AGG33">
        <v>44197</v>
      </c>
      <c r="AGH33">
        <v>44197</v>
      </c>
      <c r="AGI33">
        <v>44562</v>
      </c>
      <c r="AGJ33">
        <v>44562</v>
      </c>
      <c r="AGK33">
        <v>44562</v>
      </c>
      <c r="AGL33">
        <v>44562</v>
      </c>
      <c r="AGM33">
        <v>44562</v>
      </c>
      <c r="AGN33">
        <v>44562</v>
      </c>
      <c r="AGO33">
        <v>44562</v>
      </c>
      <c r="AGP33">
        <v>44562</v>
      </c>
      <c r="AGQ33">
        <v>44562</v>
      </c>
      <c r="AGR33">
        <v>44562</v>
      </c>
      <c r="AGS33">
        <v>44562</v>
      </c>
      <c r="AGT33">
        <v>44562</v>
      </c>
      <c r="AGU33">
        <v>44562</v>
      </c>
      <c r="AGV33">
        <v>44562</v>
      </c>
      <c r="AGW33">
        <v>44562</v>
      </c>
      <c r="AGX33">
        <v>44562</v>
      </c>
      <c r="AGY33">
        <v>44562</v>
      </c>
      <c r="AGZ33">
        <v>44562</v>
      </c>
      <c r="AHA33">
        <v>44562</v>
      </c>
      <c r="AHB33">
        <v>44562</v>
      </c>
      <c r="AHC33">
        <v>44562</v>
      </c>
      <c r="AHD33">
        <v>44562</v>
      </c>
      <c r="AHE33">
        <v>44562</v>
      </c>
      <c r="AHF33">
        <v>44562</v>
      </c>
      <c r="AHG33">
        <v>44562</v>
      </c>
      <c r="AHH33">
        <v>44562</v>
      </c>
      <c r="AHI33">
        <v>44562</v>
      </c>
      <c r="AHJ33">
        <v>44562</v>
      </c>
      <c r="AHK33">
        <v>44562</v>
      </c>
      <c r="AHL33">
        <v>44562</v>
      </c>
      <c r="AHM33">
        <v>44562</v>
      </c>
      <c r="AHN33">
        <v>44562</v>
      </c>
      <c r="AHO33">
        <v>44562</v>
      </c>
      <c r="AHP33">
        <v>44562</v>
      </c>
      <c r="AHQ33">
        <v>44562</v>
      </c>
      <c r="AHR33">
        <v>44562</v>
      </c>
      <c r="AHS33">
        <v>44562</v>
      </c>
      <c r="AHT33">
        <v>44562</v>
      </c>
      <c r="AHU33">
        <v>44562</v>
      </c>
      <c r="AHV33">
        <v>44562</v>
      </c>
      <c r="AHW33">
        <v>44562</v>
      </c>
      <c r="AHX33">
        <v>44562</v>
      </c>
      <c r="AHY33">
        <v>44562</v>
      </c>
      <c r="AHZ33">
        <v>44562</v>
      </c>
      <c r="AIA33">
        <v>44562</v>
      </c>
      <c r="AIB33">
        <v>44562</v>
      </c>
      <c r="AIC33">
        <v>44562</v>
      </c>
      <c r="AID33">
        <v>44562</v>
      </c>
      <c r="AIE33">
        <v>44562</v>
      </c>
      <c r="AIF33">
        <v>44562</v>
      </c>
      <c r="AIG33">
        <v>44562</v>
      </c>
      <c r="AIH33">
        <v>44562</v>
      </c>
      <c r="AII33">
        <v>44562</v>
      </c>
      <c r="AIJ33">
        <v>44562</v>
      </c>
      <c r="AIK33">
        <v>44562</v>
      </c>
      <c r="AIL33">
        <v>44562</v>
      </c>
      <c r="AIM33">
        <v>44562</v>
      </c>
      <c r="AIN33">
        <v>44562</v>
      </c>
      <c r="AIO33">
        <v>44562</v>
      </c>
      <c r="AIP33">
        <v>44562</v>
      </c>
      <c r="AIQ33">
        <v>44562</v>
      </c>
      <c r="AIR33">
        <v>44562</v>
      </c>
      <c r="AIS33">
        <v>44562</v>
      </c>
      <c r="AIT33">
        <v>44562</v>
      </c>
      <c r="AIU33">
        <v>44562</v>
      </c>
      <c r="AIV33">
        <v>44562</v>
      </c>
      <c r="AIW33">
        <v>44562</v>
      </c>
      <c r="AIX33">
        <v>44562</v>
      </c>
      <c r="AIY33">
        <v>44562</v>
      </c>
      <c r="AIZ33">
        <v>44562</v>
      </c>
      <c r="AJA33">
        <v>44562</v>
      </c>
      <c r="AJB33">
        <v>44562</v>
      </c>
      <c r="AJC33">
        <v>44562</v>
      </c>
      <c r="AJD33">
        <v>44562</v>
      </c>
      <c r="AJE33">
        <v>44562</v>
      </c>
      <c r="AJF33">
        <v>44562</v>
      </c>
      <c r="AJG33">
        <v>44562</v>
      </c>
      <c r="AJH33">
        <v>44562</v>
      </c>
      <c r="AJI33">
        <v>44562</v>
      </c>
      <c r="AJJ33">
        <v>44562</v>
      </c>
      <c r="AJK33">
        <v>44562</v>
      </c>
      <c r="AJL33">
        <v>44562</v>
      </c>
      <c r="AJM33">
        <v>44562</v>
      </c>
      <c r="AJN33">
        <v>44562</v>
      </c>
      <c r="AJO33">
        <v>44562</v>
      </c>
      <c r="AJP33">
        <v>44562</v>
      </c>
      <c r="AJQ33">
        <v>44562</v>
      </c>
      <c r="AJR33">
        <v>41000</v>
      </c>
      <c r="AJS33">
        <v>41275</v>
      </c>
      <c r="AJT33">
        <v>41640</v>
      </c>
      <c r="AJU33">
        <v>42005</v>
      </c>
      <c r="AJV33">
        <v>42370</v>
      </c>
      <c r="AJW33">
        <v>42736</v>
      </c>
      <c r="AJX33">
        <v>43101</v>
      </c>
      <c r="AJY33">
        <v>43466</v>
      </c>
      <c r="AJZ33">
        <v>43831</v>
      </c>
      <c r="AKA33">
        <v>41640</v>
      </c>
      <c r="AKB33">
        <v>42005</v>
      </c>
      <c r="AKC33">
        <v>42370</v>
      </c>
      <c r="AKD33">
        <v>42736</v>
      </c>
      <c r="AKE33">
        <v>43101</v>
      </c>
      <c r="AKF33">
        <v>43466</v>
      </c>
      <c r="AKG33">
        <v>43831</v>
      </c>
      <c r="AKH33">
        <v>44743</v>
      </c>
      <c r="AKI33">
        <v>44927</v>
      </c>
      <c r="AKJ33">
        <v>42927</v>
      </c>
      <c r="AKK33">
        <v>43282</v>
      </c>
      <c r="AKL33">
        <v>43647</v>
      </c>
      <c r="AKM33">
        <v>44013</v>
      </c>
      <c r="AKS33">
        <v>44197</v>
      </c>
      <c r="AKT33">
        <v>44197</v>
      </c>
    </row>
    <row r="34" spans="1:985" ht="14.4" customHeight="1" x14ac:dyDescent="0.55000000000000004">
      <c r="A34" t="s">
        <v>36</v>
      </c>
      <c r="B34" t="s">
        <v>620</v>
      </c>
      <c r="C34" s="1" t="s">
        <v>717</v>
      </c>
      <c r="D34">
        <v>41851</v>
      </c>
      <c r="E34">
        <v>41851</v>
      </c>
      <c r="F34">
        <v>41851</v>
      </c>
      <c r="G34">
        <v>41851</v>
      </c>
      <c r="H34">
        <v>42216</v>
      </c>
      <c r="I34">
        <v>42216</v>
      </c>
      <c r="J34">
        <v>42216</v>
      </c>
      <c r="K34">
        <v>42216</v>
      </c>
      <c r="L34">
        <v>42216</v>
      </c>
      <c r="M34">
        <v>42582</v>
      </c>
      <c r="N34">
        <v>42582</v>
      </c>
      <c r="O34">
        <v>42582</v>
      </c>
      <c r="P34">
        <v>42582</v>
      </c>
      <c r="Q34">
        <v>42582</v>
      </c>
      <c r="R34">
        <v>42582</v>
      </c>
      <c r="S34">
        <v>42582</v>
      </c>
      <c r="T34">
        <v>42947</v>
      </c>
      <c r="U34">
        <v>42947</v>
      </c>
      <c r="V34">
        <v>42947</v>
      </c>
      <c r="W34">
        <v>42947</v>
      </c>
      <c r="X34">
        <v>42947</v>
      </c>
      <c r="Y34">
        <v>42947</v>
      </c>
      <c r="Z34">
        <v>42947</v>
      </c>
      <c r="AA34">
        <v>42947</v>
      </c>
      <c r="AB34">
        <v>43312</v>
      </c>
      <c r="AC34">
        <v>43312</v>
      </c>
      <c r="AD34">
        <v>43312</v>
      </c>
      <c r="AE34">
        <v>43312</v>
      </c>
      <c r="AF34">
        <v>43312</v>
      </c>
      <c r="AG34">
        <v>43312</v>
      </c>
      <c r="AH34">
        <v>43312</v>
      </c>
      <c r="AI34">
        <v>43312</v>
      </c>
      <c r="AJ34">
        <v>43860</v>
      </c>
      <c r="AK34">
        <v>43860</v>
      </c>
      <c r="AL34">
        <v>43860</v>
      </c>
      <c r="AM34">
        <v>43860</v>
      </c>
      <c r="AN34">
        <v>43860</v>
      </c>
      <c r="AO34">
        <v>43860</v>
      </c>
      <c r="AP34">
        <v>43860</v>
      </c>
      <c r="AQ34">
        <v>43860</v>
      </c>
      <c r="AR34">
        <v>43860</v>
      </c>
      <c r="AS34">
        <v>44196</v>
      </c>
      <c r="AT34">
        <v>44196</v>
      </c>
      <c r="AU34">
        <v>44196</v>
      </c>
      <c r="AV34">
        <v>44196</v>
      </c>
      <c r="AW34">
        <v>44196</v>
      </c>
      <c r="AX34">
        <v>44196</v>
      </c>
      <c r="AY34">
        <v>44196</v>
      </c>
      <c r="AZ34">
        <v>44196</v>
      </c>
      <c r="BA34">
        <v>44561</v>
      </c>
      <c r="BB34">
        <v>44561</v>
      </c>
      <c r="BC34">
        <v>44561</v>
      </c>
      <c r="BD34">
        <v>44561</v>
      </c>
      <c r="BE34">
        <v>44561</v>
      </c>
      <c r="BF34">
        <v>44561</v>
      </c>
      <c r="BG34">
        <v>41121</v>
      </c>
      <c r="BH34">
        <v>41486</v>
      </c>
      <c r="BI34">
        <v>41851</v>
      </c>
      <c r="BJ34">
        <v>42216</v>
      </c>
      <c r="BK34">
        <v>42582</v>
      </c>
      <c r="BL34">
        <v>42947</v>
      </c>
      <c r="BM34">
        <v>43446</v>
      </c>
      <c r="BN34">
        <v>43677</v>
      </c>
      <c r="BO34">
        <v>44195</v>
      </c>
      <c r="BP34">
        <v>44561</v>
      </c>
      <c r="BQ34">
        <v>41121</v>
      </c>
      <c r="BR34">
        <v>41486</v>
      </c>
      <c r="BS34">
        <v>41851</v>
      </c>
      <c r="BT34">
        <v>42216</v>
      </c>
      <c r="BU34">
        <v>42582</v>
      </c>
      <c r="BV34">
        <v>42947</v>
      </c>
      <c r="BW34">
        <v>43446</v>
      </c>
      <c r="BX34">
        <v>43677</v>
      </c>
      <c r="BY34">
        <v>44196</v>
      </c>
      <c r="BZ34">
        <v>44561</v>
      </c>
      <c r="CA34">
        <v>41430</v>
      </c>
      <c r="CB34">
        <v>41430</v>
      </c>
      <c r="CC34">
        <v>41430</v>
      </c>
      <c r="CD34">
        <v>41430</v>
      </c>
      <c r="CE34">
        <v>41430</v>
      </c>
      <c r="CF34">
        <v>41430</v>
      </c>
      <c r="CG34">
        <v>41430</v>
      </c>
      <c r="CH34">
        <v>41430</v>
      </c>
      <c r="CI34">
        <v>41430</v>
      </c>
      <c r="CJ34">
        <v>41430</v>
      </c>
      <c r="CK34">
        <v>41430</v>
      </c>
      <c r="CL34">
        <v>41430</v>
      </c>
      <c r="CM34">
        <v>41430</v>
      </c>
      <c r="CN34">
        <v>41430</v>
      </c>
      <c r="CO34">
        <v>41430</v>
      </c>
      <c r="CP34">
        <v>41430</v>
      </c>
      <c r="CQ34">
        <v>41430</v>
      </c>
      <c r="CR34">
        <v>41430</v>
      </c>
      <c r="CS34">
        <v>41430</v>
      </c>
      <c r="CT34">
        <v>41430</v>
      </c>
      <c r="CU34">
        <v>41430</v>
      </c>
      <c r="CV34">
        <v>41430</v>
      </c>
      <c r="CW34">
        <v>41430</v>
      </c>
      <c r="CX34">
        <v>41430</v>
      </c>
      <c r="CY34">
        <v>41430</v>
      </c>
      <c r="CZ34">
        <v>41430</v>
      </c>
      <c r="DA34">
        <v>41430</v>
      </c>
      <c r="DB34">
        <v>41430</v>
      </c>
      <c r="DC34">
        <v>41430</v>
      </c>
      <c r="DD34">
        <v>41430</v>
      </c>
      <c r="DE34">
        <v>41430</v>
      </c>
      <c r="DF34">
        <v>41430</v>
      </c>
      <c r="DG34">
        <v>41430</v>
      </c>
      <c r="DH34">
        <v>41430</v>
      </c>
      <c r="DI34">
        <v>41430</v>
      </c>
      <c r="DJ34">
        <v>41430</v>
      </c>
      <c r="DK34">
        <v>41430</v>
      </c>
      <c r="DL34">
        <v>41430</v>
      </c>
      <c r="DM34">
        <v>41430</v>
      </c>
      <c r="DN34">
        <v>41430</v>
      </c>
      <c r="DO34">
        <v>41430</v>
      </c>
      <c r="DP34">
        <v>41430</v>
      </c>
      <c r="DQ34">
        <v>41430</v>
      </c>
      <c r="DR34">
        <v>41430</v>
      </c>
      <c r="DS34">
        <v>41430</v>
      </c>
      <c r="DT34">
        <v>41430</v>
      </c>
      <c r="DU34">
        <v>41430</v>
      </c>
      <c r="DV34">
        <v>41430</v>
      </c>
      <c r="DW34">
        <v>41430</v>
      </c>
      <c r="DX34">
        <v>41430</v>
      </c>
      <c r="DY34">
        <v>41430</v>
      </c>
      <c r="DZ34">
        <v>41430</v>
      </c>
      <c r="EA34">
        <v>41430</v>
      </c>
      <c r="EB34">
        <v>41698</v>
      </c>
      <c r="EC34">
        <v>41698</v>
      </c>
      <c r="ED34">
        <v>41698</v>
      </c>
      <c r="EE34">
        <v>41698</v>
      </c>
      <c r="EF34">
        <v>41698</v>
      </c>
      <c r="EG34">
        <v>41698</v>
      </c>
      <c r="EH34">
        <v>41698</v>
      </c>
      <c r="EI34">
        <v>41698</v>
      </c>
      <c r="EJ34">
        <v>41698</v>
      </c>
      <c r="EK34">
        <v>41698</v>
      </c>
      <c r="EL34">
        <v>41698</v>
      </c>
      <c r="EM34">
        <v>41698</v>
      </c>
      <c r="EN34">
        <v>41698</v>
      </c>
      <c r="EO34">
        <v>41698</v>
      </c>
      <c r="EP34">
        <v>41698</v>
      </c>
      <c r="EQ34">
        <v>41698</v>
      </c>
      <c r="ER34">
        <v>41698</v>
      </c>
      <c r="ES34">
        <v>41698</v>
      </c>
      <c r="ET34">
        <v>41698</v>
      </c>
      <c r="EU34">
        <v>41698</v>
      </c>
      <c r="EV34">
        <v>41698</v>
      </c>
      <c r="EW34">
        <v>41698</v>
      </c>
      <c r="EX34">
        <v>41698</v>
      </c>
      <c r="EY34">
        <v>41698</v>
      </c>
      <c r="EZ34">
        <v>41698</v>
      </c>
      <c r="FA34">
        <v>41698</v>
      </c>
      <c r="FB34">
        <v>41698</v>
      </c>
      <c r="FC34">
        <v>41698</v>
      </c>
      <c r="FD34">
        <v>41698</v>
      </c>
      <c r="FE34">
        <v>41698</v>
      </c>
      <c r="FF34">
        <v>41698</v>
      </c>
      <c r="FG34">
        <v>41698</v>
      </c>
      <c r="FH34">
        <v>41698</v>
      </c>
      <c r="FI34">
        <v>41698</v>
      </c>
      <c r="FJ34">
        <v>41698</v>
      </c>
      <c r="FK34">
        <v>41698</v>
      </c>
      <c r="FL34">
        <v>41698</v>
      </c>
      <c r="FM34">
        <v>41698</v>
      </c>
      <c r="FN34">
        <v>41698</v>
      </c>
      <c r="FO34">
        <v>41698</v>
      </c>
      <c r="FP34">
        <v>41698</v>
      </c>
      <c r="FQ34">
        <v>41698</v>
      </c>
      <c r="FR34">
        <v>41698</v>
      </c>
      <c r="FS34">
        <v>41698</v>
      </c>
      <c r="FT34">
        <v>41698</v>
      </c>
      <c r="FU34">
        <v>41698</v>
      </c>
      <c r="FV34">
        <v>41698</v>
      </c>
      <c r="FW34">
        <v>41698</v>
      </c>
      <c r="FX34">
        <v>41698</v>
      </c>
      <c r="FY34">
        <v>41698</v>
      </c>
      <c r="FZ34">
        <v>41698</v>
      </c>
      <c r="GA34">
        <v>41698</v>
      </c>
      <c r="GB34">
        <v>41698</v>
      </c>
      <c r="GC34">
        <v>42004</v>
      </c>
      <c r="GD34">
        <v>42004</v>
      </c>
      <c r="GE34">
        <v>42004</v>
      </c>
      <c r="GF34">
        <v>42004</v>
      </c>
      <c r="GG34">
        <v>42004</v>
      </c>
      <c r="GH34">
        <v>42004</v>
      </c>
      <c r="GI34">
        <v>42004</v>
      </c>
      <c r="GJ34">
        <v>42004</v>
      </c>
      <c r="GK34">
        <v>42004</v>
      </c>
      <c r="GL34">
        <v>42004</v>
      </c>
      <c r="GM34">
        <v>42004</v>
      </c>
      <c r="GN34">
        <v>42004</v>
      </c>
      <c r="GO34">
        <v>42004</v>
      </c>
      <c r="GP34">
        <v>42004</v>
      </c>
      <c r="GQ34">
        <v>42004</v>
      </c>
      <c r="GR34">
        <v>42004</v>
      </c>
      <c r="GS34">
        <v>42004</v>
      </c>
      <c r="GT34">
        <v>42004</v>
      </c>
      <c r="GU34">
        <v>42004</v>
      </c>
      <c r="GV34">
        <v>42004</v>
      </c>
      <c r="GW34">
        <v>42004</v>
      </c>
      <c r="GX34">
        <v>42004</v>
      </c>
      <c r="GY34">
        <v>42004</v>
      </c>
      <c r="GZ34">
        <v>42004</v>
      </c>
      <c r="HA34">
        <v>42004</v>
      </c>
      <c r="HB34">
        <v>42004</v>
      </c>
      <c r="HC34">
        <v>42004</v>
      </c>
      <c r="HD34">
        <v>42004</v>
      </c>
      <c r="HE34">
        <v>42004</v>
      </c>
      <c r="HF34">
        <v>42004</v>
      </c>
      <c r="HG34">
        <v>42004</v>
      </c>
      <c r="HH34">
        <v>42004</v>
      </c>
      <c r="HI34">
        <v>42004</v>
      </c>
      <c r="HJ34">
        <v>42004</v>
      </c>
      <c r="HK34">
        <v>42004</v>
      </c>
      <c r="HL34">
        <v>42004</v>
      </c>
      <c r="HM34">
        <v>42004</v>
      </c>
      <c r="HN34">
        <v>42004</v>
      </c>
      <c r="HO34">
        <v>42004</v>
      </c>
      <c r="HP34">
        <v>42004</v>
      </c>
      <c r="HQ34">
        <v>42004</v>
      </c>
      <c r="HR34">
        <v>42004</v>
      </c>
      <c r="HS34">
        <v>42004</v>
      </c>
      <c r="HT34">
        <v>42004</v>
      </c>
      <c r="HU34">
        <v>42004</v>
      </c>
      <c r="HV34">
        <v>42004</v>
      </c>
      <c r="HW34">
        <v>42004</v>
      </c>
      <c r="HX34">
        <v>42004</v>
      </c>
      <c r="HY34">
        <v>42004</v>
      </c>
      <c r="HZ34">
        <v>42004</v>
      </c>
      <c r="IA34">
        <v>42004</v>
      </c>
      <c r="IB34">
        <v>42004</v>
      </c>
      <c r="IC34">
        <v>42004</v>
      </c>
      <c r="ID34">
        <v>42004</v>
      </c>
      <c r="IE34">
        <v>42004</v>
      </c>
      <c r="IF34">
        <v>42004</v>
      </c>
      <c r="IG34">
        <v>42004</v>
      </c>
      <c r="IH34">
        <v>42004</v>
      </c>
      <c r="II34">
        <v>42004</v>
      </c>
      <c r="IJ34">
        <v>42004</v>
      </c>
      <c r="IK34">
        <v>42004</v>
      </c>
      <c r="IL34">
        <v>42004</v>
      </c>
      <c r="IM34">
        <v>42004</v>
      </c>
      <c r="IN34">
        <v>42004</v>
      </c>
      <c r="IO34">
        <v>42004</v>
      </c>
      <c r="IP34">
        <v>42004</v>
      </c>
      <c r="IQ34">
        <v>42004</v>
      </c>
      <c r="IR34">
        <v>42004</v>
      </c>
      <c r="IS34">
        <v>42004</v>
      </c>
      <c r="IT34">
        <v>42004</v>
      </c>
      <c r="IU34">
        <v>42004</v>
      </c>
      <c r="IV34">
        <v>42004</v>
      </c>
      <c r="IW34">
        <v>42004</v>
      </c>
      <c r="IX34">
        <v>42369</v>
      </c>
      <c r="IY34">
        <v>42369</v>
      </c>
      <c r="IZ34">
        <v>42369</v>
      </c>
      <c r="JA34">
        <v>42369</v>
      </c>
      <c r="JB34">
        <v>42369</v>
      </c>
      <c r="JC34">
        <v>42369</v>
      </c>
      <c r="JD34">
        <v>42369</v>
      </c>
      <c r="JE34">
        <v>42369</v>
      </c>
      <c r="JF34">
        <v>42369</v>
      </c>
      <c r="JG34">
        <v>42369</v>
      </c>
      <c r="JH34">
        <v>42369</v>
      </c>
      <c r="JI34">
        <v>42369</v>
      </c>
      <c r="JJ34">
        <v>42369</v>
      </c>
      <c r="JK34">
        <v>42369</v>
      </c>
      <c r="JL34">
        <v>42369</v>
      </c>
      <c r="JM34">
        <v>42369</v>
      </c>
      <c r="JN34">
        <v>42369</v>
      </c>
      <c r="JO34">
        <v>42369</v>
      </c>
      <c r="JP34">
        <v>42369</v>
      </c>
      <c r="JQ34">
        <v>42369</v>
      </c>
      <c r="JR34">
        <v>42369</v>
      </c>
      <c r="JS34">
        <v>42369</v>
      </c>
      <c r="JT34">
        <v>42369</v>
      </c>
      <c r="JU34">
        <v>42369</v>
      </c>
      <c r="JV34">
        <v>42369</v>
      </c>
      <c r="JW34">
        <v>42369</v>
      </c>
      <c r="JX34">
        <v>42369</v>
      </c>
      <c r="JY34">
        <v>42369</v>
      </c>
      <c r="JZ34">
        <v>42369</v>
      </c>
      <c r="KA34">
        <v>42369</v>
      </c>
      <c r="KB34">
        <v>42369</v>
      </c>
      <c r="KC34">
        <v>42369</v>
      </c>
      <c r="KD34">
        <v>42369</v>
      </c>
      <c r="KE34">
        <v>42369</v>
      </c>
      <c r="KF34">
        <v>42369</v>
      </c>
      <c r="KG34">
        <v>42369</v>
      </c>
      <c r="KH34">
        <v>42369</v>
      </c>
      <c r="KI34">
        <v>42369</v>
      </c>
      <c r="KJ34">
        <v>42369</v>
      </c>
      <c r="KK34">
        <v>42369</v>
      </c>
      <c r="KL34">
        <v>42369</v>
      </c>
      <c r="KM34">
        <v>42369</v>
      </c>
      <c r="KN34">
        <v>42369</v>
      </c>
      <c r="KO34">
        <v>42369</v>
      </c>
      <c r="KP34">
        <v>42369</v>
      </c>
      <c r="KQ34">
        <v>42369</v>
      </c>
      <c r="KR34">
        <v>42369</v>
      </c>
      <c r="KS34">
        <v>42369</v>
      </c>
      <c r="KT34">
        <v>42369</v>
      </c>
      <c r="KU34">
        <v>42369</v>
      </c>
      <c r="KV34">
        <v>42369</v>
      </c>
      <c r="KW34">
        <v>42369</v>
      </c>
      <c r="KX34">
        <v>42369</v>
      </c>
      <c r="KY34">
        <v>42369</v>
      </c>
      <c r="KZ34">
        <v>42369</v>
      </c>
      <c r="LA34">
        <v>42369</v>
      </c>
      <c r="LB34">
        <v>42369</v>
      </c>
      <c r="LC34">
        <v>42369</v>
      </c>
      <c r="LD34">
        <v>42369</v>
      </c>
      <c r="LE34">
        <v>42369</v>
      </c>
      <c r="LF34">
        <v>42369</v>
      </c>
      <c r="LG34">
        <v>42369</v>
      </c>
      <c r="LH34">
        <v>42369</v>
      </c>
      <c r="LI34">
        <v>42369</v>
      </c>
      <c r="LJ34">
        <v>42369</v>
      </c>
      <c r="LK34">
        <v>42369</v>
      </c>
      <c r="LL34">
        <v>42369</v>
      </c>
      <c r="LM34">
        <v>42369</v>
      </c>
      <c r="LN34">
        <v>42369</v>
      </c>
      <c r="LO34">
        <v>42369</v>
      </c>
      <c r="LP34">
        <v>42369</v>
      </c>
      <c r="LQ34">
        <v>42369</v>
      </c>
      <c r="LR34">
        <v>42369</v>
      </c>
      <c r="LS34">
        <v>42369</v>
      </c>
      <c r="LT34">
        <v>42369</v>
      </c>
      <c r="LU34">
        <v>42369</v>
      </c>
      <c r="LV34">
        <v>42369</v>
      </c>
      <c r="LW34">
        <v>42369</v>
      </c>
      <c r="LX34">
        <v>42369</v>
      </c>
      <c r="LY34">
        <v>42369</v>
      </c>
      <c r="LZ34">
        <v>42369</v>
      </c>
      <c r="MA34">
        <v>42369</v>
      </c>
      <c r="MB34">
        <v>42369</v>
      </c>
      <c r="MC34">
        <v>42369</v>
      </c>
      <c r="MD34">
        <v>42369</v>
      </c>
      <c r="ME34">
        <v>42369</v>
      </c>
      <c r="MF34">
        <v>42369</v>
      </c>
      <c r="MG34">
        <v>42735</v>
      </c>
      <c r="MH34">
        <v>42735</v>
      </c>
      <c r="MI34">
        <v>42735</v>
      </c>
      <c r="MJ34">
        <v>42735</v>
      </c>
      <c r="MK34">
        <v>42735</v>
      </c>
      <c r="ML34">
        <v>42735</v>
      </c>
      <c r="MM34">
        <v>42735</v>
      </c>
      <c r="MN34">
        <v>42735</v>
      </c>
      <c r="MO34">
        <v>42735</v>
      </c>
      <c r="MP34">
        <v>42735</v>
      </c>
      <c r="MQ34">
        <v>42735</v>
      </c>
      <c r="MR34">
        <v>42735</v>
      </c>
      <c r="MS34">
        <v>42735</v>
      </c>
      <c r="MT34">
        <v>42735</v>
      </c>
      <c r="MU34">
        <v>42735</v>
      </c>
      <c r="MV34">
        <v>42735</v>
      </c>
      <c r="MW34">
        <v>42735</v>
      </c>
      <c r="MX34">
        <v>42735</v>
      </c>
      <c r="MY34">
        <v>42735</v>
      </c>
      <c r="MZ34">
        <v>42735</v>
      </c>
      <c r="NA34">
        <v>42735</v>
      </c>
      <c r="NB34">
        <v>42735</v>
      </c>
      <c r="NC34">
        <v>42735</v>
      </c>
      <c r="ND34">
        <v>42735</v>
      </c>
      <c r="NE34">
        <v>42735</v>
      </c>
      <c r="NF34">
        <v>42735</v>
      </c>
      <c r="NG34">
        <v>42735</v>
      </c>
      <c r="NH34">
        <v>42735</v>
      </c>
      <c r="NI34">
        <v>42735</v>
      </c>
      <c r="NJ34">
        <v>42735</v>
      </c>
      <c r="NK34">
        <v>42735</v>
      </c>
      <c r="NL34">
        <v>42735</v>
      </c>
      <c r="NM34">
        <v>42735</v>
      </c>
      <c r="NN34">
        <v>42735</v>
      </c>
      <c r="NO34">
        <v>42735</v>
      </c>
      <c r="NP34">
        <v>42735</v>
      </c>
      <c r="NQ34">
        <v>42735</v>
      </c>
      <c r="NR34">
        <v>42735</v>
      </c>
      <c r="NS34">
        <v>42735</v>
      </c>
      <c r="NT34">
        <v>42735</v>
      </c>
      <c r="NU34">
        <v>42735</v>
      </c>
      <c r="NV34">
        <v>42735</v>
      </c>
      <c r="NW34">
        <v>42735</v>
      </c>
      <c r="NX34">
        <v>42735</v>
      </c>
      <c r="NY34">
        <v>42735</v>
      </c>
      <c r="NZ34">
        <v>42735</v>
      </c>
      <c r="OA34">
        <v>42735</v>
      </c>
      <c r="OB34">
        <v>42735</v>
      </c>
      <c r="OC34">
        <v>42735</v>
      </c>
      <c r="OD34">
        <v>42735</v>
      </c>
      <c r="OE34">
        <v>42735</v>
      </c>
      <c r="OF34">
        <v>42735</v>
      </c>
      <c r="OG34">
        <v>42735</v>
      </c>
      <c r="OH34">
        <v>42735</v>
      </c>
      <c r="OI34">
        <v>42735</v>
      </c>
      <c r="OJ34">
        <v>42735</v>
      </c>
      <c r="OK34">
        <v>42735</v>
      </c>
      <c r="OL34">
        <v>42735</v>
      </c>
      <c r="OM34">
        <v>42735</v>
      </c>
      <c r="ON34">
        <v>42735</v>
      </c>
      <c r="OO34">
        <v>42735</v>
      </c>
      <c r="OP34">
        <v>42735</v>
      </c>
      <c r="OQ34">
        <v>42735</v>
      </c>
      <c r="OR34">
        <v>42735</v>
      </c>
      <c r="OS34">
        <v>42735</v>
      </c>
      <c r="OT34">
        <v>42735</v>
      </c>
      <c r="OU34">
        <v>42735</v>
      </c>
      <c r="OV34">
        <v>42735</v>
      </c>
      <c r="OW34">
        <v>42735</v>
      </c>
      <c r="OX34">
        <v>42735</v>
      </c>
      <c r="OY34">
        <v>42735</v>
      </c>
      <c r="OZ34">
        <v>42735</v>
      </c>
      <c r="PA34">
        <v>42735</v>
      </c>
      <c r="PB34">
        <v>42735</v>
      </c>
      <c r="PC34">
        <v>42735</v>
      </c>
      <c r="PD34">
        <v>42735</v>
      </c>
      <c r="PE34">
        <v>42735</v>
      </c>
      <c r="PF34">
        <v>42735</v>
      </c>
      <c r="PG34">
        <v>42735</v>
      </c>
      <c r="PH34">
        <v>42735</v>
      </c>
      <c r="PI34">
        <v>42735</v>
      </c>
      <c r="PJ34">
        <v>42735</v>
      </c>
      <c r="PK34">
        <v>42735</v>
      </c>
      <c r="PL34">
        <v>42735</v>
      </c>
      <c r="PM34">
        <v>42735</v>
      </c>
      <c r="PN34">
        <v>42735</v>
      </c>
      <c r="PO34">
        <v>42735</v>
      </c>
      <c r="PP34">
        <v>43100</v>
      </c>
      <c r="PQ34">
        <v>43100</v>
      </c>
      <c r="PR34">
        <v>43100</v>
      </c>
      <c r="PS34">
        <v>43100</v>
      </c>
      <c r="PT34">
        <v>43100</v>
      </c>
      <c r="PU34">
        <v>43100</v>
      </c>
      <c r="PV34">
        <v>43100</v>
      </c>
      <c r="PW34">
        <v>43100</v>
      </c>
      <c r="PX34">
        <v>43100</v>
      </c>
      <c r="PY34">
        <v>43100</v>
      </c>
      <c r="PZ34">
        <v>43100</v>
      </c>
      <c r="QA34">
        <v>43100</v>
      </c>
      <c r="QB34">
        <v>43100</v>
      </c>
      <c r="QC34">
        <v>43100</v>
      </c>
      <c r="QD34">
        <v>43100</v>
      </c>
      <c r="QE34">
        <v>43100</v>
      </c>
      <c r="QF34">
        <v>43100</v>
      </c>
      <c r="QG34">
        <v>43100</v>
      </c>
      <c r="QH34">
        <v>43100</v>
      </c>
      <c r="QI34">
        <v>43100</v>
      </c>
      <c r="QJ34">
        <v>43100</v>
      </c>
      <c r="QK34">
        <v>43100</v>
      </c>
      <c r="QL34">
        <v>43100</v>
      </c>
      <c r="QM34">
        <v>43100</v>
      </c>
      <c r="QN34">
        <v>43100</v>
      </c>
      <c r="QO34">
        <v>43100</v>
      </c>
      <c r="QP34">
        <v>43100</v>
      </c>
      <c r="QQ34">
        <v>43100</v>
      </c>
      <c r="QR34">
        <v>43100</v>
      </c>
      <c r="QS34">
        <v>43100</v>
      </c>
      <c r="QT34">
        <v>43100</v>
      </c>
      <c r="QU34">
        <v>43100</v>
      </c>
      <c r="QV34">
        <v>43100</v>
      </c>
      <c r="QW34">
        <v>43100</v>
      </c>
      <c r="QX34">
        <v>43100</v>
      </c>
      <c r="QY34">
        <v>43100</v>
      </c>
      <c r="QZ34">
        <v>43100</v>
      </c>
      <c r="RA34">
        <v>43100</v>
      </c>
      <c r="RB34">
        <v>43100</v>
      </c>
      <c r="RC34">
        <v>43100</v>
      </c>
      <c r="RD34">
        <v>43100</v>
      </c>
      <c r="RE34">
        <v>43100</v>
      </c>
      <c r="RF34">
        <v>43100</v>
      </c>
      <c r="RG34">
        <v>43100</v>
      </c>
      <c r="RH34">
        <v>43100</v>
      </c>
      <c r="RI34">
        <v>43100</v>
      </c>
      <c r="RJ34">
        <v>43100</v>
      </c>
      <c r="RK34">
        <v>43100</v>
      </c>
      <c r="RL34">
        <v>43100</v>
      </c>
      <c r="RM34">
        <v>43100</v>
      </c>
      <c r="RN34">
        <v>43100</v>
      </c>
      <c r="RO34">
        <v>43100</v>
      </c>
      <c r="RP34">
        <v>43100</v>
      </c>
      <c r="RQ34">
        <v>43100</v>
      </c>
      <c r="RR34">
        <v>43100</v>
      </c>
      <c r="RS34">
        <v>43100</v>
      </c>
      <c r="RT34">
        <v>43100</v>
      </c>
      <c r="RU34">
        <v>43100</v>
      </c>
      <c r="RV34">
        <v>43100</v>
      </c>
      <c r="RW34">
        <v>43100</v>
      </c>
      <c r="RX34">
        <v>43100</v>
      </c>
      <c r="RY34">
        <v>43100</v>
      </c>
      <c r="RZ34">
        <v>43100</v>
      </c>
      <c r="SA34">
        <v>43100</v>
      </c>
      <c r="SB34">
        <v>43100</v>
      </c>
      <c r="SC34">
        <v>43100</v>
      </c>
      <c r="SD34">
        <v>43100</v>
      </c>
      <c r="SE34">
        <v>43100</v>
      </c>
      <c r="SF34">
        <v>43100</v>
      </c>
      <c r="SG34">
        <v>43100</v>
      </c>
      <c r="SH34">
        <v>43100</v>
      </c>
      <c r="SI34">
        <v>43100</v>
      </c>
      <c r="SJ34">
        <v>43100</v>
      </c>
      <c r="SK34">
        <v>43100</v>
      </c>
      <c r="SL34">
        <v>43100</v>
      </c>
      <c r="SM34">
        <v>43100</v>
      </c>
      <c r="SN34">
        <v>43100</v>
      </c>
      <c r="SO34">
        <v>43100</v>
      </c>
      <c r="SP34">
        <v>43100</v>
      </c>
      <c r="SQ34">
        <v>43100</v>
      </c>
      <c r="SR34">
        <v>43100</v>
      </c>
      <c r="SS34">
        <v>43100</v>
      </c>
      <c r="ST34">
        <v>43100</v>
      </c>
      <c r="SU34">
        <v>43100</v>
      </c>
      <c r="SV34">
        <v>43100</v>
      </c>
      <c r="SW34">
        <v>43100</v>
      </c>
      <c r="SX34">
        <v>43100</v>
      </c>
      <c r="SY34">
        <v>43465</v>
      </c>
      <c r="SZ34">
        <v>43465</v>
      </c>
      <c r="TA34">
        <v>43465</v>
      </c>
      <c r="TB34">
        <v>43465</v>
      </c>
      <c r="TC34">
        <v>43465</v>
      </c>
      <c r="TD34">
        <v>43465</v>
      </c>
      <c r="TE34">
        <v>43465</v>
      </c>
      <c r="TF34">
        <v>43465</v>
      </c>
      <c r="TG34">
        <v>43465</v>
      </c>
      <c r="TH34">
        <v>43465</v>
      </c>
      <c r="TI34">
        <v>43465</v>
      </c>
      <c r="TJ34">
        <v>43465</v>
      </c>
      <c r="TK34">
        <v>43465</v>
      </c>
      <c r="TL34">
        <v>43465</v>
      </c>
      <c r="TM34">
        <v>43465</v>
      </c>
      <c r="TN34">
        <v>43465</v>
      </c>
      <c r="TO34">
        <v>43465</v>
      </c>
      <c r="TP34">
        <v>43465</v>
      </c>
      <c r="TQ34">
        <v>43465</v>
      </c>
      <c r="TR34">
        <v>43465</v>
      </c>
      <c r="TS34">
        <v>43465</v>
      </c>
      <c r="TT34">
        <v>43465</v>
      </c>
      <c r="TU34">
        <v>43465</v>
      </c>
      <c r="TV34">
        <v>43465</v>
      </c>
      <c r="TW34">
        <v>43465</v>
      </c>
      <c r="TX34">
        <v>43465</v>
      </c>
      <c r="TY34">
        <v>43465</v>
      </c>
      <c r="TZ34">
        <v>43465</v>
      </c>
      <c r="UA34">
        <v>43465</v>
      </c>
      <c r="UB34">
        <v>43465</v>
      </c>
      <c r="UC34">
        <v>43465</v>
      </c>
      <c r="UD34">
        <v>43465</v>
      </c>
      <c r="UE34">
        <v>43465</v>
      </c>
      <c r="UF34">
        <v>43465</v>
      </c>
      <c r="UG34">
        <v>43465</v>
      </c>
      <c r="UH34">
        <v>43465</v>
      </c>
      <c r="UI34">
        <v>43465</v>
      </c>
      <c r="UJ34">
        <v>43465</v>
      </c>
      <c r="UK34">
        <v>43465</v>
      </c>
      <c r="UL34">
        <v>43465</v>
      </c>
      <c r="UM34">
        <v>43465</v>
      </c>
      <c r="UN34">
        <v>43465</v>
      </c>
      <c r="UO34">
        <v>43465</v>
      </c>
      <c r="UP34">
        <v>43465</v>
      </c>
      <c r="UQ34">
        <v>43465</v>
      </c>
      <c r="UR34">
        <v>43465</v>
      </c>
      <c r="US34">
        <v>43465</v>
      </c>
      <c r="UT34">
        <v>43465</v>
      </c>
      <c r="UU34">
        <v>43465</v>
      </c>
      <c r="UV34">
        <v>43465</v>
      </c>
      <c r="UW34">
        <v>43465</v>
      </c>
      <c r="UX34">
        <v>43465</v>
      </c>
      <c r="UY34">
        <v>43465</v>
      </c>
      <c r="UZ34">
        <v>43465</v>
      </c>
      <c r="VA34">
        <v>43465</v>
      </c>
      <c r="VB34">
        <v>43465</v>
      </c>
      <c r="VC34">
        <v>43465</v>
      </c>
      <c r="VD34">
        <v>43465</v>
      </c>
      <c r="VE34">
        <v>43465</v>
      </c>
      <c r="VF34">
        <v>43465</v>
      </c>
      <c r="VG34">
        <v>43465</v>
      </c>
      <c r="VH34">
        <v>43465</v>
      </c>
      <c r="VI34">
        <v>43465</v>
      </c>
      <c r="VJ34">
        <v>43465</v>
      </c>
      <c r="VK34">
        <v>43465</v>
      </c>
      <c r="VL34">
        <v>43465</v>
      </c>
      <c r="VM34">
        <v>43465</v>
      </c>
      <c r="VN34">
        <v>43465</v>
      </c>
      <c r="VO34">
        <v>43465</v>
      </c>
      <c r="VP34">
        <v>43465</v>
      </c>
      <c r="VQ34">
        <v>43465</v>
      </c>
      <c r="VR34">
        <v>43465</v>
      </c>
      <c r="VS34">
        <v>43465</v>
      </c>
      <c r="VT34">
        <v>43465</v>
      </c>
      <c r="VU34">
        <v>43465</v>
      </c>
      <c r="VV34">
        <v>43465</v>
      </c>
      <c r="VW34">
        <v>43465</v>
      </c>
      <c r="VX34">
        <v>43465</v>
      </c>
      <c r="VY34">
        <v>43465</v>
      </c>
      <c r="VZ34">
        <v>43465</v>
      </c>
      <c r="WA34">
        <v>43465</v>
      </c>
      <c r="WB34">
        <v>43465</v>
      </c>
      <c r="WC34">
        <v>43465</v>
      </c>
      <c r="WD34">
        <v>43465</v>
      </c>
      <c r="WE34">
        <v>43465</v>
      </c>
      <c r="WF34">
        <v>43465</v>
      </c>
      <c r="WG34">
        <v>43465</v>
      </c>
      <c r="WH34">
        <v>43830</v>
      </c>
      <c r="WI34">
        <v>43830</v>
      </c>
      <c r="WJ34">
        <v>43830</v>
      </c>
      <c r="WK34">
        <v>43830</v>
      </c>
      <c r="WL34">
        <v>43830</v>
      </c>
      <c r="WM34">
        <v>43830</v>
      </c>
      <c r="WN34">
        <v>43830</v>
      </c>
      <c r="WO34">
        <v>43830</v>
      </c>
      <c r="WP34">
        <v>43830</v>
      </c>
      <c r="WQ34">
        <v>43830</v>
      </c>
      <c r="WR34">
        <v>43830</v>
      </c>
      <c r="WS34">
        <v>43830</v>
      </c>
      <c r="WT34">
        <v>43830</v>
      </c>
      <c r="WU34">
        <v>43830</v>
      </c>
      <c r="WV34">
        <v>43830</v>
      </c>
      <c r="WW34">
        <v>43830</v>
      </c>
      <c r="WX34">
        <v>43830</v>
      </c>
      <c r="WY34">
        <v>43830</v>
      </c>
      <c r="WZ34">
        <v>43830</v>
      </c>
      <c r="XA34">
        <v>43830</v>
      </c>
      <c r="XB34">
        <v>43830</v>
      </c>
      <c r="XC34">
        <v>43830</v>
      </c>
      <c r="XD34">
        <v>43830</v>
      </c>
      <c r="XE34">
        <v>43830</v>
      </c>
      <c r="XF34">
        <v>43830</v>
      </c>
      <c r="XG34">
        <v>43830</v>
      </c>
      <c r="XH34">
        <v>43830</v>
      </c>
      <c r="XI34">
        <v>43830</v>
      </c>
      <c r="XJ34">
        <v>43830</v>
      </c>
      <c r="XK34">
        <v>43830</v>
      </c>
      <c r="XL34">
        <v>43830</v>
      </c>
      <c r="XM34">
        <v>43830</v>
      </c>
      <c r="XN34">
        <v>43830</v>
      </c>
      <c r="XO34">
        <v>43830</v>
      </c>
      <c r="XP34">
        <v>43830</v>
      </c>
      <c r="XQ34">
        <v>43830</v>
      </c>
      <c r="XR34">
        <v>43830</v>
      </c>
      <c r="XS34">
        <v>43830</v>
      </c>
      <c r="XT34">
        <v>43830</v>
      </c>
      <c r="XU34">
        <v>43830</v>
      </c>
      <c r="XV34">
        <v>43830</v>
      </c>
      <c r="XW34">
        <v>43830</v>
      </c>
      <c r="XX34">
        <v>43830</v>
      </c>
      <c r="XY34">
        <v>43830</v>
      </c>
      <c r="XZ34">
        <v>43830</v>
      </c>
      <c r="YA34">
        <v>43830</v>
      </c>
      <c r="YB34">
        <v>43830</v>
      </c>
      <c r="YC34">
        <v>43830</v>
      </c>
      <c r="YD34">
        <v>43830</v>
      </c>
      <c r="YE34">
        <v>43830</v>
      </c>
      <c r="YF34">
        <v>43830</v>
      </c>
      <c r="YG34">
        <v>43830</v>
      </c>
      <c r="YH34">
        <v>43830</v>
      </c>
      <c r="YI34">
        <v>43830</v>
      </c>
      <c r="YJ34">
        <v>43830</v>
      </c>
      <c r="YK34">
        <v>43830</v>
      </c>
      <c r="YL34">
        <v>43830</v>
      </c>
      <c r="YM34">
        <v>43830</v>
      </c>
      <c r="YN34">
        <v>43830</v>
      </c>
      <c r="YO34">
        <v>43830</v>
      </c>
      <c r="YP34">
        <v>43830</v>
      </c>
      <c r="YQ34">
        <v>43830</v>
      </c>
      <c r="YR34">
        <v>43830</v>
      </c>
      <c r="YS34">
        <v>43830</v>
      </c>
      <c r="YT34">
        <v>43830</v>
      </c>
      <c r="YU34">
        <v>43830</v>
      </c>
      <c r="YV34">
        <v>43830</v>
      </c>
      <c r="YW34">
        <v>43830</v>
      </c>
      <c r="YX34">
        <v>43830</v>
      </c>
      <c r="YY34">
        <v>43830</v>
      </c>
      <c r="YZ34">
        <v>43830</v>
      </c>
      <c r="ZA34">
        <v>43830</v>
      </c>
      <c r="ZB34">
        <v>43830</v>
      </c>
      <c r="ZC34">
        <v>43830</v>
      </c>
      <c r="ZD34">
        <v>43830</v>
      </c>
      <c r="ZE34">
        <v>43830</v>
      </c>
      <c r="ZF34">
        <v>43830</v>
      </c>
      <c r="ZG34">
        <v>43830</v>
      </c>
      <c r="ZH34">
        <v>43830</v>
      </c>
      <c r="ZI34">
        <v>43830</v>
      </c>
      <c r="ZJ34">
        <v>43830</v>
      </c>
      <c r="ZK34">
        <v>43830</v>
      </c>
      <c r="ZL34">
        <v>43830</v>
      </c>
      <c r="ZM34">
        <v>43830</v>
      </c>
      <c r="ZN34">
        <v>43830</v>
      </c>
      <c r="ZO34">
        <v>43830</v>
      </c>
      <c r="ZP34">
        <v>43830</v>
      </c>
      <c r="ZQ34">
        <v>44196</v>
      </c>
      <c r="ZR34">
        <v>44196</v>
      </c>
      <c r="ZS34">
        <v>44196</v>
      </c>
      <c r="ZT34">
        <v>44196</v>
      </c>
      <c r="ZU34">
        <v>44196</v>
      </c>
      <c r="ZV34">
        <v>44196</v>
      </c>
      <c r="ZW34">
        <v>44196</v>
      </c>
      <c r="ZX34">
        <v>44196</v>
      </c>
      <c r="ZY34">
        <v>44196</v>
      </c>
      <c r="ZZ34">
        <v>44196</v>
      </c>
      <c r="AAA34">
        <v>44196</v>
      </c>
      <c r="AAB34">
        <v>44196</v>
      </c>
      <c r="AAC34">
        <v>44196</v>
      </c>
      <c r="AAD34">
        <v>44196</v>
      </c>
      <c r="AAE34">
        <v>44196</v>
      </c>
      <c r="AAF34">
        <v>44196</v>
      </c>
      <c r="AAG34">
        <v>44196</v>
      </c>
      <c r="AAH34">
        <v>44196</v>
      </c>
      <c r="AAI34">
        <v>44196</v>
      </c>
      <c r="AAJ34">
        <v>44196</v>
      </c>
      <c r="AAK34">
        <v>44196</v>
      </c>
      <c r="AAL34">
        <v>44196</v>
      </c>
      <c r="AAM34">
        <v>44196</v>
      </c>
      <c r="AAN34">
        <v>44196</v>
      </c>
      <c r="AAO34">
        <v>44196</v>
      </c>
      <c r="AAP34">
        <v>44196</v>
      </c>
      <c r="AAQ34">
        <v>44196</v>
      </c>
      <c r="AAR34">
        <v>44196</v>
      </c>
      <c r="AAS34">
        <v>44196</v>
      </c>
      <c r="AAT34">
        <v>44196</v>
      </c>
      <c r="AAU34">
        <v>44196</v>
      </c>
      <c r="AAV34">
        <v>44196</v>
      </c>
      <c r="AAW34">
        <v>44196</v>
      </c>
      <c r="AAX34">
        <v>44196</v>
      </c>
      <c r="AAY34">
        <v>44196</v>
      </c>
      <c r="AAZ34">
        <v>44196</v>
      </c>
      <c r="ABA34">
        <v>44196</v>
      </c>
      <c r="ABB34">
        <v>44196</v>
      </c>
      <c r="ABC34">
        <v>44196</v>
      </c>
      <c r="ABD34">
        <v>44196</v>
      </c>
      <c r="ABE34">
        <v>44196</v>
      </c>
      <c r="ABF34">
        <v>44196</v>
      </c>
      <c r="ABG34">
        <v>44196</v>
      </c>
      <c r="ABH34">
        <v>44196</v>
      </c>
      <c r="ABI34">
        <v>44196</v>
      </c>
      <c r="ABJ34">
        <v>44196</v>
      </c>
      <c r="ABK34">
        <v>44196</v>
      </c>
      <c r="ABL34">
        <v>44196</v>
      </c>
      <c r="ABM34">
        <v>44196</v>
      </c>
      <c r="ABN34">
        <v>44196</v>
      </c>
      <c r="ABO34">
        <v>44196</v>
      </c>
      <c r="ABP34">
        <v>44196</v>
      </c>
      <c r="ABQ34">
        <v>44196</v>
      </c>
      <c r="ABR34">
        <v>44196</v>
      </c>
      <c r="ABS34">
        <v>44196</v>
      </c>
      <c r="ABT34">
        <v>44196</v>
      </c>
      <c r="ABU34">
        <v>44196</v>
      </c>
      <c r="ABV34">
        <v>44196</v>
      </c>
      <c r="ABW34">
        <v>44196</v>
      </c>
      <c r="ABX34">
        <v>44196</v>
      </c>
      <c r="ABY34">
        <v>44196</v>
      </c>
      <c r="ABZ34">
        <v>44196</v>
      </c>
      <c r="ACA34">
        <v>44196</v>
      </c>
      <c r="ACB34">
        <v>44196</v>
      </c>
      <c r="ACC34">
        <v>44196</v>
      </c>
      <c r="ACD34">
        <v>44196</v>
      </c>
      <c r="ACE34">
        <v>44196</v>
      </c>
      <c r="ACF34">
        <v>44196</v>
      </c>
      <c r="ACG34">
        <v>44196</v>
      </c>
      <c r="ACH34">
        <v>44196</v>
      </c>
      <c r="ACI34">
        <v>44196</v>
      </c>
      <c r="ACJ34">
        <v>44196</v>
      </c>
      <c r="ACK34">
        <v>44196</v>
      </c>
      <c r="ACL34">
        <v>44196</v>
      </c>
      <c r="ACM34">
        <v>44196</v>
      </c>
      <c r="ACN34">
        <v>44196</v>
      </c>
      <c r="ACO34">
        <v>44196</v>
      </c>
      <c r="ACP34">
        <v>44196</v>
      </c>
      <c r="ACQ34">
        <v>44196</v>
      </c>
      <c r="ACR34">
        <v>44196</v>
      </c>
      <c r="ACS34">
        <v>44196</v>
      </c>
      <c r="ACT34">
        <v>44196</v>
      </c>
      <c r="ACU34">
        <v>44196</v>
      </c>
      <c r="ACV34">
        <v>44196</v>
      </c>
      <c r="ACW34">
        <v>44196</v>
      </c>
      <c r="ACX34">
        <v>44196</v>
      </c>
      <c r="ACY34">
        <v>44196</v>
      </c>
      <c r="ACZ34">
        <v>44561</v>
      </c>
      <c r="ADA34">
        <v>44561</v>
      </c>
      <c r="ADB34">
        <v>44561</v>
      </c>
      <c r="ADC34">
        <v>44561</v>
      </c>
      <c r="ADD34">
        <v>44561</v>
      </c>
      <c r="ADE34">
        <v>44561</v>
      </c>
      <c r="ADF34">
        <v>44561</v>
      </c>
      <c r="ADG34">
        <v>44561</v>
      </c>
      <c r="ADH34">
        <v>44561</v>
      </c>
      <c r="ADI34">
        <v>44561</v>
      </c>
      <c r="ADJ34">
        <v>44561</v>
      </c>
      <c r="ADK34">
        <v>44561</v>
      </c>
      <c r="ADL34">
        <v>44561</v>
      </c>
      <c r="ADM34">
        <v>44561</v>
      </c>
      <c r="ADN34">
        <v>44561</v>
      </c>
      <c r="ADO34">
        <v>44561</v>
      </c>
      <c r="ADP34">
        <v>44561</v>
      </c>
      <c r="ADQ34">
        <v>44561</v>
      </c>
      <c r="ADR34">
        <v>44561</v>
      </c>
      <c r="ADS34">
        <v>44561</v>
      </c>
      <c r="ADT34">
        <v>44561</v>
      </c>
      <c r="ADU34">
        <v>44561</v>
      </c>
      <c r="ADV34">
        <v>44561</v>
      </c>
      <c r="ADW34">
        <v>44561</v>
      </c>
      <c r="ADX34">
        <v>44561</v>
      </c>
      <c r="ADY34">
        <v>44561</v>
      </c>
      <c r="ADZ34">
        <v>44561</v>
      </c>
      <c r="AEA34">
        <v>44561</v>
      </c>
      <c r="AEB34">
        <v>44561</v>
      </c>
      <c r="AEC34">
        <v>44561</v>
      </c>
      <c r="AED34">
        <v>44561</v>
      </c>
      <c r="AEE34">
        <v>44561</v>
      </c>
      <c r="AEF34">
        <v>44561</v>
      </c>
      <c r="AEG34">
        <v>44561</v>
      </c>
      <c r="AEH34">
        <v>44561</v>
      </c>
      <c r="AEI34">
        <v>44561</v>
      </c>
      <c r="AEJ34">
        <v>44561</v>
      </c>
      <c r="AEK34">
        <v>44561</v>
      </c>
      <c r="AEL34">
        <v>44561</v>
      </c>
      <c r="AEM34">
        <v>44561</v>
      </c>
      <c r="AEN34">
        <v>44561</v>
      </c>
      <c r="AEO34">
        <v>44561</v>
      </c>
      <c r="AEP34">
        <v>44561</v>
      </c>
      <c r="AEQ34">
        <v>44561</v>
      </c>
      <c r="AER34">
        <v>44561</v>
      </c>
      <c r="AES34">
        <v>44561</v>
      </c>
      <c r="AET34">
        <v>44561</v>
      </c>
      <c r="AEU34">
        <v>44561</v>
      </c>
      <c r="AEV34">
        <v>44561</v>
      </c>
      <c r="AEW34">
        <v>44561</v>
      </c>
      <c r="AEX34">
        <v>44561</v>
      </c>
      <c r="AEY34">
        <v>44561</v>
      </c>
      <c r="AEZ34">
        <v>44561</v>
      </c>
      <c r="AFA34">
        <v>44561</v>
      </c>
      <c r="AFB34">
        <v>44561</v>
      </c>
      <c r="AFC34">
        <v>44561</v>
      </c>
      <c r="AFD34">
        <v>44561</v>
      </c>
      <c r="AFE34">
        <v>44561</v>
      </c>
      <c r="AFF34">
        <v>44561</v>
      </c>
      <c r="AFG34">
        <v>44561</v>
      </c>
      <c r="AFH34">
        <v>44561</v>
      </c>
      <c r="AFI34">
        <v>44561</v>
      </c>
      <c r="AFJ34">
        <v>44561</v>
      </c>
      <c r="AFK34">
        <v>44561</v>
      </c>
      <c r="AFL34">
        <v>44561</v>
      </c>
      <c r="AFM34">
        <v>44561</v>
      </c>
      <c r="AFN34">
        <v>44561</v>
      </c>
      <c r="AFO34">
        <v>44561</v>
      </c>
      <c r="AFP34">
        <v>44561</v>
      </c>
      <c r="AFQ34">
        <v>44561</v>
      </c>
      <c r="AFR34">
        <v>44561</v>
      </c>
      <c r="AFS34">
        <v>44561</v>
      </c>
      <c r="AFT34">
        <v>44561</v>
      </c>
      <c r="AFU34">
        <v>44561</v>
      </c>
      <c r="AFV34">
        <v>44561</v>
      </c>
      <c r="AFW34">
        <v>44561</v>
      </c>
      <c r="AFX34">
        <v>44561</v>
      </c>
      <c r="AFY34">
        <v>44561</v>
      </c>
      <c r="AFZ34">
        <v>44561</v>
      </c>
      <c r="AGA34">
        <v>44561</v>
      </c>
      <c r="AGB34">
        <v>44561</v>
      </c>
      <c r="AGC34">
        <v>44561</v>
      </c>
      <c r="AGD34">
        <v>44561</v>
      </c>
      <c r="AGE34">
        <v>44561</v>
      </c>
      <c r="AGF34">
        <v>44561</v>
      </c>
      <c r="AGG34">
        <v>44561</v>
      </c>
      <c r="AGH34">
        <v>44561</v>
      </c>
      <c r="AGI34">
        <v>44926</v>
      </c>
      <c r="AGJ34">
        <v>44926</v>
      </c>
      <c r="AGK34">
        <v>44926</v>
      </c>
      <c r="AGL34">
        <v>44926</v>
      </c>
      <c r="AGM34">
        <v>44926</v>
      </c>
      <c r="AGN34">
        <v>44926</v>
      </c>
      <c r="AGO34">
        <v>44926</v>
      </c>
      <c r="AGP34">
        <v>44926</v>
      </c>
      <c r="AGQ34">
        <v>44926</v>
      </c>
      <c r="AGR34">
        <v>44926</v>
      </c>
      <c r="AGS34">
        <v>44926</v>
      </c>
      <c r="AGT34">
        <v>44926</v>
      </c>
      <c r="AGU34">
        <v>44926</v>
      </c>
      <c r="AGV34">
        <v>44926</v>
      </c>
      <c r="AGW34">
        <v>44926</v>
      </c>
      <c r="AGX34">
        <v>44926</v>
      </c>
      <c r="AGY34">
        <v>44926</v>
      </c>
      <c r="AGZ34">
        <v>44926</v>
      </c>
      <c r="AHA34">
        <v>44926</v>
      </c>
      <c r="AHB34">
        <v>44926</v>
      </c>
      <c r="AHC34">
        <v>44926</v>
      </c>
      <c r="AHD34">
        <v>44926</v>
      </c>
      <c r="AHE34">
        <v>44926</v>
      </c>
      <c r="AHF34">
        <v>44926</v>
      </c>
      <c r="AHG34">
        <v>44926</v>
      </c>
      <c r="AHH34">
        <v>44926</v>
      </c>
      <c r="AHI34">
        <v>44926</v>
      </c>
      <c r="AHJ34">
        <v>44926</v>
      </c>
      <c r="AHK34">
        <v>44926</v>
      </c>
      <c r="AHL34">
        <v>44926</v>
      </c>
      <c r="AHM34">
        <v>44926</v>
      </c>
      <c r="AHN34">
        <v>44926</v>
      </c>
      <c r="AHO34">
        <v>44926</v>
      </c>
      <c r="AHP34">
        <v>44926</v>
      </c>
      <c r="AHQ34">
        <v>44926</v>
      </c>
      <c r="AHR34">
        <v>44926</v>
      </c>
      <c r="AHS34">
        <v>44926</v>
      </c>
      <c r="AHT34">
        <v>44926</v>
      </c>
      <c r="AHU34">
        <v>44926</v>
      </c>
      <c r="AHV34">
        <v>44926</v>
      </c>
      <c r="AHW34">
        <v>44926</v>
      </c>
      <c r="AHX34">
        <v>44926</v>
      </c>
      <c r="AHY34">
        <v>44926</v>
      </c>
      <c r="AHZ34">
        <v>44926</v>
      </c>
      <c r="AIA34">
        <v>44926</v>
      </c>
      <c r="AIB34">
        <v>44926</v>
      </c>
      <c r="AIC34">
        <v>44926</v>
      </c>
      <c r="AID34">
        <v>44926</v>
      </c>
      <c r="AIE34">
        <v>44926</v>
      </c>
      <c r="AIF34">
        <v>44926</v>
      </c>
      <c r="AIG34">
        <v>44926</v>
      </c>
      <c r="AIH34">
        <v>44926</v>
      </c>
      <c r="AII34">
        <v>44926</v>
      </c>
      <c r="AIJ34">
        <v>44926</v>
      </c>
      <c r="AIK34">
        <v>44926</v>
      </c>
      <c r="AIL34">
        <v>44926</v>
      </c>
      <c r="AIM34">
        <v>44926</v>
      </c>
      <c r="AIN34">
        <v>44926</v>
      </c>
      <c r="AIO34">
        <v>44926</v>
      </c>
      <c r="AIP34">
        <v>44926</v>
      </c>
      <c r="AIQ34">
        <v>44926</v>
      </c>
      <c r="AIR34">
        <v>44926</v>
      </c>
      <c r="AIS34">
        <v>44926</v>
      </c>
      <c r="AIT34">
        <v>44926</v>
      </c>
      <c r="AIU34">
        <v>44926</v>
      </c>
      <c r="AIV34">
        <v>44926</v>
      </c>
      <c r="AIW34">
        <v>44926</v>
      </c>
      <c r="AIX34">
        <v>44926</v>
      </c>
      <c r="AIY34">
        <v>44926</v>
      </c>
      <c r="AIZ34">
        <v>44926</v>
      </c>
      <c r="AJA34">
        <v>44926</v>
      </c>
      <c r="AJB34">
        <v>44926</v>
      </c>
      <c r="AJC34">
        <v>44926</v>
      </c>
      <c r="AJD34">
        <v>44926</v>
      </c>
      <c r="AJE34">
        <v>44926</v>
      </c>
      <c r="AJF34">
        <v>44926</v>
      </c>
      <c r="AJG34">
        <v>44926</v>
      </c>
      <c r="AJH34">
        <v>44926</v>
      </c>
      <c r="AJI34">
        <v>44926</v>
      </c>
      <c r="AJJ34">
        <v>44926</v>
      </c>
      <c r="AJK34">
        <v>44926</v>
      </c>
      <c r="AJL34">
        <v>44926</v>
      </c>
      <c r="AJM34">
        <v>44926</v>
      </c>
      <c r="AJN34">
        <v>44926</v>
      </c>
      <c r="AJO34">
        <v>44926</v>
      </c>
      <c r="AJP34">
        <v>44926</v>
      </c>
      <c r="AJQ34">
        <v>44926</v>
      </c>
      <c r="AJR34">
        <v>41274</v>
      </c>
      <c r="AJS34">
        <v>41639</v>
      </c>
      <c r="AJT34">
        <v>42004</v>
      </c>
      <c r="AJU34">
        <v>42369</v>
      </c>
      <c r="AJV34">
        <v>42735</v>
      </c>
      <c r="AJW34">
        <v>43100</v>
      </c>
      <c r="AJX34">
        <v>43465</v>
      </c>
      <c r="AJY34">
        <v>43830</v>
      </c>
      <c r="AJZ34">
        <v>44196</v>
      </c>
      <c r="AKA34">
        <v>42004</v>
      </c>
      <c r="AKB34">
        <v>42369</v>
      </c>
      <c r="AKC34">
        <v>42735</v>
      </c>
      <c r="AKD34">
        <v>43100</v>
      </c>
      <c r="AKE34">
        <v>43465</v>
      </c>
      <c r="AKF34">
        <v>43830</v>
      </c>
      <c r="AKG34">
        <v>44196</v>
      </c>
      <c r="AKH34">
        <v>44926</v>
      </c>
      <c r="AKI34">
        <v>45077</v>
      </c>
      <c r="AKJ34">
        <v>43281</v>
      </c>
      <c r="AKK34">
        <v>43646</v>
      </c>
      <c r="AKL34">
        <v>44012</v>
      </c>
      <c r="AKM34">
        <v>44377</v>
      </c>
      <c r="AKS34">
        <v>44561</v>
      </c>
      <c r="AKT34">
        <v>44561</v>
      </c>
    </row>
    <row r="35" spans="1:985" ht="14.4" customHeight="1" x14ac:dyDescent="0.55000000000000004">
      <c r="A35" t="s">
        <v>70</v>
      </c>
      <c r="B35" t="s">
        <v>510</v>
      </c>
      <c r="C35" s="1" t="s">
        <v>718</v>
      </c>
      <c r="D35">
        <f t="shared" ref="D35:BO35" si="24">_xlfn.DAYS(D34,D33)+1</f>
        <v>365</v>
      </c>
      <c r="E35">
        <f t="shared" si="24"/>
        <v>450</v>
      </c>
      <c r="F35">
        <f t="shared" si="24"/>
        <v>450</v>
      </c>
      <c r="G35">
        <f t="shared" si="24"/>
        <v>450</v>
      </c>
      <c r="H35">
        <f t="shared" si="24"/>
        <v>365</v>
      </c>
      <c r="I35">
        <f t="shared" si="24"/>
        <v>365</v>
      </c>
      <c r="J35">
        <f t="shared" si="24"/>
        <v>365</v>
      </c>
      <c r="K35">
        <f t="shared" si="24"/>
        <v>365</v>
      </c>
      <c r="L35">
        <f t="shared" si="24"/>
        <v>341</v>
      </c>
      <c r="M35">
        <f t="shared" si="24"/>
        <v>366</v>
      </c>
      <c r="N35">
        <f t="shared" si="24"/>
        <v>366</v>
      </c>
      <c r="O35">
        <f t="shared" si="24"/>
        <v>366</v>
      </c>
      <c r="P35">
        <f t="shared" si="24"/>
        <v>366</v>
      </c>
      <c r="Q35">
        <f t="shared" si="24"/>
        <v>366</v>
      </c>
      <c r="R35">
        <f t="shared" si="24"/>
        <v>366</v>
      </c>
      <c r="S35">
        <f t="shared" si="24"/>
        <v>366</v>
      </c>
      <c r="T35">
        <f t="shared" si="24"/>
        <v>365</v>
      </c>
      <c r="U35">
        <f t="shared" si="24"/>
        <v>365</v>
      </c>
      <c r="V35">
        <f t="shared" si="24"/>
        <v>365</v>
      </c>
      <c r="W35">
        <f t="shared" si="24"/>
        <v>365</v>
      </c>
      <c r="X35">
        <f t="shared" si="24"/>
        <v>365</v>
      </c>
      <c r="Y35">
        <f t="shared" si="24"/>
        <v>365</v>
      </c>
      <c r="Z35">
        <f t="shared" si="24"/>
        <v>365</v>
      </c>
      <c r="AA35">
        <f t="shared" si="24"/>
        <v>365</v>
      </c>
      <c r="AB35">
        <f t="shared" si="24"/>
        <v>365</v>
      </c>
      <c r="AC35">
        <f t="shared" si="24"/>
        <v>365</v>
      </c>
      <c r="AD35">
        <f t="shared" si="24"/>
        <v>365</v>
      </c>
      <c r="AE35">
        <f t="shared" si="24"/>
        <v>365</v>
      </c>
      <c r="AF35">
        <f t="shared" si="24"/>
        <v>365</v>
      </c>
      <c r="AG35">
        <f t="shared" si="24"/>
        <v>365</v>
      </c>
      <c r="AH35">
        <f t="shared" si="24"/>
        <v>365</v>
      </c>
      <c r="AI35">
        <f t="shared" si="24"/>
        <v>365</v>
      </c>
      <c r="AJ35">
        <f t="shared" si="24"/>
        <v>548</v>
      </c>
      <c r="AK35">
        <f t="shared" si="24"/>
        <v>548</v>
      </c>
      <c r="AL35">
        <f t="shared" si="24"/>
        <v>548</v>
      </c>
      <c r="AM35">
        <f t="shared" si="24"/>
        <v>548</v>
      </c>
      <c r="AN35">
        <f t="shared" si="24"/>
        <v>548</v>
      </c>
      <c r="AO35">
        <f t="shared" si="24"/>
        <v>548</v>
      </c>
      <c r="AP35">
        <f t="shared" si="24"/>
        <v>548</v>
      </c>
      <c r="AQ35">
        <f t="shared" si="24"/>
        <v>548</v>
      </c>
      <c r="AR35">
        <f t="shared" si="24"/>
        <v>261</v>
      </c>
      <c r="AS35">
        <f t="shared" si="24"/>
        <v>336</v>
      </c>
      <c r="AT35">
        <f t="shared" si="24"/>
        <v>336</v>
      </c>
      <c r="AU35">
        <f t="shared" si="24"/>
        <v>336</v>
      </c>
      <c r="AV35">
        <f t="shared" si="24"/>
        <v>336</v>
      </c>
      <c r="AW35">
        <f t="shared" si="24"/>
        <v>336</v>
      </c>
      <c r="AX35">
        <f t="shared" si="24"/>
        <v>336</v>
      </c>
      <c r="AY35">
        <f t="shared" si="24"/>
        <v>336</v>
      </c>
      <c r="AZ35">
        <f t="shared" si="24"/>
        <v>336</v>
      </c>
      <c r="BA35">
        <f t="shared" si="24"/>
        <v>365</v>
      </c>
      <c r="BB35">
        <f t="shared" si="24"/>
        <v>365</v>
      </c>
      <c r="BC35">
        <f t="shared" si="24"/>
        <v>365</v>
      </c>
      <c r="BD35">
        <f t="shared" si="24"/>
        <v>365</v>
      </c>
      <c r="BE35">
        <f t="shared" si="24"/>
        <v>365</v>
      </c>
      <c r="BF35">
        <f t="shared" si="24"/>
        <v>365</v>
      </c>
      <c r="BG35">
        <f t="shared" si="24"/>
        <v>232</v>
      </c>
      <c r="BH35">
        <f t="shared" si="24"/>
        <v>365</v>
      </c>
      <c r="BI35">
        <f t="shared" si="24"/>
        <v>365</v>
      </c>
      <c r="BJ35">
        <f t="shared" si="24"/>
        <v>365</v>
      </c>
      <c r="BK35">
        <f t="shared" si="24"/>
        <v>366</v>
      </c>
      <c r="BL35">
        <f t="shared" si="24"/>
        <v>365</v>
      </c>
      <c r="BM35">
        <f t="shared" si="24"/>
        <v>499</v>
      </c>
      <c r="BN35">
        <f t="shared" si="24"/>
        <v>231</v>
      </c>
      <c r="BO35">
        <f t="shared" si="24"/>
        <v>518</v>
      </c>
      <c r="BP35">
        <f t="shared" ref="BP35" si="25">_xlfn.DAYS(BP34,BP33)+1</f>
        <v>365</v>
      </c>
      <c r="BQ35">
        <f>_xlfn.DAYS(BQ34,BQ33)+1</f>
        <v>232</v>
      </c>
      <c r="BR35">
        <f>_xlfn.DAYS(BR34,BR33)+1</f>
        <v>365</v>
      </c>
      <c r="BS35">
        <f t="shared" ref="BS35:BZ35" si="26">_xlfn.DAYS(BS34,BS33)+1</f>
        <v>365</v>
      </c>
      <c r="BT35">
        <f t="shared" si="26"/>
        <v>365</v>
      </c>
      <c r="BU35">
        <f t="shared" si="26"/>
        <v>366</v>
      </c>
      <c r="BV35">
        <f t="shared" si="26"/>
        <v>365</v>
      </c>
      <c r="BW35">
        <f t="shared" si="26"/>
        <v>499</v>
      </c>
      <c r="BX35">
        <f t="shared" si="26"/>
        <v>231</v>
      </c>
      <c r="BY35">
        <f t="shared" si="26"/>
        <v>519</v>
      </c>
      <c r="BZ35">
        <f t="shared" si="26"/>
        <v>365</v>
      </c>
      <c r="CA35">
        <v>392</v>
      </c>
      <c r="CB35">
        <v>56</v>
      </c>
      <c r="CC35">
        <v>56</v>
      </c>
      <c r="CD35">
        <v>56</v>
      </c>
      <c r="CE35">
        <v>56</v>
      </c>
      <c r="CF35">
        <v>56</v>
      </c>
      <c r="CG35">
        <v>56</v>
      </c>
      <c r="CH35">
        <v>56</v>
      </c>
      <c r="CI35">
        <v>56</v>
      </c>
      <c r="CJ35">
        <v>56</v>
      </c>
      <c r="CK35">
        <v>56</v>
      </c>
      <c r="CL35">
        <v>56</v>
      </c>
      <c r="CM35">
        <v>56</v>
      </c>
      <c r="CN35">
        <v>56</v>
      </c>
      <c r="CO35">
        <v>56</v>
      </c>
      <c r="CP35">
        <v>56</v>
      </c>
      <c r="CQ35">
        <v>56</v>
      </c>
      <c r="CR35">
        <v>56</v>
      </c>
      <c r="CS35">
        <v>56</v>
      </c>
      <c r="CT35">
        <v>56</v>
      </c>
      <c r="CU35">
        <v>56</v>
      </c>
      <c r="CV35">
        <v>56</v>
      </c>
      <c r="CW35">
        <v>56</v>
      </c>
      <c r="CX35">
        <v>56</v>
      </c>
      <c r="CY35">
        <v>56</v>
      </c>
      <c r="CZ35">
        <v>56</v>
      </c>
      <c r="DA35">
        <v>56</v>
      </c>
      <c r="DB35">
        <v>56</v>
      </c>
      <c r="DC35">
        <v>56</v>
      </c>
      <c r="DD35">
        <v>56</v>
      </c>
      <c r="DE35">
        <v>56</v>
      </c>
      <c r="DF35">
        <v>56</v>
      </c>
      <c r="DG35">
        <v>56</v>
      </c>
      <c r="DH35">
        <v>56</v>
      </c>
      <c r="DI35">
        <v>56</v>
      </c>
      <c r="DJ35">
        <v>56</v>
      </c>
      <c r="DK35">
        <v>56</v>
      </c>
      <c r="DL35">
        <v>56</v>
      </c>
      <c r="DM35">
        <v>56</v>
      </c>
      <c r="DN35">
        <v>56</v>
      </c>
      <c r="DO35">
        <v>56</v>
      </c>
      <c r="DP35">
        <v>56</v>
      </c>
      <c r="DQ35">
        <v>56</v>
      </c>
      <c r="DR35">
        <v>56</v>
      </c>
      <c r="DS35">
        <v>56</v>
      </c>
      <c r="DT35">
        <v>56</v>
      </c>
      <c r="DU35">
        <v>56</v>
      </c>
      <c r="DV35">
        <v>56</v>
      </c>
      <c r="DW35">
        <v>56</v>
      </c>
      <c r="DX35">
        <v>56</v>
      </c>
      <c r="DY35">
        <v>56</v>
      </c>
      <c r="DZ35">
        <v>56</v>
      </c>
      <c r="EA35">
        <v>56</v>
      </c>
      <c r="EB35">
        <v>268</v>
      </c>
      <c r="EC35">
        <v>268</v>
      </c>
      <c r="ED35">
        <v>268</v>
      </c>
      <c r="EE35">
        <v>268</v>
      </c>
      <c r="EF35">
        <v>268</v>
      </c>
      <c r="EG35">
        <v>268</v>
      </c>
      <c r="EH35">
        <v>268</v>
      </c>
      <c r="EI35">
        <v>268</v>
      </c>
      <c r="EJ35">
        <v>268</v>
      </c>
      <c r="EK35">
        <v>268</v>
      </c>
      <c r="EL35">
        <v>268</v>
      </c>
      <c r="EM35">
        <v>268</v>
      </c>
      <c r="EN35">
        <v>268</v>
      </c>
      <c r="EO35">
        <v>268</v>
      </c>
      <c r="EP35">
        <v>268</v>
      </c>
      <c r="EQ35">
        <v>268</v>
      </c>
      <c r="ER35">
        <v>268</v>
      </c>
      <c r="ES35">
        <v>268</v>
      </c>
      <c r="ET35">
        <v>268</v>
      </c>
      <c r="EU35">
        <v>268</v>
      </c>
      <c r="EV35">
        <v>268</v>
      </c>
      <c r="EW35">
        <v>268</v>
      </c>
      <c r="EX35">
        <v>268</v>
      </c>
      <c r="EY35">
        <v>268</v>
      </c>
      <c r="EZ35">
        <v>268</v>
      </c>
      <c r="FA35">
        <v>268</v>
      </c>
      <c r="FB35">
        <v>268</v>
      </c>
      <c r="FC35">
        <v>268</v>
      </c>
      <c r="FD35">
        <v>268</v>
      </c>
      <c r="FE35">
        <v>268</v>
      </c>
      <c r="FF35">
        <v>268</v>
      </c>
      <c r="FG35">
        <v>268</v>
      </c>
      <c r="FH35">
        <v>268</v>
      </c>
      <c r="FI35">
        <v>268</v>
      </c>
      <c r="FJ35">
        <v>268</v>
      </c>
      <c r="FK35">
        <v>268</v>
      </c>
      <c r="FL35">
        <v>268</v>
      </c>
      <c r="FM35">
        <v>268</v>
      </c>
      <c r="FN35">
        <v>268</v>
      </c>
      <c r="FO35">
        <v>268</v>
      </c>
      <c r="FP35">
        <v>268</v>
      </c>
      <c r="FQ35">
        <v>268</v>
      </c>
      <c r="FR35">
        <v>268</v>
      </c>
      <c r="FS35">
        <v>268</v>
      </c>
      <c r="FT35">
        <v>268</v>
      </c>
      <c r="FU35">
        <v>268</v>
      </c>
      <c r="FV35">
        <v>268</v>
      </c>
      <c r="FW35">
        <v>268</v>
      </c>
      <c r="FX35">
        <v>268</v>
      </c>
      <c r="FY35">
        <v>268</v>
      </c>
      <c r="FZ35">
        <v>268</v>
      </c>
      <c r="GA35">
        <v>268</v>
      </c>
      <c r="GB35">
        <v>268</v>
      </c>
      <c r="GC35">
        <f>_xlfn.DAYS(GC34,GC33)+1</f>
        <v>306</v>
      </c>
      <c r="GD35">
        <f t="shared" ref="GD35:IC35" si="27">_xlfn.DAYS(GD34,GD33)+1</f>
        <v>306</v>
      </c>
      <c r="GE35">
        <f t="shared" si="27"/>
        <v>306</v>
      </c>
      <c r="GF35">
        <f t="shared" si="27"/>
        <v>306</v>
      </c>
      <c r="GG35">
        <f t="shared" si="27"/>
        <v>306</v>
      </c>
      <c r="GH35">
        <f t="shared" si="27"/>
        <v>306</v>
      </c>
      <c r="GI35">
        <f t="shared" si="27"/>
        <v>306</v>
      </c>
      <c r="GJ35">
        <f t="shared" si="27"/>
        <v>306</v>
      </c>
      <c r="GK35">
        <f t="shared" si="27"/>
        <v>306</v>
      </c>
      <c r="GL35">
        <f t="shared" si="27"/>
        <v>306</v>
      </c>
      <c r="GM35">
        <f t="shared" si="27"/>
        <v>306</v>
      </c>
      <c r="GN35">
        <f t="shared" si="27"/>
        <v>306</v>
      </c>
      <c r="GO35">
        <f t="shared" si="27"/>
        <v>306</v>
      </c>
      <c r="GP35">
        <f t="shared" si="27"/>
        <v>306</v>
      </c>
      <c r="GQ35">
        <f t="shared" si="27"/>
        <v>306</v>
      </c>
      <c r="GR35">
        <f t="shared" si="27"/>
        <v>306</v>
      </c>
      <c r="GS35">
        <f t="shared" si="27"/>
        <v>306</v>
      </c>
      <c r="GT35">
        <f t="shared" si="27"/>
        <v>306</v>
      </c>
      <c r="GU35">
        <f t="shared" si="27"/>
        <v>306</v>
      </c>
      <c r="GV35">
        <f t="shared" si="27"/>
        <v>306</v>
      </c>
      <c r="GW35">
        <f t="shared" si="27"/>
        <v>306</v>
      </c>
      <c r="GX35">
        <f t="shared" si="27"/>
        <v>306</v>
      </c>
      <c r="GY35">
        <f t="shared" si="27"/>
        <v>306</v>
      </c>
      <c r="GZ35">
        <f t="shared" si="27"/>
        <v>306</v>
      </c>
      <c r="HA35">
        <f t="shared" si="27"/>
        <v>306</v>
      </c>
      <c r="HB35">
        <f t="shared" si="27"/>
        <v>306</v>
      </c>
      <c r="HC35">
        <f t="shared" si="27"/>
        <v>306</v>
      </c>
      <c r="HD35">
        <f t="shared" si="27"/>
        <v>306</v>
      </c>
      <c r="HE35">
        <f t="shared" si="27"/>
        <v>306</v>
      </c>
      <c r="HF35">
        <f t="shared" si="27"/>
        <v>306</v>
      </c>
      <c r="HG35">
        <f t="shared" si="27"/>
        <v>306</v>
      </c>
      <c r="HH35">
        <f t="shared" si="27"/>
        <v>306</v>
      </c>
      <c r="HI35">
        <f t="shared" si="27"/>
        <v>306</v>
      </c>
      <c r="HJ35">
        <f t="shared" si="27"/>
        <v>306</v>
      </c>
      <c r="HK35">
        <f t="shared" si="27"/>
        <v>306</v>
      </c>
      <c r="HL35">
        <f t="shared" si="27"/>
        <v>306</v>
      </c>
      <c r="HM35">
        <f t="shared" si="27"/>
        <v>306</v>
      </c>
      <c r="HN35">
        <f t="shared" si="27"/>
        <v>306</v>
      </c>
      <c r="HO35">
        <f t="shared" si="27"/>
        <v>306</v>
      </c>
      <c r="HP35">
        <f t="shared" si="27"/>
        <v>306</v>
      </c>
      <c r="HQ35">
        <f t="shared" si="27"/>
        <v>306</v>
      </c>
      <c r="HR35">
        <f t="shared" si="27"/>
        <v>306</v>
      </c>
      <c r="HS35">
        <f t="shared" si="27"/>
        <v>306</v>
      </c>
      <c r="HT35">
        <f t="shared" si="27"/>
        <v>306</v>
      </c>
      <c r="HU35">
        <f t="shared" si="27"/>
        <v>306</v>
      </c>
      <c r="HV35">
        <f t="shared" si="27"/>
        <v>306</v>
      </c>
      <c r="HW35">
        <f t="shared" si="27"/>
        <v>306</v>
      </c>
      <c r="HX35">
        <f t="shared" si="27"/>
        <v>306</v>
      </c>
      <c r="HY35">
        <f t="shared" si="27"/>
        <v>306</v>
      </c>
      <c r="HZ35">
        <f t="shared" si="27"/>
        <v>306</v>
      </c>
      <c r="IA35">
        <f t="shared" si="27"/>
        <v>306</v>
      </c>
      <c r="IB35">
        <f t="shared" si="27"/>
        <v>306</v>
      </c>
      <c r="IC35">
        <f t="shared" si="27"/>
        <v>306</v>
      </c>
      <c r="ID35">
        <f t="shared" ref="ID35" si="28">_xlfn.DAYS(ID34,ID33)+1</f>
        <v>306</v>
      </c>
      <c r="IE35">
        <f t="shared" ref="IE35" si="29">_xlfn.DAYS(IE34,IE33)+1</f>
        <v>306</v>
      </c>
      <c r="IF35">
        <f t="shared" ref="IF35" si="30">_xlfn.DAYS(IF34,IF33)+1</f>
        <v>306</v>
      </c>
      <c r="IG35">
        <f t="shared" ref="IG35" si="31">_xlfn.DAYS(IG34,IG33)+1</f>
        <v>306</v>
      </c>
      <c r="IH35">
        <f t="shared" ref="IH35" si="32">_xlfn.DAYS(IH34,IH33)+1</f>
        <v>306</v>
      </c>
      <c r="II35">
        <f t="shared" ref="II35" si="33">_xlfn.DAYS(II34,II33)+1</f>
        <v>306</v>
      </c>
      <c r="IJ35">
        <f t="shared" ref="IJ35" si="34">_xlfn.DAYS(IJ34,IJ33)+1</f>
        <v>306</v>
      </c>
      <c r="IK35">
        <f t="shared" ref="IK35" si="35">_xlfn.DAYS(IK34,IK33)+1</f>
        <v>306</v>
      </c>
      <c r="IL35">
        <f t="shared" ref="IL35" si="36">_xlfn.DAYS(IL34,IL33)+1</f>
        <v>306</v>
      </c>
      <c r="IM35">
        <f t="shared" ref="IM35" si="37">_xlfn.DAYS(IM34,IM33)+1</f>
        <v>306</v>
      </c>
      <c r="IN35">
        <f t="shared" ref="IN35" si="38">_xlfn.DAYS(IN34,IN33)+1</f>
        <v>306</v>
      </c>
      <c r="IO35">
        <f t="shared" ref="IO35" si="39">_xlfn.DAYS(IO34,IO33)+1</f>
        <v>306</v>
      </c>
      <c r="IP35">
        <f t="shared" ref="IP35" si="40">_xlfn.DAYS(IP34,IP33)+1</f>
        <v>306</v>
      </c>
      <c r="IQ35">
        <f t="shared" ref="IQ35" si="41">_xlfn.DAYS(IQ34,IQ33)+1</f>
        <v>306</v>
      </c>
      <c r="IR35">
        <f t="shared" ref="IR35" si="42">_xlfn.DAYS(IR34,IR33)+1</f>
        <v>306</v>
      </c>
      <c r="IS35">
        <f t="shared" ref="IS35" si="43">_xlfn.DAYS(IS34,IS33)+1</f>
        <v>306</v>
      </c>
      <c r="IT35">
        <f t="shared" ref="IT35" si="44">_xlfn.DAYS(IT34,IT33)+1</f>
        <v>306</v>
      </c>
      <c r="IU35">
        <f t="shared" ref="IU35" si="45">_xlfn.DAYS(IU34,IU33)+1</f>
        <v>306</v>
      </c>
      <c r="IV35">
        <f t="shared" ref="IV35" si="46">_xlfn.DAYS(IV34,IV33)+1</f>
        <v>306</v>
      </c>
      <c r="IW35">
        <f t="shared" ref="IW35" si="47">_xlfn.DAYS(IW34,IW33)+1</f>
        <v>306</v>
      </c>
      <c r="IX35">
        <v>365</v>
      </c>
      <c r="IY35">
        <v>365</v>
      </c>
      <c r="IZ35">
        <v>365</v>
      </c>
      <c r="JA35">
        <v>365</v>
      </c>
      <c r="JB35">
        <v>365</v>
      </c>
      <c r="JC35">
        <v>365</v>
      </c>
      <c r="JD35">
        <v>365</v>
      </c>
      <c r="JE35">
        <v>365</v>
      </c>
      <c r="JF35">
        <v>365</v>
      </c>
      <c r="JG35">
        <v>365</v>
      </c>
      <c r="JH35">
        <v>365</v>
      </c>
      <c r="JI35">
        <v>365</v>
      </c>
      <c r="JJ35">
        <v>365</v>
      </c>
      <c r="JK35">
        <v>365</v>
      </c>
      <c r="JL35">
        <v>365</v>
      </c>
      <c r="JM35">
        <v>365</v>
      </c>
      <c r="JN35">
        <v>365</v>
      </c>
      <c r="JO35">
        <v>365</v>
      </c>
      <c r="JP35">
        <v>365</v>
      </c>
      <c r="JQ35">
        <v>365</v>
      </c>
      <c r="JR35">
        <v>365</v>
      </c>
      <c r="JS35">
        <v>365</v>
      </c>
      <c r="JT35">
        <v>365</v>
      </c>
      <c r="JU35">
        <v>365</v>
      </c>
      <c r="JV35">
        <v>365</v>
      </c>
      <c r="JW35">
        <v>365</v>
      </c>
      <c r="JX35">
        <v>365</v>
      </c>
      <c r="JY35">
        <v>365</v>
      </c>
      <c r="JZ35">
        <v>365</v>
      </c>
      <c r="KA35">
        <v>365</v>
      </c>
      <c r="KB35">
        <v>365</v>
      </c>
      <c r="KC35">
        <v>365</v>
      </c>
      <c r="KD35">
        <v>365</v>
      </c>
      <c r="KE35">
        <v>365</v>
      </c>
      <c r="KF35">
        <v>365</v>
      </c>
      <c r="KG35">
        <v>365</v>
      </c>
      <c r="KH35">
        <v>365</v>
      </c>
      <c r="KI35">
        <v>365</v>
      </c>
      <c r="KJ35">
        <v>365</v>
      </c>
      <c r="KK35">
        <v>365</v>
      </c>
      <c r="KL35">
        <v>365</v>
      </c>
      <c r="KM35">
        <v>365</v>
      </c>
      <c r="KN35">
        <v>365</v>
      </c>
      <c r="KO35">
        <v>365</v>
      </c>
      <c r="KP35">
        <v>365</v>
      </c>
      <c r="KQ35">
        <v>365</v>
      </c>
      <c r="KR35">
        <v>365</v>
      </c>
      <c r="KS35">
        <v>365</v>
      </c>
      <c r="KT35">
        <v>365</v>
      </c>
      <c r="KU35">
        <v>365</v>
      </c>
      <c r="KV35">
        <v>365</v>
      </c>
      <c r="KW35">
        <v>365</v>
      </c>
      <c r="KX35">
        <v>365</v>
      </c>
      <c r="KY35">
        <v>365</v>
      </c>
      <c r="KZ35">
        <v>365</v>
      </c>
      <c r="LA35">
        <v>365</v>
      </c>
      <c r="LB35">
        <v>365</v>
      </c>
      <c r="LC35">
        <v>365</v>
      </c>
      <c r="LD35">
        <v>365</v>
      </c>
      <c r="LE35">
        <v>365</v>
      </c>
      <c r="LF35">
        <v>365</v>
      </c>
      <c r="LG35">
        <v>365</v>
      </c>
      <c r="LH35">
        <v>365</v>
      </c>
      <c r="LI35">
        <v>365</v>
      </c>
      <c r="LJ35">
        <v>365</v>
      </c>
      <c r="LK35">
        <v>365</v>
      </c>
      <c r="LL35">
        <v>365</v>
      </c>
      <c r="LM35">
        <v>365</v>
      </c>
      <c r="LN35">
        <v>365</v>
      </c>
      <c r="LO35">
        <v>365</v>
      </c>
      <c r="LP35">
        <v>365</v>
      </c>
      <c r="LQ35">
        <v>365</v>
      </c>
      <c r="LR35">
        <v>365</v>
      </c>
      <c r="LS35">
        <v>334</v>
      </c>
      <c r="LT35">
        <v>334</v>
      </c>
      <c r="LU35">
        <v>334</v>
      </c>
      <c r="LV35">
        <v>334</v>
      </c>
      <c r="LW35">
        <v>334</v>
      </c>
      <c r="LX35">
        <v>334</v>
      </c>
      <c r="LY35">
        <v>334</v>
      </c>
      <c r="LZ35">
        <v>334</v>
      </c>
      <c r="MA35">
        <v>334</v>
      </c>
      <c r="MB35">
        <v>334</v>
      </c>
      <c r="MC35">
        <v>334</v>
      </c>
      <c r="MD35">
        <v>334</v>
      </c>
      <c r="ME35">
        <v>334</v>
      </c>
      <c r="MF35">
        <v>334</v>
      </c>
      <c r="MG35">
        <v>366</v>
      </c>
      <c r="MH35">
        <v>366</v>
      </c>
      <c r="MI35">
        <v>366</v>
      </c>
      <c r="MJ35">
        <v>366</v>
      </c>
      <c r="MK35">
        <v>366</v>
      </c>
      <c r="ML35">
        <v>366</v>
      </c>
      <c r="MM35">
        <v>366</v>
      </c>
      <c r="MN35">
        <v>366</v>
      </c>
      <c r="MO35">
        <v>366</v>
      </c>
      <c r="MP35">
        <v>366</v>
      </c>
      <c r="MQ35">
        <v>366</v>
      </c>
      <c r="MR35">
        <v>366</v>
      </c>
      <c r="MS35">
        <v>366</v>
      </c>
      <c r="MT35">
        <v>366</v>
      </c>
      <c r="MU35">
        <v>366</v>
      </c>
      <c r="MV35">
        <v>366</v>
      </c>
      <c r="MW35">
        <v>366</v>
      </c>
      <c r="MX35">
        <v>366</v>
      </c>
      <c r="MY35">
        <v>366</v>
      </c>
      <c r="MZ35">
        <v>366</v>
      </c>
      <c r="NA35">
        <v>366</v>
      </c>
      <c r="NB35">
        <v>366</v>
      </c>
      <c r="NC35">
        <v>366</v>
      </c>
      <c r="ND35">
        <v>366</v>
      </c>
      <c r="NE35">
        <v>366</v>
      </c>
      <c r="NF35">
        <v>366</v>
      </c>
      <c r="NG35">
        <v>366</v>
      </c>
      <c r="NH35">
        <v>366</v>
      </c>
      <c r="NI35">
        <v>366</v>
      </c>
      <c r="NJ35">
        <v>366</v>
      </c>
      <c r="NK35">
        <v>366</v>
      </c>
      <c r="NL35">
        <v>366</v>
      </c>
      <c r="NM35">
        <v>366</v>
      </c>
      <c r="NN35">
        <v>366</v>
      </c>
      <c r="NO35">
        <v>366</v>
      </c>
      <c r="NP35">
        <v>366</v>
      </c>
      <c r="NQ35">
        <v>366</v>
      </c>
      <c r="NR35">
        <v>366</v>
      </c>
      <c r="NS35">
        <v>366</v>
      </c>
      <c r="NT35">
        <v>366</v>
      </c>
      <c r="NU35">
        <v>366</v>
      </c>
      <c r="NV35">
        <v>366</v>
      </c>
      <c r="NW35">
        <v>366</v>
      </c>
      <c r="NX35">
        <v>366</v>
      </c>
      <c r="NY35">
        <v>366</v>
      </c>
      <c r="NZ35">
        <v>366</v>
      </c>
      <c r="OA35">
        <v>366</v>
      </c>
      <c r="OB35">
        <v>366</v>
      </c>
      <c r="OC35">
        <v>366</v>
      </c>
      <c r="OD35">
        <v>366</v>
      </c>
      <c r="OE35">
        <v>366</v>
      </c>
      <c r="OF35">
        <v>366</v>
      </c>
      <c r="OG35">
        <v>366</v>
      </c>
      <c r="OH35">
        <v>366</v>
      </c>
      <c r="OI35">
        <v>366</v>
      </c>
      <c r="OJ35">
        <v>366</v>
      </c>
      <c r="OK35">
        <v>366</v>
      </c>
      <c r="OL35">
        <v>366</v>
      </c>
      <c r="OM35">
        <v>366</v>
      </c>
      <c r="ON35">
        <v>366</v>
      </c>
      <c r="OO35">
        <v>366</v>
      </c>
      <c r="OP35">
        <v>366</v>
      </c>
      <c r="OQ35">
        <v>366</v>
      </c>
      <c r="OR35">
        <v>366</v>
      </c>
      <c r="OS35">
        <v>366</v>
      </c>
      <c r="OT35">
        <v>366</v>
      </c>
      <c r="OU35">
        <v>366</v>
      </c>
      <c r="OV35">
        <v>366</v>
      </c>
      <c r="OW35">
        <v>366</v>
      </c>
      <c r="OX35">
        <v>366</v>
      </c>
      <c r="OY35">
        <v>366</v>
      </c>
      <c r="OZ35">
        <v>366</v>
      </c>
      <c r="PA35">
        <v>366</v>
      </c>
      <c r="PB35">
        <v>366</v>
      </c>
      <c r="PC35">
        <v>366</v>
      </c>
      <c r="PD35">
        <v>366</v>
      </c>
      <c r="PE35">
        <v>366</v>
      </c>
      <c r="PF35">
        <v>366</v>
      </c>
      <c r="PG35">
        <v>366</v>
      </c>
      <c r="PH35">
        <v>366</v>
      </c>
      <c r="PI35">
        <v>366</v>
      </c>
      <c r="PJ35">
        <v>366</v>
      </c>
      <c r="PK35">
        <v>366</v>
      </c>
      <c r="PL35">
        <v>366</v>
      </c>
      <c r="PM35">
        <v>366</v>
      </c>
      <c r="PN35">
        <v>366</v>
      </c>
      <c r="PO35">
        <v>366</v>
      </c>
      <c r="PP35">
        <v>365</v>
      </c>
      <c r="PQ35">
        <v>365</v>
      </c>
      <c r="PR35">
        <v>365</v>
      </c>
      <c r="PS35">
        <v>365</v>
      </c>
      <c r="PT35">
        <v>365</v>
      </c>
      <c r="PU35">
        <v>365</v>
      </c>
      <c r="PV35">
        <v>365</v>
      </c>
      <c r="PW35">
        <v>365</v>
      </c>
      <c r="PX35">
        <v>365</v>
      </c>
      <c r="PY35">
        <v>365</v>
      </c>
      <c r="PZ35">
        <v>365</v>
      </c>
      <c r="QA35">
        <v>365</v>
      </c>
      <c r="QB35">
        <v>365</v>
      </c>
      <c r="QC35">
        <v>365</v>
      </c>
      <c r="QD35">
        <v>365</v>
      </c>
      <c r="QE35">
        <v>365</v>
      </c>
      <c r="QF35">
        <v>365</v>
      </c>
      <c r="QG35">
        <v>365</v>
      </c>
      <c r="QH35">
        <v>365</v>
      </c>
      <c r="QI35">
        <v>365</v>
      </c>
      <c r="QJ35">
        <v>365</v>
      </c>
      <c r="QK35">
        <v>365</v>
      </c>
      <c r="QL35">
        <v>365</v>
      </c>
      <c r="QM35">
        <v>365</v>
      </c>
      <c r="QN35">
        <v>365</v>
      </c>
      <c r="QO35">
        <v>365</v>
      </c>
      <c r="QP35">
        <v>365</v>
      </c>
      <c r="QQ35">
        <v>365</v>
      </c>
      <c r="QR35">
        <v>365</v>
      </c>
      <c r="QS35">
        <v>365</v>
      </c>
      <c r="QT35">
        <v>365</v>
      </c>
      <c r="QU35">
        <v>365</v>
      </c>
      <c r="QV35">
        <v>365</v>
      </c>
      <c r="QW35">
        <v>365</v>
      </c>
      <c r="QX35">
        <v>365</v>
      </c>
      <c r="QY35">
        <v>365</v>
      </c>
      <c r="QZ35">
        <v>365</v>
      </c>
      <c r="RA35">
        <v>365</v>
      </c>
      <c r="RB35">
        <v>365</v>
      </c>
      <c r="RC35">
        <v>365</v>
      </c>
      <c r="RD35">
        <v>365</v>
      </c>
      <c r="RE35">
        <v>365</v>
      </c>
      <c r="RF35">
        <v>365</v>
      </c>
      <c r="RG35">
        <v>365</v>
      </c>
      <c r="RH35">
        <v>365</v>
      </c>
      <c r="RI35">
        <v>365</v>
      </c>
      <c r="RJ35">
        <v>365</v>
      </c>
      <c r="RK35">
        <v>365</v>
      </c>
      <c r="RL35">
        <v>365</v>
      </c>
      <c r="RM35">
        <v>365</v>
      </c>
      <c r="RN35">
        <v>365</v>
      </c>
      <c r="RO35">
        <v>365</v>
      </c>
      <c r="RP35">
        <v>365</v>
      </c>
      <c r="RQ35">
        <v>365</v>
      </c>
      <c r="RR35">
        <v>365</v>
      </c>
      <c r="RS35">
        <v>365</v>
      </c>
      <c r="RT35">
        <v>365</v>
      </c>
      <c r="RU35">
        <v>365</v>
      </c>
      <c r="RV35">
        <v>365</v>
      </c>
      <c r="RW35">
        <v>365</v>
      </c>
      <c r="RX35">
        <v>365</v>
      </c>
      <c r="RY35">
        <v>365</v>
      </c>
      <c r="RZ35">
        <v>365</v>
      </c>
      <c r="SA35">
        <v>365</v>
      </c>
      <c r="SB35">
        <v>365</v>
      </c>
      <c r="SC35">
        <v>365</v>
      </c>
      <c r="SD35">
        <v>365</v>
      </c>
      <c r="SE35">
        <v>365</v>
      </c>
      <c r="SF35">
        <v>365</v>
      </c>
      <c r="SG35">
        <v>365</v>
      </c>
      <c r="SH35">
        <v>365</v>
      </c>
      <c r="SI35">
        <v>365</v>
      </c>
      <c r="SJ35">
        <v>365</v>
      </c>
      <c r="SK35">
        <v>365</v>
      </c>
      <c r="SL35">
        <v>365</v>
      </c>
      <c r="SM35">
        <v>365</v>
      </c>
      <c r="SN35">
        <v>365</v>
      </c>
      <c r="SO35">
        <v>365</v>
      </c>
      <c r="SP35">
        <v>365</v>
      </c>
      <c r="SQ35">
        <v>365</v>
      </c>
      <c r="SR35">
        <v>365</v>
      </c>
      <c r="SS35">
        <v>365</v>
      </c>
      <c r="ST35">
        <v>365</v>
      </c>
      <c r="SU35">
        <v>365</v>
      </c>
      <c r="SV35">
        <v>365</v>
      </c>
      <c r="SW35">
        <v>365</v>
      </c>
      <c r="SX35">
        <v>365</v>
      </c>
      <c r="SY35">
        <v>365</v>
      </c>
      <c r="SZ35">
        <v>365</v>
      </c>
      <c r="TA35">
        <v>365</v>
      </c>
      <c r="TB35">
        <v>365</v>
      </c>
      <c r="TC35">
        <v>365</v>
      </c>
      <c r="TD35">
        <v>365</v>
      </c>
      <c r="TE35">
        <v>365</v>
      </c>
      <c r="TF35">
        <v>365</v>
      </c>
      <c r="TG35">
        <v>365</v>
      </c>
      <c r="TH35">
        <v>365</v>
      </c>
      <c r="TI35">
        <v>365</v>
      </c>
      <c r="TJ35">
        <v>365</v>
      </c>
      <c r="TK35">
        <v>365</v>
      </c>
      <c r="TL35">
        <v>365</v>
      </c>
      <c r="TM35">
        <v>365</v>
      </c>
      <c r="TN35">
        <v>365</v>
      </c>
      <c r="TO35">
        <v>365</v>
      </c>
      <c r="TP35">
        <v>365</v>
      </c>
      <c r="TQ35">
        <v>365</v>
      </c>
      <c r="TR35">
        <v>365</v>
      </c>
      <c r="TS35">
        <v>365</v>
      </c>
      <c r="TT35">
        <v>365</v>
      </c>
      <c r="TU35">
        <v>365</v>
      </c>
      <c r="TV35">
        <v>365</v>
      </c>
      <c r="TW35">
        <v>365</v>
      </c>
      <c r="TX35">
        <v>365</v>
      </c>
      <c r="TY35">
        <v>365</v>
      </c>
      <c r="TZ35">
        <v>365</v>
      </c>
      <c r="UA35">
        <v>365</v>
      </c>
      <c r="UB35">
        <v>365</v>
      </c>
      <c r="UC35">
        <v>365</v>
      </c>
      <c r="UD35">
        <v>365</v>
      </c>
      <c r="UE35">
        <v>365</v>
      </c>
      <c r="UF35">
        <v>365</v>
      </c>
      <c r="UG35">
        <v>365</v>
      </c>
      <c r="UH35">
        <v>365</v>
      </c>
      <c r="UI35">
        <v>365</v>
      </c>
      <c r="UJ35">
        <v>365</v>
      </c>
      <c r="UK35">
        <v>365</v>
      </c>
      <c r="UL35">
        <v>365</v>
      </c>
      <c r="UM35">
        <v>365</v>
      </c>
      <c r="UN35">
        <v>365</v>
      </c>
      <c r="UO35">
        <v>365</v>
      </c>
      <c r="UP35">
        <v>365</v>
      </c>
      <c r="UQ35">
        <v>365</v>
      </c>
      <c r="UR35">
        <v>365</v>
      </c>
      <c r="US35">
        <v>365</v>
      </c>
      <c r="UT35">
        <v>365</v>
      </c>
      <c r="UU35">
        <v>365</v>
      </c>
      <c r="UV35">
        <v>365</v>
      </c>
      <c r="UW35">
        <v>365</v>
      </c>
      <c r="UX35">
        <v>365</v>
      </c>
      <c r="UY35">
        <v>365</v>
      </c>
      <c r="UZ35">
        <v>365</v>
      </c>
      <c r="VA35">
        <v>365</v>
      </c>
      <c r="VB35">
        <v>365</v>
      </c>
      <c r="VC35">
        <v>365</v>
      </c>
      <c r="VD35">
        <v>365</v>
      </c>
      <c r="VE35">
        <v>365</v>
      </c>
      <c r="VF35">
        <v>365</v>
      </c>
      <c r="VG35">
        <v>365</v>
      </c>
      <c r="VH35">
        <v>365</v>
      </c>
      <c r="VI35">
        <v>365</v>
      </c>
      <c r="VJ35">
        <v>365</v>
      </c>
      <c r="VK35">
        <v>365</v>
      </c>
      <c r="VL35">
        <v>365</v>
      </c>
      <c r="VM35">
        <v>365</v>
      </c>
      <c r="VN35">
        <v>365</v>
      </c>
      <c r="VO35">
        <v>365</v>
      </c>
      <c r="VP35">
        <v>365</v>
      </c>
      <c r="VQ35">
        <v>365</v>
      </c>
      <c r="VR35">
        <v>365</v>
      </c>
      <c r="VS35">
        <v>365</v>
      </c>
      <c r="VT35">
        <v>365</v>
      </c>
      <c r="VU35">
        <v>365</v>
      </c>
      <c r="VV35">
        <v>365</v>
      </c>
      <c r="VW35">
        <v>365</v>
      </c>
      <c r="VX35">
        <v>365</v>
      </c>
      <c r="VY35">
        <v>365</v>
      </c>
      <c r="VZ35">
        <v>365</v>
      </c>
      <c r="WA35">
        <v>365</v>
      </c>
      <c r="WB35">
        <v>365</v>
      </c>
      <c r="WC35">
        <v>365</v>
      </c>
      <c r="WD35">
        <v>365</v>
      </c>
      <c r="WE35">
        <v>365</v>
      </c>
      <c r="WF35">
        <v>365</v>
      </c>
      <c r="WG35">
        <v>365</v>
      </c>
      <c r="WH35">
        <v>365</v>
      </c>
      <c r="WI35">
        <v>365</v>
      </c>
      <c r="WJ35">
        <v>365</v>
      </c>
      <c r="WK35">
        <v>365</v>
      </c>
      <c r="WL35">
        <v>365</v>
      </c>
      <c r="WM35">
        <v>365</v>
      </c>
      <c r="WN35">
        <v>365</v>
      </c>
      <c r="WO35">
        <v>365</v>
      </c>
      <c r="WP35">
        <v>365</v>
      </c>
      <c r="WQ35">
        <v>365</v>
      </c>
      <c r="WR35">
        <v>365</v>
      </c>
      <c r="WS35">
        <v>365</v>
      </c>
      <c r="WT35">
        <v>365</v>
      </c>
      <c r="WU35">
        <v>365</v>
      </c>
      <c r="WV35">
        <v>365</v>
      </c>
      <c r="WW35">
        <v>365</v>
      </c>
      <c r="WX35">
        <v>365</v>
      </c>
      <c r="WY35">
        <v>365</v>
      </c>
      <c r="WZ35">
        <v>365</v>
      </c>
      <c r="XA35">
        <v>365</v>
      </c>
      <c r="XB35">
        <v>365</v>
      </c>
      <c r="XC35">
        <v>365</v>
      </c>
      <c r="XD35">
        <v>365</v>
      </c>
      <c r="XE35">
        <v>365</v>
      </c>
      <c r="XF35">
        <v>365</v>
      </c>
      <c r="XG35">
        <v>365</v>
      </c>
      <c r="XH35">
        <v>365</v>
      </c>
      <c r="XI35">
        <v>365</v>
      </c>
      <c r="XJ35">
        <v>365</v>
      </c>
      <c r="XK35">
        <v>365</v>
      </c>
      <c r="XL35">
        <v>365</v>
      </c>
      <c r="XM35">
        <v>365</v>
      </c>
      <c r="XN35">
        <v>365</v>
      </c>
      <c r="XO35">
        <v>365</v>
      </c>
      <c r="XP35">
        <v>365</v>
      </c>
      <c r="XQ35">
        <v>365</v>
      </c>
      <c r="XR35">
        <v>365</v>
      </c>
      <c r="XS35">
        <v>365</v>
      </c>
      <c r="XT35">
        <v>365</v>
      </c>
      <c r="XU35">
        <v>365</v>
      </c>
      <c r="XV35">
        <v>365</v>
      </c>
      <c r="XW35">
        <v>365</v>
      </c>
      <c r="XX35">
        <v>365</v>
      </c>
      <c r="XY35">
        <v>365</v>
      </c>
      <c r="XZ35">
        <v>365</v>
      </c>
      <c r="YA35">
        <v>365</v>
      </c>
      <c r="YB35">
        <v>365</v>
      </c>
      <c r="YC35">
        <v>365</v>
      </c>
      <c r="YD35">
        <v>365</v>
      </c>
      <c r="YE35">
        <v>365</v>
      </c>
      <c r="YF35">
        <v>365</v>
      </c>
      <c r="YG35">
        <v>365</v>
      </c>
      <c r="YH35">
        <v>365</v>
      </c>
      <c r="YI35">
        <v>365</v>
      </c>
      <c r="YJ35">
        <v>365</v>
      </c>
      <c r="YK35">
        <v>365</v>
      </c>
      <c r="YL35">
        <v>365</v>
      </c>
      <c r="YM35">
        <v>365</v>
      </c>
      <c r="YN35">
        <v>365</v>
      </c>
      <c r="YO35">
        <v>365</v>
      </c>
      <c r="YP35">
        <v>365</v>
      </c>
      <c r="YQ35">
        <v>365</v>
      </c>
      <c r="YR35">
        <v>365</v>
      </c>
      <c r="YS35">
        <v>365</v>
      </c>
      <c r="YT35">
        <v>365</v>
      </c>
      <c r="YU35">
        <v>365</v>
      </c>
      <c r="YV35">
        <v>365</v>
      </c>
      <c r="YW35">
        <v>365</v>
      </c>
      <c r="YX35">
        <v>365</v>
      </c>
      <c r="YY35">
        <v>365</v>
      </c>
      <c r="YZ35">
        <v>365</v>
      </c>
      <c r="ZA35">
        <v>365</v>
      </c>
      <c r="ZB35">
        <v>365</v>
      </c>
      <c r="ZC35">
        <v>365</v>
      </c>
      <c r="ZD35">
        <v>365</v>
      </c>
      <c r="ZE35">
        <v>365</v>
      </c>
      <c r="ZF35">
        <v>365</v>
      </c>
      <c r="ZG35">
        <v>365</v>
      </c>
      <c r="ZH35">
        <v>365</v>
      </c>
      <c r="ZI35">
        <v>365</v>
      </c>
      <c r="ZJ35">
        <v>365</v>
      </c>
      <c r="ZK35">
        <v>365</v>
      </c>
      <c r="ZL35">
        <v>365</v>
      </c>
      <c r="ZM35">
        <v>365</v>
      </c>
      <c r="ZN35">
        <v>365</v>
      </c>
      <c r="ZO35">
        <v>365</v>
      </c>
      <c r="ZP35">
        <v>365</v>
      </c>
      <c r="ZQ35">
        <v>365</v>
      </c>
      <c r="ZR35">
        <v>365</v>
      </c>
      <c r="ZS35">
        <v>365</v>
      </c>
      <c r="ZT35">
        <v>365</v>
      </c>
      <c r="ZU35">
        <v>365</v>
      </c>
      <c r="ZV35">
        <v>365</v>
      </c>
      <c r="ZW35">
        <v>365</v>
      </c>
      <c r="ZX35">
        <v>365</v>
      </c>
      <c r="ZY35">
        <v>365</v>
      </c>
      <c r="ZZ35">
        <v>365</v>
      </c>
      <c r="AAA35">
        <v>365</v>
      </c>
      <c r="AAB35">
        <v>365</v>
      </c>
      <c r="AAC35">
        <v>365</v>
      </c>
      <c r="AAD35">
        <v>365</v>
      </c>
      <c r="AAE35">
        <v>365</v>
      </c>
      <c r="AAF35">
        <v>365</v>
      </c>
      <c r="AAG35">
        <v>365</v>
      </c>
      <c r="AAH35">
        <v>365</v>
      </c>
      <c r="AAI35">
        <v>365</v>
      </c>
      <c r="AAJ35">
        <v>365</v>
      </c>
      <c r="AAK35">
        <v>365</v>
      </c>
      <c r="AAL35">
        <v>365</v>
      </c>
      <c r="AAM35">
        <v>365</v>
      </c>
      <c r="AAN35">
        <v>365</v>
      </c>
      <c r="AAO35">
        <v>365</v>
      </c>
      <c r="AAP35">
        <v>365</v>
      </c>
      <c r="AAQ35">
        <v>365</v>
      </c>
      <c r="AAR35">
        <v>365</v>
      </c>
      <c r="AAS35">
        <v>365</v>
      </c>
      <c r="AAT35">
        <v>365</v>
      </c>
      <c r="AAU35">
        <v>365</v>
      </c>
      <c r="AAV35">
        <v>365</v>
      </c>
      <c r="AAW35">
        <v>365</v>
      </c>
      <c r="AAX35">
        <v>365</v>
      </c>
      <c r="AAY35">
        <v>365</v>
      </c>
      <c r="AAZ35">
        <v>365</v>
      </c>
      <c r="ABA35">
        <v>365</v>
      </c>
      <c r="ABB35">
        <v>365</v>
      </c>
      <c r="ABC35">
        <v>365</v>
      </c>
      <c r="ABD35">
        <v>365</v>
      </c>
      <c r="ABE35">
        <v>365</v>
      </c>
      <c r="ABF35">
        <v>365</v>
      </c>
      <c r="ABG35">
        <v>365</v>
      </c>
      <c r="ABH35">
        <v>365</v>
      </c>
      <c r="ABI35">
        <v>365</v>
      </c>
      <c r="ABJ35">
        <v>365</v>
      </c>
      <c r="ABK35">
        <v>365</v>
      </c>
      <c r="ABL35">
        <v>365</v>
      </c>
      <c r="ABM35">
        <v>365</v>
      </c>
      <c r="ABN35">
        <v>365</v>
      </c>
      <c r="ABO35">
        <v>365</v>
      </c>
      <c r="ABP35">
        <v>365</v>
      </c>
      <c r="ABQ35">
        <v>365</v>
      </c>
      <c r="ABR35">
        <v>365</v>
      </c>
      <c r="ABS35">
        <v>365</v>
      </c>
      <c r="ABT35">
        <v>365</v>
      </c>
      <c r="ABU35">
        <v>365</v>
      </c>
      <c r="ABV35">
        <v>365</v>
      </c>
      <c r="ABW35">
        <v>365</v>
      </c>
      <c r="ABX35">
        <v>365</v>
      </c>
      <c r="ABY35">
        <v>365</v>
      </c>
      <c r="ABZ35">
        <v>365</v>
      </c>
      <c r="ACA35">
        <v>365</v>
      </c>
      <c r="ACB35">
        <v>365</v>
      </c>
      <c r="ACC35">
        <v>365</v>
      </c>
      <c r="ACD35">
        <v>365</v>
      </c>
      <c r="ACE35">
        <v>365</v>
      </c>
      <c r="ACF35">
        <v>365</v>
      </c>
      <c r="ACG35">
        <v>365</v>
      </c>
      <c r="ACH35">
        <v>365</v>
      </c>
      <c r="ACI35">
        <v>365</v>
      </c>
      <c r="ACJ35">
        <v>365</v>
      </c>
      <c r="ACK35">
        <v>365</v>
      </c>
      <c r="ACL35">
        <v>365</v>
      </c>
      <c r="ACM35">
        <v>365</v>
      </c>
      <c r="ACN35">
        <v>365</v>
      </c>
      <c r="ACO35">
        <v>365</v>
      </c>
      <c r="ACP35">
        <v>365</v>
      </c>
      <c r="ACQ35">
        <v>365</v>
      </c>
      <c r="ACR35">
        <v>365</v>
      </c>
      <c r="ACS35">
        <v>365</v>
      </c>
      <c r="ACT35">
        <v>365</v>
      </c>
      <c r="ACU35">
        <v>365</v>
      </c>
      <c r="ACV35">
        <v>365</v>
      </c>
      <c r="ACW35">
        <v>365</v>
      </c>
      <c r="ACX35">
        <v>365</v>
      </c>
      <c r="ACY35">
        <v>365</v>
      </c>
      <c r="ACZ35">
        <v>365</v>
      </c>
      <c r="ADA35">
        <v>365</v>
      </c>
      <c r="ADB35">
        <v>365</v>
      </c>
      <c r="ADC35">
        <v>365</v>
      </c>
      <c r="ADD35">
        <v>365</v>
      </c>
      <c r="ADE35">
        <v>365</v>
      </c>
      <c r="ADF35">
        <v>365</v>
      </c>
      <c r="ADG35">
        <v>365</v>
      </c>
      <c r="ADH35">
        <v>365</v>
      </c>
      <c r="ADI35">
        <v>365</v>
      </c>
      <c r="ADJ35">
        <v>365</v>
      </c>
      <c r="ADK35">
        <v>365</v>
      </c>
      <c r="ADL35">
        <v>365</v>
      </c>
      <c r="ADM35">
        <v>365</v>
      </c>
      <c r="ADN35">
        <v>365</v>
      </c>
      <c r="ADO35">
        <v>365</v>
      </c>
      <c r="ADP35">
        <v>365</v>
      </c>
      <c r="ADQ35">
        <v>365</v>
      </c>
      <c r="ADR35">
        <v>365</v>
      </c>
      <c r="ADS35">
        <v>365</v>
      </c>
      <c r="ADT35">
        <v>365</v>
      </c>
      <c r="ADU35">
        <v>365</v>
      </c>
      <c r="ADV35">
        <v>365</v>
      </c>
      <c r="ADW35">
        <v>365</v>
      </c>
      <c r="ADX35">
        <v>365</v>
      </c>
      <c r="ADY35">
        <v>365</v>
      </c>
      <c r="ADZ35">
        <v>365</v>
      </c>
      <c r="AEA35">
        <v>365</v>
      </c>
      <c r="AEB35">
        <v>365</v>
      </c>
      <c r="AEC35">
        <v>365</v>
      </c>
      <c r="AED35">
        <v>365</v>
      </c>
      <c r="AEE35">
        <v>365</v>
      </c>
      <c r="AEF35">
        <v>365</v>
      </c>
      <c r="AEG35">
        <v>365</v>
      </c>
      <c r="AEH35">
        <v>365</v>
      </c>
      <c r="AEI35">
        <v>365</v>
      </c>
      <c r="AEJ35">
        <v>365</v>
      </c>
      <c r="AEK35">
        <v>365</v>
      </c>
      <c r="AEL35">
        <v>365</v>
      </c>
      <c r="AEM35">
        <v>365</v>
      </c>
      <c r="AEN35">
        <v>365</v>
      </c>
      <c r="AEO35">
        <v>365</v>
      </c>
      <c r="AEP35">
        <v>365</v>
      </c>
      <c r="AEQ35">
        <v>365</v>
      </c>
      <c r="AER35">
        <v>365</v>
      </c>
      <c r="AES35">
        <v>365</v>
      </c>
      <c r="AET35">
        <v>365</v>
      </c>
      <c r="AEU35">
        <v>365</v>
      </c>
      <c r="AEV35">
        <v>365</v>
      </c>
      <c r="AEW35">
        <v>365</v>
      </c>
      <c r="AEX35">
        <v>365</v>
      </c>
      <c r="AEY35">
        <v>365</v>
      </c>
      <c r="AEZ35">
        <v>365</v>
      </c>
      <c r="AFA35">
        <v>365</v>
      </c>
      <c r="AFB35">
        <v>365</v>
      </c>
      <c r="AFC35">
        <v>365</v>
      </c>
      <c r="AFD35">
        <v>365</v>
      </c>
      <c r="AFE35">
        <v>365</v>
      </c>
      <c r="AFF35">
        <v>365</v>
      </c>
      <c r="AFG35">
        <v>365</v>
      </c>
      <c r="AFH35">
        <v>365</v>
      </c>
      <c r="AFI35">
        <v>365</v>
      </c>
      <c r="AFJ35">
        <v>365</v>
      </c>
      <c r="AFK35">
        <v>365</v>
      </c>
      <c r="AFL35">
        <v>365</v>
      </c>
      <c r="AFM35">
        <v>365</v>
      </c>
      <c r="AFN35">
        <v>365</v>
      </c>
      <c r="AFO35">
        <v>365</v>
      </c>
      <c r="AFP35">
        <v>365</v>
      </c>
      <c r="AFQ35">
        <v>365</v>
      </c>
      <c r="AFR35">
        <v>365</v>
      </c>
      <c r="AFS35">
        <v>365</v>
      </c>
      <c r="AFT35">
        <v>365</v>
      </c>
      <c r="AFU35">
        <v>365</v>
      </c>
      <c r="AFV35">
        <v>365</v>
      </c>
      <c r="AFW35">
        <v>365</v>
      </c>
      <c r="AFX35">
        <v>365</v>
      </c>
      <c r="AFY35">
        <v>365</v>
      </c>
      <c r="AFZ35">
        <v>365</v>
      </c>
      <c r="AGA35">
        <v>365</v>
      </c>
      <c r="AGB35">
        <v>365</v>
      </c>
      <c r="AGC35">
        <v>365</v>
      </c>
      <c r="AGD35">
        <v>365</v>
      </c>
      <c r="AGE35">
        <v>365</v>
      </c>
      <c r="AGF35">
        <v>365</v>
      </c>
      <c r="AGG35">
        <v>365</v>
      </c>
      <c r="AGH35">
        <v>365</v>
      </c>
      <c r="AGI35">
        <v>358</v>
      </c>
      <c r="AGJ35">
        <v>358</v>
      </c>
      <c r="AGK35">
        <v>358</v>
      </c>
      <c r="AGL35">
        <v>358</v>
      </c>
      <c r="AGM35">
        <v>358</v>
      </c>
      <c r="AGN35">
        <v>358</v>
      </c>
      <c r="AGO35">
        <v>358</v>
      </c>
      <c r="AGP35">
        <v>358</v>
      </c>
      <c r="AGQ35">
        <v>358</v>
      </c>
      <c r="AGR35">
        <v>358</v>
      </c>
      <c r="AGS35">
        <v>358</v>
      </c>
      <c r="AGT35">
        <v>358</v>
      </c>
      <c r="AGU35">
        <v>358</v>
      </c>
      <c r="AGV35">
        <v>358</v>
      </c>
      <c r="AGW35">
        <v>358</v>
      </c>
      <c r="AGX35">
        <v>358</v>
      </c>
      <c r="AGY35">
        <v>358</v>
      </c>
      <c r="AGZ35">
        <v>358</v>
      </c>
      <c r="AHA35">
        <v>358</v>
      </c>
      <c r="AHB35">
        <v>358</v>
      </c>
      <c r="AHC35">
        <v>358</v>
      </c>
      <c r="AHD35">
        <v>358</v>
      </c>
      <c r="AHE35">
        <v>358</v>
      </c>
      <c r="AHF35">
        <v>358</v>
      </c>
      <c r="AHG35">
        <v>358</v>
      </c>
      <c r="AHH35">
        <v>358</v>
      </c>
      <c r="AHI35">
        <v>358</v>
      </c>
      <c r="AHJ35">
        <v>358</v>
      </c>
      <c r="AHK35">
        <v>358</v>
      </c>
      <c r="AHL35">
        <v>358</v>
      </c>
      <c r="AHM35">
        <v>358</v>
      </c>
      <c r="AHN35">
        <v>358</v>
      </c>
      <c r="AHO35">
        <v>358</v>
      </c>
      <c r="AHP35">
        <v>358</v>
      </c>
      <c r="AHQ35">
        <v>358</v>
      </c>
      <c r="AHR35">
        <v>358</v>
      </c>
      <c r="AHS35">
        <v>358</v>
      </c>
      <c r="AHT35">
        <v>358</v>
      </c>
      <c r="AHU35">
        <v>358</v>
      </c>
      <c r="AHV35">
        <v>358</v>
      </c>
      <c r="AHW35">
        <v>358</v>
      </c>
      <c r="AHX35">
        <v>358</v>
      </c>
      <c r="AHY35">
        <v>358</v>
      </c>
      <c r="AHZ35">
        <v>358</v>
      </c>
      <c r="AIA35">
        <v>358</v>
      </c>
      <c r="AIB35">
        <v>358</v>
      </c>
      <c r="AIC35">
        <v>358</v>
      </c>
      <c r="AID35">
        <v>358</v>
      </c>
      <c r="AIE35">
        <v>358</v>
      </c>
      <c r="AIF35">
        <v>358</v>
      </c>
      <c r="AIG35">
        <v>358</v>
      </c>
      <c r="AIH35">
        <v>358</v>
      </c>
      <c r="AII35">
        <v>358</v>
      </c>
      <c r="AIJ35">
        <v>358</v>
      </c>
      <c r="AIK35">
        <v>358</v>
      </c>
      <c r="AIL35">
        <v>358</v>
      </c>
      <c r="AIM35">
        <v>358</v>
      </c>
      <c r="AIN35">
        <v>358</v>
      </c>
      <c r="AIO35">
        <v>358</v>
      </c>
      <c r="AIP35">
        <v>358</v>
      </c>
      <c r="AIQ35">
        <v>358</v>
      </c>
      <c r="AIR35">
        <v>358</v>
      </c>
      <c r="AIS35">
        <v>358</v>
      </c>
      <c r="AIT35">
        <v>358</v>
      </c>
      <c r="AIU35">
        <v>358</v>
      </c>
      <c r="AIV35">
        <v>358</v>
      </c>
      <c r="AIW35">
        <v>358</v>
      </c>
      <c r="AIX35">
        <v>358</v>
      </c>
      <c r="AIY35">
        <v>358</v>
      </c>
      <c r="AIZ35">
        <v>358</v>
      </c>
      <c r="AJA35">
        <v>358</v>
      </c>
      <c r="AJB35">
        <v>358</v>
      </c>
      <c r="AJC35">
        <v>358</v>
      </c>
      <c r="AJD35">
        <v>358</v>
      </c>
      <c r="AJE35">
        <v>358</v>
      </c>
      <c r="AJF35">
        <v>358</v>
      </c>
      <c r="AJG35">
        <v>358</v>
      </c>
      <c r="AJH35">
        <v>358</v>
      </c>
      <c r="AJI35">
        <v>358</v>
      </c>
      <c r="AJJ35">
        <v>358</v>
      </c>
      <c r="AJK35">
        <v>358</v>
      </c>
      <c r="AJL35">
        <v>358</v>
      </c>
      <c r="AJM35">
        <v>358</v>
      </c>
      <c r="AJN35">
        <v>358</v>
      </c>
      <c r="AJO35">
        <v>358</v>
      </c>
      <c r="AJP35">
        <v>358</v>
      </c>
      <c r="AJQ35">
        <v>358</v>
      </c>
      <c r="AJR35">
        <v>94.742220702159329</v>
      </c>
      <c r="AJS35">
        <v>308.25777929784067</v>
      </c>
      <c r="AJT35">
        <v>321.60000000000002</v>
      </c>
      <c r="AJU35">
        <v>329.49</v>
      </c>
      <c r="AJV35">
        <v>342</v>
      </c>
      <c r="AJW35">
        <v>360</v>
      </c>
      <c r="AJX35">
        <v>365</v>
      </c>
      <c r="AJY35">
        <v>365</v>
      </c>
      <c r="AJZ35">
        <v>365.7</v>
      </c>
      <c r="AKA35">
        <v>365</v>
      </c>
      <c r="AKB35">
        <v>365</v>
      </c>
      <c r="AKC35">
        <v>365</v>
      </c>
      <c r="AKD35">
        <v>365</v>
      </c>
      <c r="AKE35">
        <v>365</v>
      </c>
      <c r="AKF35">
        <v>365</v>
      </c>
      <c r="AKG35">
        <v>365</v>
      </c>
      <c r="AKH35">
        <f t="shared" ref="AKH35:AKM35" si="48">_xlfn.DAYS(AKH34,AKH33)+1</f>
        <v>184</v>
      </c>
      <c r="AKI35">
        <f t="shared" si="48"/>
        <v>151</v>
      </c>
      <c r="AKJ35">
        <f t="shared" si="48"/>
        <v>355</v>
      </c>
      <c r="AKK35">
        <f t="shared" si="48"/>
        <v>365</v>
      </c>
      <c r="AKL35">
        <f t="shared" si="48"/>
        <v>366</v>
      </c>
      <c r="AKM35">
        <f t="shared" si="48"/>
        <v>365</v>
      </c>
      <c r="AKU35">
        <f>AKU38/AKU40</f>
        <v>174.96549406228993</v>
      </c>
      <c r="AKV35">
        <f>AKV38/AKV40</f>
        <v>295.78909764487958</v>
      </c>
      <c r="AKW35">
        <f>AKW38/AKW40</f>
        <v>229.12883435582822</v>
      </c>
    </row>
    <row r="36" spans="1:985" ht="14.4" customHeight="1" x14ac:dyDescent="0.55000000000000004">
      <c r="A36" t="s">
        <v>571</v>
      </c>
      <c r="B36" t="s">
        <v>510</v>
      </c>
      <c r="C36" s="1" t="s">
        <v>719</v>
      </c>
      <c r="AKO36">
        <v>4630126.3479211545</v>
      </c>
      <c r="AKP36">
        <v>3653755.6701030927</v>
      </c>
      <c r="AKQ36">
        <v>4245617.2297297297</v>
      </c>
      <c r="AKR36">
        <v>4392927.083333334</v>
      </c>
    </row>
    <row r="37" spans="1:985" ht="14.4" customHeight="1" x14ac:dyDescent="0.55000000000000004">
      <c r="A37" t="s">
        <v>572</v>
      </c>
      <c r="B37" t="s">
        <v>510</v>
      </c>
      <c r="C37" s="1" t="s">
        <v>720</v>
      </c>
      <c r="AKO37">
        <v>25680</v>
      </c>
    </row>
    <row r="38" spans="1:985" ht="14.4" customHeight="1" x14ac:dyDescent="0.55000000000000004">
      <c r="A38" t="s">
        <v>557</v>
      </c>
      <c r="B38" t="s">
        <v>510</v>
      </c>
      <c r="C38" s="1" t="s">
        <v>721</v>
      </c>
      <c r="AKN38">
        <v>2765881</v>
      </c>
      <c r="AKO38">
        <f>AKO36-AKO37</f>
        <v>4604446.3479211545</v>
      </c>
      <c r="AKP38">
        <f>AKP36*AKP44</f>
        <v>3544143</v>
      </c>
      <c r="AKQ38">
        <f t="shared" ref="AKQ38:AKR38" si="49">AKQ36*AKQ44</f>
        <v>4189009</v>
      </c>
      <c r="AKR38">
        <f t="shared" si="49"/>
        <v>4217210</v>
      </c>
      <c r="AKU38">
        <v>780871</v>
      </c>
      <c r="AKV38">
        <v>2235574</v>
      </c>
      <c r="AKW38">
        <v>2054140</v>
      </c>
    </row>
    <row r="39" spans="1:985" ht="14.4" customHeight="1" x14ac:dyDescent="0.55000000000000004">
      <c r="A39" t="s">
        <v>47</v>
      </c>
      <c r="B39" t="s">
        <v>621</v>
      </c>
      <c r="C39" s="1" t="s">
        <v>621</v>
      </c>
      <c r="D39">
        <v>1</v>
      </c>
      <c r="E39">
        <v>2</v>
      </c>
      <c r="F39">
        <v>3</v>
      </c>
      <c r="G39">
        <v>4</v>
      </c>
      <c r="H39">
        <v>1</v>
      </c>
      <c r="I39">
        <v>2</v>
      </c>
      <c r="J39">
        <v>3</v>
      </c>
      <c r="K39">
        <v>4</v>
      </c>
      <c r="L39">
        <v>5</v>
      </c>
      <c r="M39">
        <v>1</v>
      </c>
      <c r="N39">
        <v>2</v>
      </c>
      <c r="O39">
        <v>3</v>
      </c>
      <c r="P39">
        <v>4</v>
      </c>
      <c r="Q39">
        <v>5</v>
      </c>
      <c r="R39">
        <v>6</v>
      </c>
      <c r="S39">
        <v>7</v>
      </c>
      <c r="T39">
        <v>1</v>
      </c>
      <c r="U39">
        <v>2</v>
      </c>
      <c r="V39">
        <v>3</v>
      </c>
      <c r="W39">
        <v>4</v>
      </c>
      <c r="X39">
        <v>5</v>
      </c>
      <c r="Y39">
        <v>6</v>
      </c>
      <c r="Z39">
        <v>7</v>
      </c>
      <c r="AA39">
        <v>8</v>
      </c>
      <c r="AB39">
        <v>1</v>
      </c>
      <c r="AC39">
        <v>2</v>
      </c>
      <c r="AD39">
        <v>3</v>
      </c>
      <c r="AE39">
        <v>4</v>
      </c>
      <c r="AF39">
        <v>5</v>
      </c>
      <c r="AG39">
        <v>6</v>
      </c>
      <c r="AH39">
        <v>7</v>
      </c>
      <c r="AI39">
        <v>8</v>
      </c>
      <c r="AJ39">
        <v>1</v>
      </c>
      <c r="AK39">
        <v>2</v>
      </c>
      <c r="AL39">
        <v>3</v>
      </c>
      <c r="AM39">
        <v>4</v>
      </c>
      <c r="AN39">
        <v>5</v>
      </c>
      <c r="AO39">
        <v>6</v>
      </c>
      <c r="AP39">
        <v>7</v>
      </c>
      <c r="AQ39">
        <v>8</v>
      </c>
      <c r="AR39">
        <v>9</v>
      </c>
      <c r="AS39">
        <v>2</v>
      </c>
      <c r="AT39">
        <v>3</v>
      </c>
      <c r="AU39">
        <v>4</v>
      </c>
      <c r="AV39">
        <v>5</v>
      </c>
      <c r="AW39">
        <v>6</v>
      </c>
      <c r="AX39">
        <v>7</v>
      </c>
      <c r="AY39">
        <v>8</v>
      </c>
      <c r="AZ39">
        <v>9</v>
      </c>
      <c r="BA39">
        <v>1</v>
      </c>
      <c r="BB39">
        <v>2</v>
      </c>
      <c r="BC39">
        <v>3</v>
      </c>
      <c r="BD39">
        <v>4</v>
      </c>
      <c r="BE39">
        <v>5</v>
      </c>
      <c r="BF39">
        <v>10</v>
      </c>
    </row>
    <row r="40" spans="1:985" ht="14.4" customHeight="1" x14ac:dyDescent="0.55000000000000004">
      <c r="A40" t="s">
        <v>51</v>
      </c>
      <c r="B40" t="s">
        <v>622</v>
      </c>
      <c r="C40" s="1" t="s">
        <v>722</v>
      </c>
      <c r="D40">
        <v>20000</v>
      </c>
      <c r="E40">
        <v>19927</v>
      </c>
      <c r="F40">
        <v>19959</v>
      </c>
      <c r="G40">
        <v>19970</v>
      </c>
      <c r="H40">
        <v>20000</v>
      </c>
      <c r="I40">
        <v>19927</v>
      </c>
      <c r="J40">
        <v>19959</v>
      </c>
      <c r="K40">
        <v>19970</v>
      </c>
      <c r="L40">
        <v>19842</v>
      </c>
      <c r="M40">
        <v>20000</v>
      </c>
      <c r="N40">
        <v>19927</v>
      </c>
      <c r="O40">
        <v>19959</v>
      </c>
      <c r="P40">
        <v>19970</v>
      </c>
      <c r="Q40">
        <v>19842</v>
      </c>
      <c r="R40">
        <v>18504</v>
      </c>
      <c r="S40">
        <v>18392</v>
      </c>
      <c r="T40">
        <v>20000</v>
      </c>
      <c r="U40">
        <v>19927</v>
      </c>
      <c r="V40">
        <v>19959</v>
      </c>
      <c r="W40">
        <v>19970</v>
      </c>
      <c r="X40">
        <v>19842</v>
      </c>
      <c r="Y40">
        <v>18504</v>
      </c>
      <c r="Z40">
        <v>18392</v>
      </c>
      <c r="AA40">
        <v>19445</v>
      </c>
      <c r="AB40">
        <v>20000</v>
      </c>
      <c r="AC40">
        <v>19927</v>
      </c>
      <c r="AD40">
        <v>19959</v>
      </c>
      <c r="AE40">
        <v>19970</v>
      </c>
      <c r="AF40">
        <v>19842</v>
      </c>
      <c r="AG40">
        <v>18504</v>
      </c>
      <c r="AH40">
        <v>18392</v>
      </c>
      <c r="AI40">
        <v>19445</v>
      </c>
      <c r="AJ40">
        <v>19999</v>
      </c>
      <c r="AK40">
        <v>19927</v>
      </c>
      <c r="AL40">
        <v>19959</v>
      </c>
      <c r="AM40">
        <v>19970</v>
      </c>
      <c r="AN40">
        <v>19842</v>
      </c>
      <c r="AO40">
        <v>18504</v>
      </c>
      <c r="AP40">
        <v>18392</v>
      </c>
      <c r="AQ40">
        <v>19445</v>
      </c>
      <c r="AR40">
        <v>17304</v>
      </c>
      <c r="AS40">
        <v>19927</v>
      </c>
      <c r="AT40">
        <v>19959</v>
      </c>
      <c r="AU40">
        <v>19970</v>
      </c>
      <c r="AV40">
        <v>19842</v>
      </c>
      <c r="AW40">
        <v>18504</v>
      </c>
      <c r="AX40">
        <v>18392</v>
      </c>
      <c r="AY40">
        <v>19445</v>
      </c>
      <c r="AZ40">
        <v>17304</v>
      </c>
      <c r="BA40">
        <v>19999</v>
      </c>
      <c r="BB40">
        <v>19927</v>
      </c>
      <c r="BC40">
        <v>19959</v>
      </c>
      <c r="BD40">
        <v>19970</v>
      </c>
      <c r="BE40">
        <v>19842</v>
      </c>
      <c r="BF40">
        <v>10589</v>
      </c>
      <c r="BG40">
        <v>20254</v>
      </c>
      <c r="BH40">
        <v>20254</v>
      </c>
      <c r="BI40">
        <v>20254</v>
      </c>
      <c r="BJ40">
        <v>20254</v>
      </c>
      <c r="BK40">
        <v>20254</v>
      </c>
      <c r="BL40">
        <v>20254</v>
      </c>
      <c r="BM40">
        <v>20254</v>
      </c>
      <c r="BN40">
        <v>20254</v>
      </c>
      <c r="BO40">
        <v>20254</v>
      </c>
      <c r="BP40">
        <v>20243</v>
      </c>
      <c r="BQ40">
        <v>20318</v>
      </c>
      <c r="BR40">
        <v>20318</v>
      </c>
      <c r="BS40">
        <v>20318</v>
      </c>
      <c r="BT40">
        <v>20318</v>
      </c>
      <c r="BU40">
        <v>20318</v>
      </c>
      <c r="BV40">
        <v>20318</v>
      </c>
      <c r="BW40">
        <v>20318</v>
      </c>
      <c r="BX40">
        <v>20318</v>
      </c>
      <c r="BY40">
        <v>20318</v>
      </c>
      <c r="BZ40">
        <v>20301</v>
      </c>
      <c r="CA40">
        <v>1000</v>
      </c>
      <c r="CB40">
        <v>4601</v>
      </c>
      <c r="CC40">
        <v>4601</v>
      </c>
      <c r="CD40">
        <v>4601</v>
      </c>
      <c r="CE40">
        <v>4601</v>
      </c>
      <c r="CF40">
        <v>4601</v>
      </c>
      <c r="CG40">
        <v>4601</v>
      </c>
      <c r="CH40">
        <v>4601</v>
      </c>
      <c r="CI40">
        <v>4601</v>
      </c>
      <c r="CJ40">
        <v>4601</v>
      </c>
      <c r="CK40">
        <v>4601</v>
      </c>
      <c r="CL40">
        <v>4601</v>
      </c>
      <c r="CM40">
        <v>4601</v>
      </c>
      <c r="CN40">
        <v>4601</v>
      </c>
      <c r="CO40">
        <v>4601</v>
      </c>
      <c r="CP40">
        <v>4601</v>
      </c>
      <c r="CQ40">
        <v>4601</v>
      </c>
      <c r="CR40">
        <v>4601</v>
      </c>
      <c r="CS40">
        <v>4601</v>
      </c>
      <c r="CT40">
        <v>4601</v>
      </c>
      <c r="CU40">
        <v>4601</v>
      </c>
      <c r="CV40">
        <v>4601</v>
      </c>
      <c r="CW40">
        <v>4601</v>
      </c>
      <c r="CX40">
        <v>4601</v>
      </c>
      <c r="CY40">
        <v>4601</v>
      </c>
      <c r="CZ40">
        <v>4601</v>
      </c>
      <c r="DA40">
        <v>4601</v>
      </c>
      <c r="DB40">
        <v>4601</v>
      </c>
      <c r="DC40">
        <v>4601</v>
      </c>
      <c r="DD40">
        <v>4601</v>
      </c>
      <c r="DE40">
        <v>4601</v>
      </c>
      <c r="DF40">
        <v>4601</v>
      </c>
      <c r="DG40">
        <v>4601</v>
      </c>
      <c r="DH40">
        <v>4601</v>
      </c>
      <c r="DI40">
        <v>4601</v>
      </c>
      <c r="DJ40">
        <v>4601</v>
      </c>
      <c r="DK40">
        <v>4601</v>
      </c>
      <c r="DL40">
        <v>4601</v>
      </c>
      <c r="DM40">
        <v>4601</v>
      </c>
      <c r="DN40">
        <v>4601</v>
      </c>
      <c r="DO40">
        <v>4601</v>
      </c>
      <c r="DP40">
        <v>4601</v>
      </c>
      <c r="DQ40">
        <v>4601</v>
      </c>
      <c r="DR40">
        <v>4601</v>
      </c>
      <c r="DS40">
        <v>4601</v>
      </c>
      <c r="DT40">
        <v>4601</v>
      </c>
      <c r="DU40">
        <v>4601</v>
      </c>
      <c r="DV40">
        <v>4601</v>
      </c>
      <c r="DW40">
        <v>4601</v>
      </c>
      <c r="DX40">
        <v>4601</v>
      </c>
      <c r="DY40">
        <v>4601</v>
      </c>
      <c r="DZ40">
        <v>4601</v>
      </c>
      <c r="EA40">
        <v>4601</v>
      </c>
      <c r="EB40">
        <v>1000</v>
      </c>
      <c r="EC40">
        <v>4601</v>
      </c>
      <c r="ED40">
        <v>4601</v>
      </c>
      <c r="EE40">
        <v>4601</v>
      </c>
      <c r="EF40">
        <v>4601</v>
      </c>
      <c r="EG40">
        <v>4601</v>
      </c>
      <c r="EH40">
        <v>4601</v>
      </c>
      <c r="EI40">
        <v>4601</v>
      </c>
      <c r="EJ40">
        <v>4601</v>
      </c>
      <c r="EK40">
        <v>4601</v>
      </c>
      <c r="EL40">
        <v>4601</v>
      </c>
      <c r="EM40">
        <v>4601</v>
      </c>
      <c r="EN40">
        <v>4601</v>
      </c>
      <c r="EO40">
        <v>4601</v>
      </c>
      <c r="EP40">
        <v>4601</v>
      </c>
      <c r="EQ40">
        <v>4601</v>
      </c>
      <c r="ER40">
        <v>4601</v>
      </c>
      <c r="ES40">
        <v>4601</v>
      </c>
      <c r="ET40">
        <v>4601</v>
      </c>
      <c r="EU40">
        <v>4601</v>
      </c>
      <c r="EV40">
        <v>4601</v>
      </c>
      <c r="EW40">
        <v>4601</v>
      </c>
      <c r="EX40">
        <v>4601</v>
      </c>
      <c r="EY40">
        <v>4601</v>
      </c>
      <c r="EZ40">
        <v>4601</v>
      </c>
      <c r="FA40">
        <v>4601</v>
      </c>
      <c r="FB40">
        <v>4601</v>
      </c>
      <c r="FC40">
        <v>4601</v>
      </c>
      <c r="FD40">
        <v>4601</v>
      </c>
      <c r="FE40">
        <v>4601</v>
      </c>
      <c r="FF40">
        <v>4601</v>
      </c>
      <c r="FG40">
        <v>4601</v>
      </c>
      <c r="FH40">
        <v>4601</v>
      </c>
      <c r="FI40">
        <v>4601</v>
      </c>
      <c r="FJ40">
        <v>4601</v>
      </c>
      <c r="FK40">
        <v>4601</v>
      </c>
      <c r="FL40">
        <v>4601</v>
      </c>
      <c r="FM40">
        <v>4601</v>
      </c>
      <c r="FN40">
        <v>4601</v>
      </c>
      <c r="FO40">
        <v>4601</v>
      </c>
      <c r="FP40">
        <v>4601</v>
      </c>
      <c r="FQ40">
        <v>4601</v>
      </c>
      <c r="FR40">
        <v>4601</v>
      </c>
      <c r="FS40">
        <v>4601</v>
      </c>
      <c r="FT40">
        <v>4601</v>
      </c>
      <c r="FU40">
        <v>4601</v>
      </c>
      <c r="FV40">
        <v>4601</v>
      </c>
      <c r="FW40">
        <v>4601</v>
      </c>
      <c r="FX40">
        <v>4601</v>
      </c>
      <c r="FY40">
        <v>4601</v>
      </c>
      <c r="FZ40">
        <v>4601</v>
      </c>
      <c r="GA40">
        <v>4601</v>
      </c>
      <c r="GB40">
        <v>4601</v>
      </c>
      <c r="GC40">
        <v>1000</v>
      </c>
      <c r="GD40">
        <v>4601</v>
      </c>
      <c r="GE40">
        <v>4601</v>
      </c>
      <c r="GF40">
        <v>4601</v>
      </c>
      <c r="GG40">
        <v>4601</v>
      </c>
      <c r="GH40">
        <v>4601</v>
      </c>
      <c r="GI40">
        <v>4601</v>
      </c>
      <c r="GJ40">
        <v>4601</v>
      </c>
      <c r="GK40">
        <v>4601</v>
      </c>
      <c r="GL40">
        <v>4601</v>
      </c>
      <c r="GM40">
        <v>4601</v>
      </c>
      <c r="GN40">
        <v>4601</v>
      </c>
      <c r="GO40">
        <v>4601</v>
      </c>
      <c r="GP40">
        <v>4601</v>
      </c>
      <c r="GQ40">
        <v>4601</v>
      </c>
      <c r="GR40">
        <v>4601</v>
      </c>
      <c r="GS40">
        <v>4601</v>
      </c>
      <c r="GT40">
        <v>4601</v>
      </c>
      <c r="GU40">
        <v>4601</v>
      </c>
      <c r="GV40">
        <v>4601</v>
      </c>
      <c r="GW40">
        <v>4601</v>
      </c>
      <c r="GX40">
        <v>4601</v>
      </c>
      <c r="GY40">
        <v>4601</v>
      </c>
      <c r="GZ40">
        <v>4601</v>
      </c>
      <c r="HA40">
        <v>4601</v>
      </c>
      <c r="HB40">
        <v>4601</v>
      </c>
      <c r="HC40">
        <v>4601</v>
      </c>
      <c r="HD40">
        <v>4601</v>
      </c>
      <c r="HE40">
        <v>4601</v>
      </c>
      <c r="HF40">
        <v>4601</v>
      </c>
      <c r="HG40">
        <v>4601</v>
      </c>
      <c r="HH40">
        <v>4601</v>
      </c>
      <c r="HI40">
        <v>4601</v>
      </c>
      <c r="HJ40">
        <v>4601</v>
      </c>
      <c r="HK40">
        <v>4601</v>
      </c>
      <c r="HL40">
        <v>4601</v>
      </c>
      <c r="HM40">
        <v>4601</v>
      </c>
      <c r="HN40">
        <v>4601</v>
      </c>
      <c r="HO40">
        <v>4601</v>
      </c>
      <c r="HP40">
        <v>4601</v>
      </c>
      <c r="HQ40">
        <v>4601</v>
      </c>
      <c r="HR40">
        <v>4601</v>
      </c>
      <c r="HS40">
        <v>4601</v>
      </c>
      <c r="HT40">
        <v>4601</v>
      </c>
      <c r="HU40">
        <v>4601</v>
      </c>
      <c r="HV40">
        <v>4601</v>
      </c>
      <c r="HW40">
        <v>4601</v>
      </c>
      <c r="HX40">
        <v>4601</v>
      </c>
      <c r="HY40">
        <v>4601</v>
      </c>
      <c r="HZ40">
        <v>4601</v>
      </c>
      <c r="IA40">
        <v>4601</v>
      </c>
      <c r="IB40">
        <v>4601</v>
      </c>
      <c r="IC40">
        <v>4601</v>
      </c>
      <c r="ID40">
        <v>4601</v>
      </c>
      <c r="IE40">
        <v>4601</v>
      </c>
      <c r="IF40">
        <v>4601</v>
      </c>
      <c r="IG40">
        <v>4601</v>
      </c>
      <c r="IH40">
        <v>4601</v>
      </c>
      <c r="II40">
        <v>4601</v>
      </c>
      <c r="IJ40">
        <v>4601</v>
      </c>
      <c r="IK40">
        <v>4601</v>
      </c>
      <c r="IL40">
        <v>4601</v>
      </c>
      <c r="IM40">
        <v>4601</v>
      </c>
      <c r="IN40">
        <v>4601</v>
      </c>
      <c r="IO40">
        <v>4601</v>
      </c>
      <c r="IP40">
        <v>4601</v>
      </c>
      <c r="IQ40">
        <v>4601</v>
      </c>
      <c r="IR40">
        <v>4601</v>
      </c>
      <c r="IS40">
        <v>4601</v>
      </c>
      <c r="IT40">
        <v>4601</v>
      </c>
      <c r="IU40">
        <v>4601</v>
      </c>
      <c r="IV40">
        <v>4601</v>
      </c>
      <c r="IW40">
        <v>4601</v>
      </c>
      <c r="IX40">
        <v>1000</v>
      </c>
      <c r="IY40">
        <v>4601</v>
      </c>
      <c r="IZ40">
        <v>4601</v>
      </c>
      <c r="JA40">
        <v>4601</v>
      </c>
      <c r="JB40">
        <v>4601</v>
      </c>
      <c r="JC40">
        <v>4601</v>
      </c>
      <c r="JD40">
        <v>4601</v>
      </c>
      <c r="JE40">
        <v>4601</v>
      </c>
      <c r="JF40">
        <v>4601</v>
      </c>
      <c r="JG40">
        <v>4601</v>
      </c>
      <c r="JH40">
        <v>4601</v>
      </c>
      <c r="JI40">
        <v>4601</v>
      </c>
      <c r="JJ40">
        <v>4601</v>
      </c>
      <c r="JK40">
        <v>4601</v>
      </c>
      <c r="JL40">
        <v>4601</v>
      </c>
      <c r="JM40">
        <v>4601</v>
      </c>
      <c r="JN40">
        <v>4601</v>
      </c>
      <c r="JO40">
        <v>4601</v>
      </c>
      <c r="JP40">
        <v>4601</v>
      </c>
      <c r="JQ40">
        <v>4601</v>
      </c>
      <c r="JR40">
        <v>4601</v>
      </c>
      <c r="JS40">
        <v>4601</v>
      </c>
      <c r="JT40">
        <v>4601</v>
      </c>
      <c r="JU40">
        <v>4601</v>
      </c>
      <c r="JV40">
        <v>4601</v>
      </c>
      <c r="JW40">
        <v>4601</v>
      </c>
      <c r="JX40">
        <v>4601</v>
      </c>
      <c r="JY40">
        <v>4601</v>
      </c>
      <c r="JZ40">
        <v>4601</v>
      </c>
      <c r="KA40">
        <v>4601</v>
      </c>
      <c r="KB40">
        <v>4601</v>
      </c>
      <c r="KC40">
        <v>4601</v>
      </c>
      <c r="KD40">
        <v>4601</v>
      </c>
      <c r="KE40">
        <v>4601</v>
      </c>
      <c r="KF40">
        <v>4601</v>
      </c>
      <c r="KG40">
        <v>4601</v>
      </c>
      <c r="KH40">
        <v>4601</v>
      </c>
      <c r="KI40">
        <v>4601</v>
      </c>
      <c r="KJ40">
        <v>4601</v>
      </c>
      <c r="KK40">
        <v>4601</v>
      </c>
      <c r="KL40">
        <v>4601</v>
      </c>
      <c r="KM40">
        <v>4601</v>
      </c>
      <c r="KN40">
        <v>4601</v>
      </c>
      <c r="KO40">
        <v>4601</v>
      </c>
      <c r="KP40">
        <v>4601</v>
      </c>
      <c r="KQ40">
        <v>4601</v>
      </c>
      <c r="KR40">
        <v>4601</v>
      </c>
      <c r="KS40">
        <v>4601</v>
      </c>
      <c r="KT40">
        <v>4601</v>
      </c>
      <c r="KU40">
        <v>4601</v>
      </c>
      <c r="KV40">
        <v>4601</v>
      </c>
      <c r="KW40">
        <v>4601</v>
      </c>
      <c r="KX40">
        <v>4601</v>
      </c>
      <c r="KY40">
        <v>4601</v>
      </c>
      <c r="KZ40">
        <v>4601</v>
      </c>
      <c r="LA40">
        <v>4601</v>
      </c>
      <c r="LB40">
        <v>4601</v>
      </c>
      <c r="LC40">
        <v>4601</v>
      </c>
      <c r="LD40">
        <v>4601</v>
      </c>
      <c r="LE40">
        <v>4601</v>
      </c>
      <c r="LF40">
        <v>4601</v>
      </c>
      <c r="LG40">
        <v>4601</v>
      </c>
      <c r="LH40">
        <v>4601</v>
      </c>
      <c r="LI40">
        <v>4601</v>
      </c>
      <c r="LJ40">
        <v>4601</v>
      </c>
      <c r="LK40">
        <v>4601</v>
      </c>
      <c r="LL40">
        <v>4601</v>
      </c>
      <c r="LM40">
        <v>4601</v>
      </c>
      <c r="LN40">
        <v>4601</v>
      </c>
      <c r="LO40">
        <v>4601</v>
      </c>
      <c r="LP40">
        <v>4601</v>
      </c>
      <c r="LQ40">
        <v>4601</v>
      </c>
      <c r="LR40">
        <v>3350</v>
      </c>
      <c r="LS40">
        <v>4601</v>
      </c>
      <c r="LT40">
        <v>4601</v>
      </c>
      <c r="LU40">
        <v>4601</v>
      </c>
      <c r="LV40">
        <v>4601</v>
      </c>
      <c r="LW40">
        <v>4601</v>
      </c>
      <c r="LX40">
        <v>4601</v>
      </c>
      <c r="LY40">
        <v>4601</v>
      </c>
      <c r="LZ40">
        <v>4601</v>
      </c>
      <c r="MA40">
        <v>4601</v>
      </c>
      <c r="MB40">
        <v>4601</v>
      </c>
      <c r="MC40">
        <v>4601</v>
      </c>
      <c r="MD40">
        <v>4601</v>
      </c>
      <c r="ME40">
        <v>4601</v>
      </c>
      <c r="MF40">
        <v>4601</v>
      </c>
      <c r="MG40">
        <v>1000</v>
      </c>
      <c r="MH40">
        <v>4601</v>
      </c>
      <c r="MI40">
        <v>4601</v>
      </c>
      <c r="MJ40">
        <v>4601</v>
      </c>
      <c r="MK40">
        <v>4601</v>
      </c>
      <c r="ML40">
        <v>4601</v>
      </c>
      <c r="MM40">
        <v>4601</v>
      </c>
      <c r="MN40">
        <v>4601</v>
      </c>
      <c r="MO40">
        <v>4601</v>
      </c>
      <c r="MP40">
        <v>4601</v>
      </c>
      <c r="MQ40">
        <v>4601</v>
      </c>
      <c r="MR40">
        <v>4601</v>
      </c>
      <c r="MS40">
        <v>4601</v>
      </c>
      <c r="MT40">
        <v>4601</v>
      </c>
      <c r="MU40">
        <v>4601</v>
      </c>
      <c r="MV40">
        <v>4601</v>
      </c>
      <c r="MW40">
        <v>4601</v>
      </c>
      <c r="MX40">
        <v>4601</v>
      </c>
      <c r="MY40">
        <v>4601</v>
      </c>
      <c r="MZ40">
        <v>4601</v>
      </c>
      <c r="NA40">
        <v>4601</v>
      </c>
      <c r="NB40">
        <v>4601</v>
      </c>
      <c r="NC40">
        <v>4601</v>
      </c>
      <c r="ND40">
        <v>4601</v>
      </c>
      <c r="NE40">
        <v>4601</v>
      </c>
      <c r="NF40">
        <v>4601</v>
      </c>
      <c r="NG40">
        <v>4601</v>
      </c>
      <c r="NH40">
        <v>4601</v>
      </c>
      <c r="NI40">
        <v>4601</v>
      </c>
      <c r="NJ40">
        <v>4601</v>
      </c>
      <c r="NK40">
        <v>4601</v>
      </c>
      <c r="NL40">
        <v>4601</v>
      </c>
      <c r="NM40">
        <v>4601</v>
      </c>
      <c r="NN40">
        <v>4601</v>
      </c>
      <c r="NO40">
        <v>4601</v>
      </c>
      <c r="NP40">
        <v>4601</v>
      </c>
      <c r="NQ40">
        <v>4601</v>
      </c>
      <c r="NR40">
        <v>4601</v>
      </c>
      <c r="NS40">
        <v>4601</v>
      </c>
      <c r="NT40">
        <v>4601</v>
      </c>
      <c r="NU40">
        <v>4601</v>
      </c>
      <c r="NV40">
        <v>4601</v>
      </c>
      <c r="NW40">
        <v>4601</v>
      </c>
      <c r="NX40">
        <v>4601</v>
      </c>
      <c r="NY40">
        <v>4601</v>
      </c>
      <c r="NZ40">
        <v>4601</v>
      </c>
      <c r="OA40">
        <v>4601</v>
      </c>
      <c r="OB40">
        <v>4601</v>
      </c>
      <c r="OC40">
        <v>4601</v>
      </c>
      <c r="OD40">
        <v>4601</v>
      </c>
      <c r="OE40">
        <v>4601</v>
      </c>
      <c r="OF40">
        <v>4601</v>
      </c>
      <c r="OG40">
        <v>4601</v>
      </c>
      <c r="OH40">
        <v>4601</v>
      </c>
      <c r="OI40">
        <v>4601</v>
      </c>
      <c r="OJ40">
        <v>4601</v>
      </c>
      <c r="OK40">
        <v>4601</v>
      </c>
      <c r="OL40">
        <v>4601</v>
      </c>
      <c r="OM40">
        <v>4601</v>
      </c>
      <c r="ON40">
        <v>4601</v>
      </c>
      <c r="OO40">
        <v>4601</v>
      </c>
      <c r="OP40">
        <v>4601</v>
      </c>
      <c r="OQ40">
        <v>4601</v>
      </c>
      <c r="OR40">
        <v>4601</v>
      </c>
      <c r="OS40">
        <v>4601</v>
      </c>
      <c r="OT40">
        <v>4601</v>
      </c>
      <c r="OU40">
        <v>4601</v>
      </c>
      <c r="OV40">
        <v>4601</v>
      </c>
      <c r="OW40">
        <v>4601</v>
      </c>
      <c r="OX40">
        <v>4601</v>
      </c>
      <c r="OY40">
        <v>4601</v>
      </c>
      <c r="OZ40">
        <v>4601</v>
      </c>
      <c r="PA40">
        <v>3350</v>
      </c>
      <c r="PB40">
        <v>4601</v>
      </c>
      <c r="PC40">
        <v>4601</v>
      </c>
      <c r="PD40">
        <v>4601</v>
      </c>
      <c r="PE40">
        <v>4601</v>
      </c>
      <c r="PF40">
        <v>4601</v>
      </c>
      <c r="PG40">
        <v>4601</v>
      </c>
      <c r="PH40">
        <v>4601</v>
      </c>
      <c r="PI40">
        <v>4601</v>
      </c>
      <c r="PJ40">
        <v>4601</v>
      </c>
      <c r="PK40">
        <v>4601</v>
      </c>
      <c r="PL40">
        <v>4601</v>
      </c>
      <c r="PM40">
        <v>4601</v>
      </c>
      <c r="PN40">
        <v>4601</v>
      </c>
      <c r="PO40">
        <v>4601</v>
      </c>
      <c r="PP40">
        <v>1000</v>
      </c>
      <c r="PQ40">
        <v>4601</v>
      </c>
      <c r="PR40">
        <v>4601</v>
      </c>
      <c r="PS40">
        <v>4601</v>
      </c>
      <c r="PT40">
        <v>4601</v>
      </c>
      <c r="PU40">
        <v>4601</v>
      </c>
      <c r="PV40">
        <v>4601</v>
      </c>
      <c r="PW40">
        <v>4601</v>
      </c>
      <c r="PX40">
        <v>4601</v>
      </c>
      <c r="PY40">
        <v>4601</v>
      </c>
      <c r="PZ40">
        <v>4601</v>
      </c>
      <c r="QA40">
        <v>4601</v>
      </c>
      <c r="QB40">
        <v>4601</v>
      </c>
      <c r="QC40">
        <v>4601</v>
      </c>
      <c r="QD40">
        <v>4601</v>
      </c>
      <c r="QE40">
        <v>4601</v>
      </c>
      <c r="QF40">
        <v>4601</v>
      </c>
      <c r="QG40">
        <v>4601</v>
      </c>
      <c r="QH40">
        <v>4601</v>
      </c>
      <c r="QI40">
        <v>4601</v>
      </c>
      <c r="QJ40">
        <v>4601</v>
      </c>
      <c r="QK40">
        <v>4601</v>
      </c>
      <c r="QL40">
        <v>4601</v>
      </c>
      <c r="QM40">
        <v>4601</v>
      </c>
      <c r="QN40">
        <v>4601</v>
      </c>
      <c r="QO40">
        <v>4601</v>
      </c>
      <c r="QP40">
        <v>4601</v>
      </c>
      <c r="QQ40">
        <v>4601</v>
      </c>
      <c r="QR40">
        <v>4601</v>
      </c>
      <c r="QS40">
        <v>4601</v>
      </c>
      <c r="QT40">
        <v>4601</v>
      </c>
      <c r="QU40">
        <v>4601</v>
      </c>
      <c r="QV40">
        <v>4601</v>
      </c>
      <c r="QW40">
        <v>4601</v>
      </c>
      <c r="QX40">
        <v>4601</v>
      </c>
      <c r="QY40">
        <v>4601</v>
      </c>
      <c r="QZ40">
        <v>4601</v>
      </c>
      <c r="RA40">
        <v>4601</v>
      </c>
      <c r="RB40">
        <v>4601</v>
      </c>
      <c r="RC40">
        <v>4601</v>
      </c>
      <c r="RD40">
        <v>4601</v>
      </c>
      <c r="RE40">
        <v>4601</v>
      </c>
      <c r="RF40">
        <v>4601</v>
      </c>
      <c r="RG40">
        <v>4601</v>
      </c>
      <c r="RH40">
        <v>4601</v>
      </c>
      <c r="RI40">
        <v>4601</v>
      </c>
      <c r="RJ40">
        <v>4601</v>
      </c>
      <c r="RK40">
        <v>4601</v>
      </c>
      <c r="RL40">
        <v>4601</v>
      </c>
      <c r="RM40">
        <v>4601</v>
      </c>
      <c r="RN40">
        <v>4601</v>
      </c>
      <c r="RO40">
        <v>4601</v>
      </c>
      <c r="RP40">
        <v>4601</v>
      </c>
      <c r="RQ40">
        <v>4601</v>
      </c>
      <c r="RR40">
        <v>4601</v>
      </c>
      <c r="RS40">
        <v>4601</v>
      </c>
      <c r="RT40">
        <v>4601</v>
      </c>
      <c r="RU40">
        <v>4601</v>
      </c>
      <c r="RV40">
        <v>4601</v>
      </c>
      <c r="RW40">
        <v>4601</v>
      </c>
      <c r="RX40">
        <v>4601</v>
      </c>
      <c r="RY40">
        <v>4601</v>
      </c>
      <c r="RZ40">
        <v>4601</v>
      </c>
      <c r="SA40">
        <v>4601</v>
      </c>
      <c r="SB40">
        <v>4601</v>
      </c>
      <c r="SC40">
        <v>4601</v>
      </c>
      <c r="SD40">
        <v>4601</v>
      </c>
      <c r="SE40">
        <v>4601</v>
      </c>
      <c r="SF40">
        <v>4601</v>
      </c>
      <c r="SG40">
        <v>4601</v>
      </c>
      <c r="SH40">
        <v>4601</v>
      </c>
      <c r="SI40">
        <v>4601</v>
      </c>
      <c r="SJ40">
        <v>3350</v>
      </c>
      <c r="SK40">
        <v>4601</v>
      </c>
      <c r="SL40">
        <v>4601</v>
      </c>
      <c r="SM40">
        <v>4601</v>
      </c>
      <c r="SN40">
        <v>4601</v>
      </c>
      <c r="SO40">
        <v>4601</v>
      </c>
      <c r="SP40">
        <v>4601</v>
      </c>
      <c r="SQ40">
        <v>4601</v>
      </c>
      <c r="SR40">
        <v>4601</v>
      </c>
      <c r="SS40">
        <v>4601</v>
      </c>
      <c r="ST40">
        <v>4601</v>
      </c>
      <c r="SU40">
        <v>4601</v>
      </c>
      <c r="SV40">
        <v>4601</v>
      </c>
      <c r="SW40">
        <v>4601</v>
      </c>
      <c r="SX40">
        <v>4601</v>
      </c>
      <c r="SY40">
        <v>1000</v>
      </c>
      <c r="SZ40">
        <v>4601</v>
      </c>
      <c r="TA40">
        <v>4601</v>
      </c>
      <c r="TB40">
        <v>4601</v>
      </c>
      <c r="TC40">
        <v>4601</v>
      </c>
      <c r="TD40">
        <v>4601</v>
      </c>
      <c r="TE40">
        <v>4601</v>
      </c>
      <c r="TF40">
        <v>4601</v>
      </c>
      <c r="TG40">
        <v>4601</v>
      </c>
      <c r="TH40">
        <v>4601</v>
      </c>
      <c r="TI40">
        <v>4601</v>
      </c>
      <c r="TJ40">
        <v>4601</v>
      </c>
      <c r="TK40">
        <v>4601</v>
      </c>
      <c r="TL40">
        <v>4601</v>
      </c>
      <c r="TM40">
        <v>4601</v>
      </c>
      <c r="TN40">
        <v>4601</v>
      </c>
      <c r="TO40">
        <v>4601</v>
      </c>
      <c r="TP40">
        <v>4601</v>
      </c>
      <c r="TQ40">
        <v>4601</v>
      </c>
      <c r="TR40">
        <v>4601</v>
      </c>
      <c r="TS40">
        <v>4601</v>
      </c>
      <c r="TT40">
        <v>4601</v>
      </c>
      <c r="TU40">
        <v>4601</v>
      </c>
      <c r="TV40">
        <v>4601</v>
      </c>
      <c r="TW40">
        <v>4601</v>
      </c>
      <c r="TX40">
        <v>4601</v>
      </c>
      <c r="TY40">
        <v>4601</v>
      </c>
      <c r="TZ40">
        <v>4601</v>
      </c>
      <c r="UA40">
        <v>4601</v>
      </c>
      <c r="UB40">
        <v>4601</v>
      </c>
      <c r="UC40">
        <v>4601</v>
      </c>
      <c r="UD40">
        <v>4601</v>
      </c>
      <c r="UE40">
        <v>4601</v>
      </c>
      <c r="UF40">
        <v>4601</v>
      </c>
      <c r="UG40">
        <v>4601</v>
      </c>
      <c r="UH40">
        <v>4601</v>
      </c>
      <c r="UI40">
        <v>4601</v>
      </c>
      <c r="UJ40">
        <v>4601</v>
      </c>
      <c r="UK40">
        <v>4601</v>
      </c>
      <c r="UL40">
        <v>4601</v>
      </c>
      <c r="UM40">
        <v>4601</v>
      </c>
      <c r="UN40">
        <v>4601</v>
      </c>
      <c r="UO40">
        <v>4601</v>
      </c>
      <c r="UP40">
        <v>4601</v>
      </c>
      <c r="UQ40">
        <v>4601</v>
      </c>
      <c r="UR40">
        <v>4601</v>
      </c>
      <c r="US40">
        <v>4601</v>
      </c>
      <c r="UT40">
        <v>4601</v>
      </c>
      <c r="UU40">
        <v>4601</v>
      </c>
      <c r="UV40">
        <v>4601</v>
      </c>
      <c r="UW40">
        <v>4601</v>
      </c>
      <c r="UX40">
        <v>4601</v>
      </c>
      <c r="UY40">
        <v>4601</v>
      </c>
      <c r="UZ40">
        <v>4601</v>
      </c>
      <c r="VA40">
        <v>4601</v>
      </c>
      <c r="VB40">
        <v>4601</v>
      </c>
      <c r="VC40">
        <v>4601</v>
      </c>
      <c r="VD40">
        <v>4601</v>
      </c>
      <c r="VE40">
        <v>4601</v>
      </c>
      <c r="VF40">
        <v>4601</v>
      </c>
      <c r="VG40">
        <v>4601</v>
      </c>
      <c r="VH40">
        <v>4601</v>
      </c>
      <c r="VI40">
        <v>4601</v>
      </c>
      <c r="VJ40">
        <v>4601</v>
      </c>
      <c r="VK40">
        <v>4601</v>
      </c>
      <c r="VL40">
        <v>4601</v>
      </c>
      <c r="VM40">
        <v>4601</v>
      </c>
      <c r="VN40">
        <v>4601</v>
      </c>
      <c r="VO40">
        <v>4601</v>
      </c>
      <c r="VP40">
        <v>4601</v>
      </c>
      <c r="VQ40">
        <v>4601</v>
      </c>
      <c r="VR40">
        <v>4601</v>
      </c>
      <c r="VS40">
        <v>3350</v>
      </c>
      <c r="VT40">
        <v>4601</v>
      </c>
      <c r="VU40">
        <v>4601</v>
      </c>
      <c r="VV40">
        <v>4601</v>
      </c>
      <c r="VW40">
        <v>4601</v>
      </c>
      <c r="VX40">
        <v>4601</v>
      </c>
      <c r="VY40">
        <v>4601</v>
      </c>
      <c r="VZ40">
        <v>4601</v>
      </c>
      <c r="WA40">
        <v>4601</v>
      </c>
      <c r="WB40">
        <v>4601</v>
      </c>
      <c r="WC40">
        <v>4601</v>
      </c>
      <c r="WD40">
        <v>4601</v>
      </c>
      <c r="WE40">
        <v>4601</v>
      </c>
      <c r="WF40">
        <v>4601</v>
      </c>
      <c r="WG40">
        <v>4601</v>
      </c>
      <c r="WH40">
        <v>1000</v>
      </c>
      <c r="WI40">
        <v>4601</v>
      </c>
      <c r="WJ40">
        <v>4601</v>
      </c>
      <c r="WK40">
        <v>4601</v>
      </c>
      <c r="WL40">
        <v>4601</v>
      </c>
      <c r="WM40">
        <v>4601</v>
      </c>
      <c r="WN40">
        <v>4601</v>
      </c>
      <c r="WO40">
        <v>4601</v>
      </c>
      <c r="WP40">
        <v>4601</v>
      </c>
      <c r="WQ40">
        <v>4601</v>
      </c>
      <c r="WR40">
        <v>4601</v>
      </c>
      <c r="WS40">
        <v>4601</v>
      </c>
      <c r="WT40">
        <v>4601</v>
      </c>
      <c r="WU40">
        <v>4601</v>
      </c>
      <c r="WV40">
        <v>4601</v>
      </c>
      <c r="WW40">
        <v>4601</v>
      </c>
      <c r="WX40">
        <v>4601</v>
      </c>
      <c r="WY40">
        <v>4601</v>
      </c>
      <c r="WZ40">
        <v>4601</v>
      </c>
      <c r="XA40">
        <v>4601</v>
      </c>
      <c r="XB40">
        <v>4601</v>
      </c>
      <c r="XC40">
        <v>4601</v>
      </c>
      <c r="XD40">
        <v>4601</v>
      </c>
      <c r="XE40">
        <v>4601</v>
      </c>
      <c r="XF40">
        <v>4601</v>
      </c>
      <c r="XG40">
        <v>4601</v>
      </c>
      <c r="XH40">
        <v>4601</v>
      </c>
      <c r="XI40">
        <v>4601</v>
      </c>
      <c r="XJ40">
        <v>4601</v>
      </c>
      <c r="XK40">
        <v>4601</v>
      </c>
      <c r="XL40">
        <v>4601</v>
      </c>
      <c r="XM40">
        <v>4601</v>
      </c>
      <c r="XN40">
        <v>4601</v>
      </c>
      <c r="XO40">
        <v>4601</v>
      </c>
      <c r="XP40">
        <v>4601</v>
      </c>
      <c r="XQ40">
        <v>4601</v>
      </c>
      <c r="XR40">
        <v>4601</v>
      </c>
      <c r="XS40">
        <v>4601</v>
      </c>
      <c r="XT40">
        <v>4601</v>
      </c>
      <c r="XU40">
        <v>4601</v>
      </c>
      <c r="XV40">
        <v>4601</v>
      </c>
      <c r="XW40">
        <v>4601</v>
      </c>
      <c r="XX40">
        <v>4601</v>
      </c>
      <c r="XY40">
        <v>4601</v>
      </c>
      <c r="XZ40">
        <v>4601</v>
      </c>
      <c r="YA40">
        <v>4601</v>
      </c>
      <c r="YB40">
        <v>4601</v>
      </c>
      <c r="YC40">
        <v>4601</v>
      </c>
      <c r="YD40">
        <v>4601</v>
      </c>
      <c r="YE40">
        <v>4601</v>
      </c>
      <c r="YF40">
        <v>4601</v>
      </c>
      <c r="YG40">
        <v>4601</v>
      </c>
      <c r="YH40">
        <v>4601</v>
      </c>
      <c r="YI40">
        <v>4601</v>
      </c>
      <c r="YJ40">
        <v>4601</v>
      </c>
      <c r="YK40">
        <v>4601</v>
      </c>
      <c r="YL40">
        <v>4601</v>
      </c>
      <c r="YM40">
        <v>4601</v>
      </c>
      <c r="YN40">
        <v>4601</v>
      </c>
      <c r="YO40">
        <v>4601</v>
      </c>
      <c r="YP40">
        <v>4601</v>
      </c>
      <c r="YQ40">
        <v>4601</v>
      </c>
      <c r="YR40">
        <v>4601</v>
      </c>
      <c r="YS40">
        <v>4601</v>
      </c>
      <c r="YT40">
        <v>4601</v>
      </c>
      <c r="YU40">
        <v>4601</v>
      </c>
      <c r="YV40">
        <v>4601</v>
      </c>
      <c r="YW40">
        <v>4601</v>
      </c>
      <c r="YX40">
        <v>4601</v>
      </c>
      <c r="YY40">
        <v>4601</v>
      </c>
      <c r="YZ40">
        <v>4601</v>
      </c>
      <c r="ZA40">
        <v>4601</v>
      </c>
      <c r="ZB40">
        <v>3350</v>
      </c>
      <c r="ZC40">
        <v>4601</v>
      </c>
      <c r="ZD40">
        <v>4601</v>
      </c>
      <c r="ZE40">
        <v>4601</v>
      </c>
      <c r="ZF40">
        <v>4601</v>
      </c>
      <c r="ZG40">
        <v>4601</v>
      </c>
      <c r="ZH40">
        <v>4601</v>
      </c>
      <c r="ZI40">
        <v>4601</v>
      </c>
      <c r="ZJ40">
        <v>4601</v>
      </c>
      <c r="ZK40">
        <v>4601</v>
      </c>
      <c r="ZL40">
        <v>4601</v>
      </c>
      <c r="ZM40">
        <v>4601</v>
      </c>
      <c r="ZN40">
        <v>4601</v>
      </c>
      <c r="ZO40">
        <v>4601</v>
      </c>
      <c r="ZP40">
        <v>4601</v>
      </c>
      <c r="ZQ40">
        <v>1000</v>
      </c>
      <c r="ZR40">
        <v>4601</v>
      </c>
      <c r="ZS40">
        <v>4601</v>
      </c>
      <c r="ZT40">
        <v>4601</v>
      </c>
      <c r="ZU40">
        <v>4601</v>
      </c>
      <c r="ZV40">
        <v>4601</v>
      </c>
      <c r="ZW40">
        <v>4601</v>
      </c>
      <c r="ZX40">
        <v>4601</v>
      </c>
      <c r="ZY40">
        <v>4601</v>
      </c>
      <c r="ZZ40">
        <v>4601</v>
      </c>
      <c r="AAA40">
        <v>4601</v>
      </c>
      <c r="AAB40">
        <v>4601</v>
      </c>
      <c r="AAC40">
        <v>4601</v>
      </c>
      <c r="AAD40">
        <v>4601</v>
      </c>
      <c r="AAE40">
        <v>4601</v>
      </c>
      <c r="AAF40">
        <v>4601</v>
      </c>
      <c r="AAG40">
        <v>4601</v>
      </c>
      <c r="AAH40">
        <v>4601</v>
      </c>
      <c r="AAI40">
        <v>4601</v>
      </c>
      <c r="AAJ40">
        <v>4601</v>
      </c>
      <c r="AAK40">
        <v>4601</v>
      </c>
      <c r="AAL40">
        <v>4601</v>
      </c>
      <c r="AAM40">
        <v>4601</v>
      </c>
      <c r="AAN40">
        <v>4601</v>
      </c>
      <c r="AAO40">
        <v>4601</v>
      </c>
      <c r="AAP40">
        <v>4601</v>
      </c>
      <c r="AAQ40">
        <v>4601</v>
      </c>
      <c r="AAR40">
        <v>4601</v>
      </c>
      <c r="AAS40">
        <v>4601</v>
      </c>
      <c r="AAT40">
        <v>4601</v>
      </c>
      <c r="AAU40">
        <v>4601</v>
      </c>
      <c r="AAV40">
        <v>4601</v>
      </c>
      <c r="AAW40">
        <v>4601</v>
      </c>
      <c r="AAX40">
        <v>4601</v>
      </c>
      <c r="AAY40">
        <v>4601</v>
      </c>
      <c r="AAZ40">
        <v>4601</v>
      </c>
      <c r="ABA40">
        <v>4601</v>
      </c>
      <c r="ABB40">
        <v>4601</v>
      </c>
      <c r="ABC40">
        <v>4601</v>
      </c>
      <c r="ABD40">
        <v>4601</v>
      </c>
      <c r="ABE40">
        <v>4601</v>
      </c>
      <c r="ABF40">
        <v>4601</v>
      </c>
      <c r="ABG40">
        <v>4601</v>
      </c>
      <c r="ABH40">
        <v>4601</v>
      </c>
      <c r="ABI40">
        <v>4601</v>
      </c>
      <c r="ABJ40">
        <v>4601</v>
      </c>
      <c r="ABK40">
        <v>4601</v>
      </c>
      <c r="ABL40">
        <v>4601</v>
      </c>
      <c r="ABM40">
        <v>4601</v>
      </c>
      <c r="ABN40">
        <v>4601</v>
      </c>
      <c r="ABO40">
        <v>4601</v>
      </c>
      <c r="ABP40">
        <v>4601</v>
      </c>
      <c r="ABQ40">
        <v>4601</v>
      </c>
      <c r="ABR40">
        <v>4601</v>
      </c>
      <c r="ABS40">
        <v>4601</v>
      </c>
      <c r="ABT40">
        <v>4601</v>
      </c>
      <c r="ABU40">
        <v>4601</v>
      </c>
      <c r="ABV40">
        <v>4601</v>
      </c>
      <c r="ABW40">
        <v>4601</v>
      </c>
      <c r="ABX40">
        <v>4601</v>
      </c>
      <c r="ABY40">
        <v>4601</v>
      </c>
      <c r="ABZ40">
        <v>4601</v>
      </c>
      <c r="ACA40">
        <v>4601</v>
      </c>
      <c r="ACB40">
        <v>4601</v>
      </c>
      <c r="ACC40">
        <v>4601</v>
      </c>
      <c r="ACD40">
        <v>4601</v>
      </c>
      <c r="ACE40">
        <v>4601</v>
      </c>
      <c r="ACF40">
        <v>4601</v>
      </c>
      <c r="ACG40">
        <v>4601</v>
      </c>
      <c r="ACH40">
        <v>4601</v>
      </c>
      <c r="ACI40">
        <v>4601</v>
      </c>
      <c r="ACJ40">
        <v>4601</v>
      </c>
      <c r="ACK40">
        <v>3350</v>
      </c>
      <c r="ACL40">
        <v>4601</v>
      </c>
      <c r="ACM40">
        <v>4601</v>
      </c>
      <c r="ACN40">
        <v>4601</v>
      </c>
      <c r="ACO40">
        <v>4601</v>
      </c>
      <c r="ACP40">
        <v>4601</v>
      </c>
      <c r="ACQ40">
        <v>4601</v>
      </c>
      <c r="ACR40">
        <v>4601</v>
      </c>
      <c r="ACS40">
        <v>4601</v>
      </c>
      <c r="ACT40">
        <v>4601</v>
      </c>
      <c r="ACU40">
        <v>4601</v>
      </c>
      <c r="ACV40">
        <v>4601</v>
      </c>
      <c r="ACW40">
        <v>4601</v>
      </c>
      <c r="ACX40">
        <v>4601</v>
      </c>
      <c r="ACY40">
        <v>4601</v>
      </c>
      <c r="ACZ40">
        <v>4601</v>
      </c>
      <c r="ADA40">
        <v>4601</v>
      </c>
      <c r="ADB40">
        <v>4601</v>
      </c>
      <c r="ADC40">
        <v>4601</v>
      </c>
      <c r="ADD40">
        <v>4601</v>
      </c>
      <c r="ADE40">
        <v>4601</v>
      </c>
      <c r="ADF40">
        <v>4601</v>
      </c>
      <c r="ADG40">
        <v>4601</v>
      </c>
      <c r="ADH40">
        <v>4601</v>
      </c>
      <c r="ADI40">
        <v>4601</v>
      </c>
      <c r="ADJ40">
        <v>4601</v>
      </c>
      <c r="ADK40">
        <v>4601</v>
      </c>
      <c r="ADL40">
        <v>4601</v>
      </c>
      <c r="ADM40">
        <v>4601</v>
      </c>
      <c r="ADN40">
        <v>4601</v>
      </c>
      <c r="ADO40">
        <v>4601</v>
      </c>
      <c r="ADP40">
        <v>4601</v>
      </c>
      <c r="ADQ40">
        <v>4601</v>
      </c>
      <c r="ADR40">
        <v>4601</v>
      </c>
      <c r="ADS40">
        <v>4601</v>
      </c>
      <c r="ADT40">
        <v>4601</v>
      </c>
      <c r="ADU40">
        <v>4601</v>
      </c>
      <c r="ADV40">
        <v>4601</v>
      </c>
      <c r="ADW40">
        <v>4601</v>
      </c>
      <c r="ADX40">
        <v>4601</v>
      </c>
      <c r="ADY40">
        <v>4601</v>
      </c>
      <c r="ADZ40">
        <v>4601</v>
      </c>
      <c r="AEA40">
        <v>4601</v>
      </c>
      <c r="AEB40">
        <v>4601</v>
      </c>
      <c r="AEC40">
        <v>4601</v>
      </c>
      <c r="AED40">
        <v>4601</v>
      </c>
      <c r="AEE40">
        <v>4601</v>
      </c>
      <c r="AEF40">
        <v>4601</v>
      </c>
      <c r="AEG40">
        <v>4601</v>
      </c>
      <c r="AEH40">
        <v>4601</v>
      </c>
      <c r="AEI40">
        <v>4601</v>
      </c>
      <c r="AEJ40">
        <v>4601</v>
      </c>
      <c r="AEK40">
        <v>4601</v>
      </c>
      <c r="AEL40">
        <v>4601</v>
      </c>
      <c r="AEM40">
        <v>4601</v>
      </c>
      <c r="AEN40">
        <v>4601</v>
      </c>
      <c r="AEO40">
        <v>4601</v>
      </c>
      <c r="AEP40">
        <v>4601</v>
      </c>
      <c r="AEQ40">
        <v>4601</v>
      </c>
      <c r="AER40">
        <v>4601</v>
      </c>
      <c r="AES40">
        <v>4601</v>
      </c>
      <c r="AET40">
        <v>4601</v>
      </c>
      <c r="AEU40">
        <v>4601</v>
      </c>
      <c r="AEV40">
        <v>4601</v>
      </c>
      <c r="AEW40">
        <v>4601</v>
      </c>
      <c r="AEX40">
        <v>4601</v>
      </c>
      <c r="AEY40">
        <v>4601</v>
      </c>
      <c r="AEZ40">
        <v>4601</v>
      </c>
      <c r="AFA40">
        <v>4601</v>
      </c>
      <c r="AFB40">
        <v>4601</v>
      </c>
      <c r="AFC40">
        <v>4601</v>
      </c>
      <c r="AFD40">
        <v>4601</v>
      </c>
      <c r="AFE40">
        <v>4601</v>
      </c>
      <c r="AFF40">
        <v>4601</v>
      </c>
      <c r="AFG40">
        <v>4601</v>
      </c>
      <c r="AFH40">
        <v>4601</v>
      </c>
      <c r="AFI40">
        <v>4601</v>
      </c>
      <c r="AFJ40">
        <v>4601</v>
      </c>
      <c r="AFK40">
        <v>4601</v>
      </c>
      <c r="AFL40">
        <v>4601</v>
      </c>
      <c r="AFM40">
        <v>4601</v>
      </c>
      <c r="AFN40">
        <v>4601</v>
      </c>
      <c r="AFO40">
        <v>4601</v>
      </c>
      <c r="AFP40">
        <v>4601</v>
      </c>
      <c r="AFQ40">
        <v>4601</v>
      </c>
      <c r="AFR40">
        <v>4601</v>
      </c>
      <c r="AFS40">
        <v>4601</v>
      </c>
      <c r="AFT40">
        <v>4601</v>
      </c>
      <c r="AFU40">
        <v>4601</v>
      </c>
      <c r="AFV40">
        <v>4601</v>
      </c>
      <c r="AFW40">
        <v>4601</v>
      </c>
      <c r="AFX40">
        <v>4601</v>
      </c>
      <c r="AFY40">
        <v>4601</v>
      </c>
      <c r="AFZ40">
        <v>4601</v>
      </c>
      <c r="AGA40">
        <v>4601</v>
      </c>
      <c r="AGB40">
        <v>4601</v>
      </c>
      <c r="AGC40">
        <v>4601</v>
      </c>
      <c r="AGD40">
        <v>4601</v>
      </c>
      <c r="AGE40">
        <v>4601</v>
      </c>
      <c r="AGF40">
        <v>4601</v>
      </c>
      <c r="AGG40">
        <v>4601</v>
      </c>
      <c r="AGH40">
        <v>4601</v>
      </c>
      <c r="AGI40">
        <v>1000</v>
      </c>
      <c r="AGJ40">
        <v>4601</v>
      </c>
      <c r="AGK40">
        <v>4601</v>
      </c>
      <c r="AGL40">
        <v>4601</v>
      </c>
      <c r="AGM40">
        <v>4601</v>
      </c>
      <c r="AGN40">
        <v>4601</v>
      </c>
      <c r="AGO40">
        <v>4601</v>
      </c>
      <c r="AGP40">
        <v>4601</v>
      </c>
      <c r="AGQ40">
        <v>4601</v>
      </c>
      <c r="AGR40">
        <v>4601</v>
      </c>
      <c r="AGS40">
        <v>4601</v>
      </c>
      <c r="AGT40">
        <v>4601</v>
      </c>
      <c r="AGU40">
        <v>4601</v>
      </c>
      <c r="AGV40">
        <v>4601</v>
      </c>
      <c r="AGW40">
        <v>4601</v>
      </c>
      <c r="AGX40">
        <v>4601</v>
      </c>
      <c r="AGY40">
        <v>4601</v>
      </c>
      <c r="AGZ40">
        <v>4601</v>
      </c>
      <c r="AHA40">
        <v>4601</v>
      </c>
      <c r="AHB40">
        <v>4601</v>
      </c>
      <c r="AHC40">
        <v>4601</v>
      </c>
      <c r="AHD40">
        <v>4601</v>
      </c>
      <c r="AHE40">
        <v>4601</v>
      </c>
      <c r="AHF40">
        <v>4601</v>
      </c>
      <c r="AHG40">
        <v>4601</v>
      </c>
      <c r="AHH40">
        <v>4601</v>
      </c>
      <c r="AHI40">
        <v>4601</v>
      </c>
      <c r="AHJ40">
        <v>4601</v>
      </c>
      <c r="AHK40">
        <v>4601</v>
      </c>
      <c r="AHL40">
        <v>4601</v>
      </c>
      <c r="AHM40">
        <v>4601</v>
      </c>
      <c r="AHN40">
        <v>4601</v>
      </c>
      <c r="AHO40">
        <v>4601</v>
      </c>
      <c r="AHP40">
        <v>4601</v>
      </c>
      <c r="AHQ40">
        <v>4601</v>
      </c>
      <c r="AHR40">
        <v>4601</v>
      </c>
      <c r="AHS40">
        <v>4601</v>
      </c>
      <c r="AHT40">
        <v>4601</v>
      </c>
      <c r="AHU40">
        <v>4601</v>
      </c>
      <c r="AHV40">
        <v>4601</v>
      </c>
      <c r="AHW40">
        <v>4601</v>
      </c>
      <c r="AHX40">
        <v>4601</v>
      </c>
      <c r="AHY40">
        <v>4601</v>
      </c>
      <c r="AHZ40">
        <v>4601</v>
      </c>
      <c r="AIA40">
        <v>4601</v>
      </c>
      <c r="AIB40">
        <v>4601</v>
      </c>
      <c r="AIC40">
        <v>4601</v>
      </c>
      <c r="AID40">
        <v>4601</v>
      </c>
      <c r="AIE40">
        <v>4601</v>
      </c>
      <c r="AIF40">
        <v>4601</v>
      </c>
      <c r="AIG40">
        <v>4601</v>
      </c>
      <c r="AIH40">
        <v>4601</v>
      </c>
      <c r="AII40">
        <v>4601</v>
      </c>
      <c r="AIJ40">
        <v>4601</v>
      </c>
      <c r="AIK40">
        <v>4601</v>
      </c>
      <c r="AIL40">
        <v>4601</v>
      </c>
      <c r="AIM40">
        <v>4601</v>
      </c>
      <c r="AIN40">
        <v>4601</v>
      </c>
      <c r="AIO40">
        <v>4601</v>
      </c>
      <c r="AIP40">
        <v>4601</v>
      </c>
      <c r="AIQ40">
        <v>4601</v>
      </c>
      <c r="AIR40">
        <v>4601</v>
      </c>
      <c r="AIS40">
        <v>4601</v>
      </c>
      <c r="AIT40">
        <v>4601</v>
      </c>
      <c r="AIU40">
        <v>4601</v>
      </c>
      <c r="AIV40">
        <v>4601</v>
      </c>
      <c r="AIW40">
        <v>4601</v>
      </c>
      <c r="AIX40">
        <v>4601</v>
      </c>
      <c r="AIY40">
        <v>4601</v>
      </c>
      <c r="AIZ40">
        <v>4601</v>
      </c>
      <c r="AJA40">
        <v>4601</v>
      </c>
      <c r="AJB40">
        <v>4601</v>
      </c>
      <c r="AJC40">
        <v>3350</v>
      </c>
      <c r="AJD40">
        <v>4601</v>
      </c>
      <c r="AJE40">
        <v>4601</v>
      </c>
      <c r="AJF40">
        <v>4601</v>
      </c>
      <c r="AJG40">
        <v>4601</v>
      </c>
      <c r="AJH40">
        <v>4601</v>
      </c>
      <c r="AJI40">
        <v>4601</v>
      </c>
      <c r="AJJ40">
        <v>4601</v>
      </c>
      <c r="AJK40">
        <v>4601</v>
      </c>
      <c r="AJL40">
        <v>4601</v>
      </c>
      <c r="AJM40">
        <v>4601</v>
      </c>
      <c r="AJN40">
        <v>4601</v>
      </c>
      <c r="AJO40">
        <v>4601</v>
      </c>
      <c r="AJP40">
        <v>4601</v>
      </c>
      <c r="AJQ40">
        <v>4601</v>
      </c>
      <c r="AJR40">
        <v>4069</v>
      </c>
      <c r="AJS40">
        <v>4069</v>
      </c>
      <c r="AJT40">
        <v>5264</v>
      </c>
      <c r="AJU40">
        <v>6403</v>
      </c>
      <c r="AJV40">
        <v>7614</v>
      </c>
      <c r="AJW40">
        <v>8000</v>
      </c>
      <c r="AJX40">
        <v>7963</v>
      </c>
      <c r="AJY40">
        <v>7944</v>
      </c>
      <c r="AJZ40">
        <v>7944</v>
      </c>
      <c r="AKA40">
        <v>1000</v>
      </c>
      <c r="AKB40">
        <v>3000</v>
      </c>
      <c r="AKC40">
        <v>5000</v>
      </c>
      <c r="AKD40">
        <v>5000</v>
      </c>
      <c r="AKE40">
        <v>5000</v>
      </c>
      <c r="AKF40">
        <v>5000</v>
      </c>
      <c r="AKG40">
        <v>5000</v>
      </c>
      <c r="AKH40">
        <v>13357</v>
      </c>
      <c r="AKI40">
        <v>13357</v>
      </c>
      <c r="AKJ40">
        <v>7725</v>
      </c>
      <c r="AKK40">
        <v>8136</v>
      </c>
      <c r="AKL40">
        <v>8139</v>
      </c>
      <c r="AKM40">
        <v>8139</v>
      </c>
      <c r="AKN40">
        <v>11160</v>
      </c>
      <c r="AKO40">
        <v>15678</v>
      </c>
      <c r="AKP40">
        <v>11164</v>
      </c>
      <c r="AKQ40">
        <v>11554</v>
      </c>
      <c r="AKR40">
        <v>11554</v>
      </c>
      <c r="AKS40">
        <v>20243</v>
      </c>
      <c r="AKT40">
        <v>20301</v>
      </c>
      <c r="AKU40">
        <v>4463</v>
      </c>
      <c r="AKV40">
        <v>7558</v>
      </c>
      <c r="AKW40">
        <v>8965</v>
      </c>
    </row>
    <row r="41" spans="1:985" ht="14.4" customHeight="1" x14ac:dyDescent="0.55000000000000004">
      <c r="A41" t="s">
        <v>515</v>
      </c>
      <c r="B41" t="s">
        <v>65</v>
      </c>
      <c r="C41" s="1" t="s">
        <v>723</v>
      </c>
      <c r="AKH41" t="s">
        <v>516</v>
      </c>
      <c r="AKI41" t="s">
        <v>516</v>
      </c>
    </row>
    <row r="42" spans="1:985" ht="14.4" customHeight="1" x14ac:dyDescent="0.55000000000000004">
      <c r="A42" t="s">
        <v>462</v>
      </c>
      <c r="B42" t="s">
        <v>622</v>
      </c>
      <c r="C42" s="1" t="s">
        <v>724</v>
      </c>
      <c r="AJR42">
        <v>3285</v>
      </c>
      <c r="AJS42">
        <v>3285</v>
      </c>
      <c r="AJT42">
        <v>4240</v>
      </c>
      <c r="AJU42">
        <v>4987</v>
      </c>
      <c r="AJV42">
        <v>5828</v>
      </c>
      <c r="AJW42">
        <v>6213</v>
      </c>
      <c r="AJX42">
        <v>6180</v>
      </c>
      <c r="AJY42">
        <v>6163</v>
      </c>
      <c r="AJZ42">
        <v>6163</v>
      </c>
    </row>
    <row r="43" spans="1:985" ht="14.4" customHeight="1" x14ac:dyDescent="0.55000000000000004">
      <c r="A43" t="s">
        <v>463</v>
      </c>
      <c r="B43" t="s">
        <v>622</v>
      </c>
      <c r="C43" s="1" t="s">
        <v>725</v>
      </c>
      <c r="AJR43">
        <v>784</v>
      </c>
      <c r="AJS43">
        <v>784</v>
      </c>
      <c r="AJT43">
        <v>1024</v>
      </c>
      <c r="AJU43">
        <v>1416</v>
      </c>
      <c r="AJV43">
        <v>1786</v>
      </c>
      <c r="AJW43">
        <v>1787</v>
      </c>
      <c r="AJX43">
        <v>1783</v>
      </c>
      <c r="AJY43">
        <v>1781</v>
      </c>
      <c r="AJZ43">
        <v>1781</v>
      </c>
    </row>
    <row r="44" spans="1:985" ht="14.4" customHeight="1" x14ac:dyDescent="0.55000000000000004">
      <c r="A44" t="s">
        <v>62</v>
      </c>
      <c r="B44" t="s">
        <v>622</v>
      </c>
      <c r="C44" s="1" t="s">
        <v>726</v>
      </c>
      <c r="BG44">
        <v>0.84042446641933166</v>
      </c>
      <c r="BH44">
        <v>0.94885010678844084</v>
      </c>
      <c r="BI44">
        <v>0.94788230291622921</v>
      </c>
      <c r="BJ44">
        <v>0.97711382515227352</v>
      </c>
      <c r="BK44">
        <v>0.90570510259500281</v>
      </c>
      <c r="BL44">
        <v>0.80181506726814356</v>
      </c>
      <c r="BM44">
        <v>0.80446054407273249</v>
      </c>
      <c r="BN44">
        <v>1</v>
      </c>
      <c r="BO44">
        <v>0.89170000000000005</v>
      </c>
      <c r="BP44">
        <v>0.85709999999999997</v>
      </c>
      <c r="BQ44">
        <v>0.99019607843137258</v>
      </c>
      <c r="BR44">
        <v>0.97311785169004317</v>
      </c>
      <c r="BS44">
        <v>0.92587646610998375</v>
      </c>
      <c r="BT44">
        <v>0.93651560871793671</v>
      </c>
      <c r="BU44">
        <v>0.85200090156006358</v>
      </c>
      <c r="BV44">
        <v>0.85135753287435645</v>
      </c>
      <c r="BW44">
        <v>0.78926336927522334</v>
      </c>
      <c r="BX44">
        <v>0.96</v>
      </c>
      <c r="BY44">
        <v>0.84789999999999999</v>
      </c>
      <c r="BZ44">
        <v>0.82850000000000001</v>
      </c>
      <c r="CA44">
        <v>1</v>
      </c>
      <c r="CB44">
        <v>1</v>
      </c>
      <c r="CC44">
        <v>1</v>
      </c>
      <c r="CD44">
        <v>1</v>
      </c>
      <c r="CE44">
        <v>1</v>
      </c>
      <c r="CF44">
        <v>1</v>
      </c>
      <c r="CG44">
        <v>1</v>
      </c>
      <c r="CH44">
        <v>1</v>
      </c>
      <c r="CI44">
        <v>1</v>
      </c>
      <c r="CJ44">
        <v>1</v>
      </c>
      <c r="CK44">
        <v>1</v>
      </c>
      <c r="CL44">
        <v>1</v>
      </c>
      <c r="CM44">
        <v>1</v>
      </c>
      <c r="CN44">
        <v>1</v>
      </c>
      <c r="CO44">
        <v>1</v>
      </c>
      <c r="CP44">
        <v>1</v>
      </c>
      <c r="CQ44">
        <v>1</v>
      </c>
      <c r="CR44">
        <v>1</v>
      </c>
      <c r="CS44">
        <v>1</v>
      </c>
      <c r="CT44">
        <v>1</v>
      </c>
      <c r="CU44">
        <v>1</v>
      </c>
      <c r="CV44">
        <v>1</v>
      </c>
      <c r="CW44">
        <v>1</v>
      </c>
      <c r="CX44">
        <v>1</v>
      </c>
      <c r="CY44">
        <v>1</v>
      </c>
      <c r="CZ44">
        <v>1</v>
      </c>
      <c r="DA44">
        <v>1</v>
      </c>
      <c r="DB44">
        <v>1</v>
      </c>
      <c r="DC44">
        <v>1</v>
      </c>
      <c r="DD44">
        <v>1</v>
      </c>
      <c r="DE44">
        <v>1</v>
      </c>
      <c r="DF44">
        <v>1</v>
      </c>
      <c r="DG44">
        <v>1</v>
      </c>
      <c r="DH44">
        <v>1</v>
      </c>
      <c r="DI44">
        <v>1</v>
      </c>
      <c r="DJ44">
        <v>1</v>
      </c>
      <c r="DK44">
        <v>1</v>
      </c>
      <c r="DL44">
        <v>1</v>
      </c>
      <c r="DM44">
        <v>1</v>
      </c>
      <c r="DN44">
        <v>1</v>
      </c>
      <c r="DO44">
        <v>1</v>
      </c>
      <c r="DP44">
        <v>1</v>
      </c>
      <c r="DQ44">
        <v>1</v>
      </c>
      <c r="DR44">
        <v>1</v>
      </c>
      <c r="DS44">
        <v>1</v>
      </c>
      <c r="DT44">
        <v>1</v>
      </c>
      <c r="DU44">
        <v>1</v>
      </c>
      <c r="DV44">
        <v>1</v>
      </c>
      <c r="DW44">
        <v>1</v>
      </c>
      <c r="DX44">
        <v>1</v>
      </c>
      <c r="DY44">
        <v>1</v>
      </c>
      <c r="DZ44">
        <v>1</v>
      </c>
      <c r="EA44">
        <v>1</v>
      </c>
      <c r="EB44">
        <v>1</v>
      </c>
      <c r="EC44">
        <v>1</v>
      </c>
      <c r="ED44">
        <v>1</v>
      </c>
      <c r="EE44">
        <v>1</v>
      </c>
      <c r="EF44">
        <v>1</v>
      </c>
      <c r="EG44">
        <v>1</v>
      </c>
      <c r="EH44">
        <v>1</v>
      </c>
      <c r="EI44">
        <v>1</v>
      </c>
      <c r="EJ44">
        <v>1</v>
      </c>
      <c r="EK44">
        <v>1</v>
      </c>
      <c r="EL44">
        <v>1</v>
      </c>
      <c r="EM44">
        <v>1</v>
      </c>
      <c r="EN44">
        <v>1</v>
      </c>
      <c r="EO44">
        <v>1</v>
      </c>
      <c r="EP44">
        <v>1</v>
      </c>
      <c r="EQ44">
        <v>1</v>
      </c>
      <c r="ER44">
        <v>1</v>
      </c>
      <c r="ES44">
        <v>1</v>
      </c>
      <c r="ET44">
        <v>1</v>
      </c>
      <c r="EU44">
        <v>1</v>
      </c>
      <c r="EV44">
        <v>1</v>
      </c>
      <c r="EW44">
        <v>1</v>
      </c>
      <c r="EX44">
        <v>1</v>
      </c>
      <c r="EY44">
        <v>1</v>
      </c>
      <c r="EZ44">
        <v>1</v>
      </c>
      <c r="FA44">
        <v>1</v>
      </c>
      <c r="FB44">
        <v>1</v>
      </c>
      <c r="FC44">
        <v>1</v>
      </c>
      <c r="FD44">
        <v>1</v>
      </c>
      <c r="FE44">
        <v>1</v>
      </c>
      <c r="FF44">
        <v>1</v>
      </c>
      <c r="FG44">
        <v>1</v>
      </c>
      <c r="FH44">
        <v>1</v>
      </c>
      <c r="FI44">
        <v>1</v>
      </c>
      <c r="FJ44">
        <v>1</v>
      </c>
      <c r="FK44">
        <v>1</v>
      </c>
      <c r="FL44">
        <v>1</v>
      </c>
      <c r="FM44">
        <v>1</v>
      </c>
      <c r="FN44">
        <v>1</v>
      </c>
      <c r="FO44">
        <v>1</v>
      </c>
      <c r="FP44">
        <v>1</v>
      </c>
      <c r="FQ44">
        <v>1</v>
      </c>
      <c r="FR44">
        <v>1</v>
      </c>
      <c r="FS44">
        <v>1</v>
      </c>
      <c r="FT44">
        <v>1</v>
      </c>
      <c r="FU44">
        <v>1</v>
      </c>
      <c r="FV44">
        <v>1</v>
      </c>
      <c r="FW44">
        <v>1</v>
      </c>
      <c r="FX44">
        <v>1</v>
      </c>
      <c r="FY44">
        <v>1</v>
      </c>
      <c r="FZ44">
        <v>1</v>
      </c>
      <c r="GA44">
        <v>1</v>
      </c>
      <c r="GB44">
        <v>1</v>
      </c>
      <c r="GC44">
        <v>1</v>
      </c>
      <c r="GD44">
        <v>1</v>
      </c>
      <c r="GE44">
        <v>1</v>
      </c>
      <c r="GF44">
        <v>1</v>
      </c>
      <c r="GG44">
        <v>1</v>
      </c>
      <c r="GH44">
        <v>1</v>
      </c>
      <c r="GI44">
        <v>1</v>
      </c>
      <c r="GJ44">
        <v>1</v>
      </c>
      <c r="GK44">
        <v>1</v>
      </c>
      <c r="GL44">
        <v>1</v>
      </c>
      <c r="GM44">
        <v>1</v>
      </c>
      <c r="GN44">
        <v>1</v>
      </c>
      <c r="GO44">
        <v>1</v>
      </c>
      <c r="GP44">
        <v>1</v>
      </c>
      <c r="GQ44">
        <v>1</v>
      </c>
      <c r="GR44">
        <v>1</v>
      </c>
      <c r="GS44">
        <v>1</v>
      </c>
      <c r="GT44">
        <v>1</v>
      </c>
      <c r="GU44">
        <v>1</v>
      </c>
      <c r="GV44">
        <v>1</v>
      </c>
      <c r="GW44">
        <v>1</v>
      </c>
      <c r="GX44">
        <v>1</v>
      </c>
      <c r="GY44">
        <v>1</v>
      </c>
      <c r="GZ44">
        <v>1</v>
      </c>
      <c r="HA44">
        <v>1</v>
      </c>
      <c r="HB44">
        <v>1</v>
      </c>
      <c r="HC44">
        <v>1</v>
      </c>
      <c r="HD44">
        <v>1</v>
      </c>
      <c r="HE44">
        <v>1</v>
      </c>
      <c r="HF44">
        <v>1</v>
      </c>
      <c r="HG44">
        <v>1</v>
      </c>
      <c r="HH44">
        <v>1</v>
      </c>
      <c r="HI44">
        <v>1</v>
      </c>
      <c r="HJ44">
        <v>1</v>
      </c>
      <c r="HK44">
        <v>1</v>
      </c>
      <c r="HL44">
        <v>1</v>
      </c>
      <c r="HM44">
        <v>1</v>
      </c>
      <c r="HN44">
        <v>1</v>
      </c>
      <c r="HO44">
        <v>1</v>
      </c>
      <c r="HP44">
        <v>1</v>
      </c>
      <c r="HQ44">
        <v>1</v>
      </c>
      <c r="HR44">
        <v>1</v>
      </c>
      <c r="HS44">
        <v>1</v>
      </c>
      <c r="HT44">
        <v>1</v>
      </c>
      <c r="HU44">
        <v>1</v>
      </c>
      <c r="HV44">
        <v>1</v>
      </c>
      <c r="HW44">
        <v>1</v>
      </c>
      <c r="HX44">
        <v>1</v>
      </c>
      <c r="HY44">
        <v>1</v>
      </c>
      <c r="HZ44">
        <v>1</v>
      </c>
      <c r="IA44">
        <v>1</v>
      </c>
      <c r="IB44">
        <v>1</v>
      </c>
      <c r="IC44">
        <v>1</v>
      </c>
      <c r="ID44">
        <v>1</v>
      </c>
      <c r="IE44">
        <v>1</v>
      </c>
      <c r="IF44">
        <v>1</v>
      </c>
      <c r="IG44">
        <v>1</v>
      </c>
      <c r="IH44">
        <v>1</v>
      </c>
      <c r="II44">
        <v>1</v>
      </c>
      <c r="IJ44">
        <v>1</v>
      </c>
      <c r="IK44">
        <v>1</v>
      </c>
      <c r="IL44">
        <v>1</v>
      </c>
      <c r="IM44">
        <v>1</v>
      </c>
      <c r="IN44">
        <v>1</v>
      </c>
      <c r="IO44">
        <v>1</v>
      </c>
      <c r="IP44">
        <v>1</v>
      </c>
      <c r="IQ44">
        <v>1</v>
      </c>
      <c r="IR44">
        <v>1</v>
      </c>
      <c r="IS44">
        <v>1</v>
      </c>
      <c r="IT44">
        <v>1</v>
      </c>
      <c r="IU44">
        <v>1</v>
      </c>
      <c r="IV44">
        <v>1</v>
      </c>
      <c r="IW44">
        <v>1</v>
      </c>
      <c r="IX44">
        <v>1</v>
      </c>
      <c r="IY44">
        <v>1</v>
      </c>
      <c r="IZ44">
        <v>1</v>
      </c>
      <c r="JA44">
        <v>1</v>
      </c>
      <c r="JB44">
        <v>1</v>
      </c>
      <c r="JC44">
        <v>1</v>
      </c>
      <c r="JD44">
        <v>1</v>
      </c>
      <c r="JE44">
        <v>1</v>
      </c>
      <c r="JF44">
        <v>1</v>
      </c>
      <c r="JG44">
        <v>1</v>
      </c>
      <c r="JH44">
        <v>1</v>
      </c>
      <c r="JI44">
        <v>1</v>
      </c>
      <c r="JJ44">
        <v>1</v>
      </c>
      <c r="JK44">
        <v>1</v>
      </c>
      <c r="JL44">
        <v>1</v>
      </c>
      <c r="JM44">
        <v>1</v>
      </c>
      <c r="JN44">
        <v>1</v>
      </c>
      <c r="JO44">
        <v>1</v>
      </c>
      <c r="JP44">
        <v>1</v>
      </c>
      <c r="JQ44">
        <v>1</v>
      </c>
      <c r="JR44">
        <v>1</v>
      </c>
      <c r="JS44">
        <v>1</v>
      </c>
      <c r="JT44">
        <v>1</v>
      </c>
      <c r="JU44">
        <v>1</v>
      </c>
      <c r="JV44">
        <v>1</v>
      </c>
      <c r="JW44">
        <v>1</v>
      </c>
      <c r="JX44">
        <v>1</v>
      </c>
      <c r="JY44">
        <v>1</v>
      </c>
      <c r="JZ44">
        <v>1</v>
      </c>
      <c r="KA44">
        <v>1</v>
      </c>
      <c r="KB44">
        <v>1</v>
      </c>
      <c r="KC44">
        <v>1</v>
      </c>
      <c r="KD44">
        <v>1</v>
      </c>
      <c r="KE44">
        <v>1</v>
      </c>
      <c r="KF44">
        <v>1</v>
      </c>
      <c r="KG44">
        <v>1</v>
      </c>
      <c r="KH44">
        <v>1</v>
      </c>
      <c r="KI44">
        <v>1</v>
      </c>
      <c r="KJ44">
        <v>1</v>
      </c>
      <c r="KK44">
        <v>1</v>
      </c>
      <c r="KL44">
        <v>1</v>
      </c>
      <c r="KM44">
        <v>1</v>
      </c>
      <c r="KN44">
        <v>1</v>
      </c>
      <c r="KO44">
        <v>1</v>
      </c>
      <c r="KP44">
        <v>1</v>
      </c>
      <c r="KQ44">
        <v>1</v>
      </c>
      <c r="KR44">
        <v>1</v>
      </c>
      <c r="KS44">
        <v>1</v>
      </c>
      <c r="KT44">
        <v>1</v>
      </c>
      <c r="KU44">
        <v>1</v>
      </c>
      <c r="KV44">
        <v>1</v>
      </c>
      <c r="KW44">
        <v>1</v>
      </c>
      <c r="KX44">
        <v>1</v>
      </c>
      <c r="KY44">
        <v>1</v>
      </c>
      <c r="KZ44">
        <v>1</v>
      </c>
      <c r="LA44">
        <v>1</v>
      </c>
      <c r="LB44">
        <v>1</v>
      </c>
      <c r="LC44">
        <v>1</v>
      </c>
      <c r="LD44">
        <v>1</v>
      </c>
      <c r="LE44">
        <v>1</v>
      </c>
      <c r="LF44">
        <v>1</v>
      </c>
      <c r="LG44">
        <v>1</v>
      </c>
      <c r="LH44">
        <v>1</v>
      </c>
      <c r="LI44">
        <v>1</v>
      </c>
      <c r="LJ44">
        <v>1</v>
      </c>
      <c r="LK44">
        <v>1</v>
      </c>
      <c r="LL44">
        <v>1</v>
      </c>
      <c r="LM44">
        <v>1</v>
      </c>
      <c r="LN44">
        <v>1</v>
      </c>
      <c r="LO44">
        <v>1</v>
      </c>
      <c r="LP44">
        <v>1</v>
      </c>
      <c r="LQ44">
        <v>1</v>
      </c>
      <c r="LR44">
        <v>1</v>
      </c>
      <c r="LS44">
        <v>1</v>
      </c>
      <c r="LT44">
        <v>1</v>
      </c>
      <c r="LU44">
        <v>1</v>
      </c>
      <c r="LV44">
        <v>1</v>
      </c>
      <c r="LW44">
        <v>1</v>
      </c>
      <c r="LX44">
        <v>1</v>
      </c>
      <c r="LY44">
        <v>1</v>
      </c>
      <c r="LZ44">
        <v>1</v>
      </c>
      <c r="MA44">
        <v>1</v>
      </c>
      <c r="MB44">
        <v>1</v>
      </c>
      <c r="MC44">
        <v>1</v>
      </c>
      <c r="MD44">
        <v>1</v>
      </c>
      <c r="ME44">
        <v>1</v>
      </c>
      <c r="MF44">
        <v>1</v>
      </c>
      <c r="MG44">
        <v>0.995</v>
      </c>
      <c r="MH44">
        <v>0.995</v>
      </c>
      <c r="MI44">
        <v>0.995</v>
      </c>
      <c r="MJ44">
        <v>0.995</v>
      </c>
      <c r="MK44">
        <v>0.995</v>
      </c>
      <c r="ML44">
        <v>0.995</v>
      </c>
      <c r="MM44">
        <v>0.995</v>
      </c>
      <c r="MN44">
        <v>0.995</v>
      </c>
      <c r="MO44">
        <v>0.995</v>
      </c>
      <c r="MP44">
        <v>0.995</v>
      </c>
      <c r="MQ44">
        <v>0.995</v>
      </c>
      <c r="MR44">
        <v>0.995</v>
      </c>
      <c r="MS44">
        <v>0.995</v>
      </c>
      <c r="MT44">
        <v>0.995</v>
      </c>
      <c r="MU44">
        <v>0.995</v>
      </c>
      <c r="MV44">
        <v>0.995</v>
      </c>
      <c r="MW44">
        <v>0.995</v>
      </c>
      <c r="MX44">
        <v>0.995</v>
      </c>
      <c r="MY44">
        <v>0.995</v>
      </c>
      <c r="MZ44">
        <v>0.995</v>
      </c>
      <c r="NA44">
        <v>0.995</v>
      </c>
      <c r="NB44">
        <v>0.995</v>
      </c>
      <c r="NC44">
        <v>0.995</v>
      </c>
      <c r="ND44">
        <v>0.995</v>
      </c>
      <c r="NE44">
        <v>0.995</v>
      </c>
      <c r="NF44">
        <v>0.995</v>
      </c>
      <c r="NG44">
        <v>0.995</v>
      </c>
      <c r="NH44">
        <v>0.995</v>
      </c>
      <c r="NI44">
        <v>0.995</v>
      </c>
      <c r="NJ44">
        <v>0.995</v>
      </c>
      <c r="NK44">
        <v>0.995</v>
      </c>
      <c r="NL44">
        <v>0.995</v>
      </c>
      <c r="NM44">
        <v>0.995</v>
      </c>
      <c r="NN44">
        <v>0.995</v>
      </c>
      <c r="NO44">
        <v>0.995</v>
      </c>
      <c r="NP44">
        <v>0.995</v>
      </c>
      <c r="NQ44">
        <v>0.995</v>
      </c>
      <c r="NR44">
        <v>0.995</v>
      </c>
      <c r="NS44">
        <v>0.995</v>
      </c>
      <c r="NT44">
        <v>0.995</v>
      </c>
      <c r="NU44">
        <v>0.995</v>
      </c>
      <c r="NV44">
        <v>0.995</v>
      </c>
      <c r="NW44">
        <v>0.995</v>
      </c>
      <c r="NX44">
        <v>0.995</v>
      </c>
      <c r="NY44">
        <v>0.995</v>
      </c>
      <c r="NZ44">
        <v>0.995</v>
      </c>
      <c r="OA44">
        <v>0.995</v>
      </c>
      <c r="OB44">
        <v>0.995</v>
      </c>
      <c r="OC44">
        <v>0.995</v>
      </c>
      <c r="OD44">
        <v>0.995</v>
      </c>
      <c r="OE44">
        <v>0.995</v>
      </c>
      <c r="OF44">
        <v>0.995</v>
      </c>
      <c r="OG44">
        <v>0.995</v>
      </c>
      <c r="OH44">
        <v>0.995</v>
      </c>
      <c r="OI44">
        <v>0.995</v>
      </c>
      <c r="OJ44">
        <v>0.995</v>
      </c>
      <c r="OK44">
        <v>0.995</v>
      </c>
      <c r="OL44">
        <v>0.995</v>
      </c>
      <c r="OM44">
        <v>0.995</v>
      </c>
      <c r="ON44">
        <v>0.995</v>
      </c>
      <c r="OO44">
        <v>0.995</v>
      </c>
      <c r="OP44">
        <v>0.995</v>
      </c>
      <c r="OQ44">
        <v>0.995</v>
      </c>
      <c r="OR44">
        <v>0.995</v>
      </c>
      <c r="OS44">
        <v>0.995</v>
      </c>
      <c r="OT44">
        <v>0.995</v>
      </c>
      <c r="OU44">
        <v>0.995</v>
      </c>
      <c r="OV44">
        <v>0.995</v>
      </c>
      <c r="OW44">
        <v>0.995</v>
      </c>
      <c r="OX44">
        <v>0.995</v>
      </c>
      <c r="OY44">
        <v>0.995</v>
      </c>
      <c r="OZ44">
        <v>0.995</v>
      </c>
      <c r="PA44">
        <v>0.995</v>
      </c>
      <c r="PB44">
        <v>0.995</v>
      </c>
      <c r="PC44">
        <v>0.995</v>
      </c>
      <c r="PD44">
        <v>0.995</v>
      </c>
      <c r="PE44">
        <v>0.995</v>
      </c>
      <c r="PF44">
        <v>0.995</v>
      </c>
      <c r="PG44">
        <v>0.995</v>
      </c>
      <c r="PH44">
        <v>0.995</v>
      </c>
      <c r="PI44">
        <v>0.995</v>
      </c>
      <c r="PJ44">
        <v>0.995</v>
      </c>
      <c r="PK44">
        <v>0.995</v>
      </c>
      <c r="PL44">
        <v>0.995</v>
      </c>
      <c r="PM44">
        <v>0.995</v>
      </c>
      <c r="PN44">
        <v>0.995</v>
      </c>
      <c r="PO44">
        <v>0.995</v>
      </c>
      <c r="PP44">
        <v>0.995</v>
      </c>
      <c r="PQ44">
        <v>0.995</v>
      </c>
      <c r="PR44">
        <v>0.995</v>
      </c>
      <c r="PS44">
        <v>0.995</v>
      </c>
      <c r="PT44">
        <v>0.995</v>
      </c>
      <c r="PU44">
        <v>0.995</v>
      </c>
      <c r="PV44">
        <v>0.995</v>
      </c>
      <c r="PW44">
        <v>0.995</v>
      </c>
      <c r="PX44">
        <v>0.995</v>
      </c>
      <c r="PY44">
        <v>0.995</v>
      </c>
      <c r="PZ44">
        <v>0.995</v>
      </c>
      <c r="QA44">
        <v>0.995</v>
      </c>
      <c r="QB44">
        <v>0.995</v>
      </c>
      <c r="QC44">
        <v>0.995</v>
      </c>
      <c r="QD44">
        <v>0.995</v>
      </c>
      <c r="QE44">
        <v>0.995</v>
      </c>
      <c r="QF44">
        <v>0.995</v>
      </c>
      <c r="QG44">
        <v>0.995</v>
      </c>
      <c r="QH44">
        <v>0.995</v>
      </c>
      <c r="QI44">
        <v>0.995</v>
      </c>
      <c r="QJ44">
        <v>0.995</v>
      </c>
      <c r="QK44">
        <v>0.995</v>
      </c>
      <c r="QL44">
        <v>0.995</v>
      </c>
      <c r="QM44">
        <v>0.995</v>
      </c>
      <c r="QN44">
        <v>0.995</v>
      </c>
      <c r="QO44">
        <v>0.995</v>
      </c>
      <c r="QP44">
        <v>0.995</v>
      </c>
      <c r="QQ44">
        <v>0.995</v>
      </c>
      <c r="QR44">
        <v>0.995</v>
      </c>
      <c r="QS44">
        <v>0.995</v>
      </c>
      <c r="QT44">
        <v>0.995</v>
      </c>
      <c r="QU44">
        <v>0.995</v>
      </c>
      <c r="QV44">
        <v>0.995</v>
      </c>
      <c r="QW44">
        <v>0.995</v>
      </c>
      <c r="QX44">
        <v>0.995</v>
      </c>
      <c r="QY44">
        <v>0.995</v>
      </c>
      <c r="QZ44">
        <v>0.995</v>
      </c>
      <c r="RA44">
        <v>0.995</v>
      </c>
      <c r="RB44">
        <v>0.995</v>
      </c>
      <c r="RC44">
        <v>0.995</v>
      </c>
      <c r="RD44">
        <v>0.995</v>
      </c>
      <c r="RE44">
        <v>0.995</v>
      </c>
      <c r="RF44">
        <v>0.995</v>
      </c>
      <c r="RG44">
        <v>0.995</v>
      </c>
      <c r="RH44">
        <v>0.995</v>
      </c>
      <c r="RI44">
        <v>0.995</v>
      </c>
      <c r="RJ44">
        <v>0.995</v>
      </c>
      <c r="RK44">
        <v>0.995</v>
      </c>
      <c r="RL44">
        <v>0.995</v>
      </c>
      <c r="RM44">
        <v>0.995</v>
      </c>
      <c r="RN44">
        <v>0.995</v>
      </c>
      <c r="RO44">
        <v>0.995</v>
      </c>
      <c r="RP44">
        <v>0.995</v>
      </c>
      <c r="RQ44">
        <v>0.995</v>
      </c>
      <c r="RR44">
        <v>0.995</v>
      </c>
      <c r="RS44">
        <v>0.995</v>
      </c>
      <c r="RT44">
        <v>0.995</v>
      </c>
      <c r="RU44">
        <v>0.995</v>
      </c>
      <c r="RV44">
        <v>0.995</v>
      </c>
      <c r="RW44">
        <v>0.995</v>
      </c>
      <c r="RX44">
        <v>0.995</v>
      </c>
      <c r="RY44">
        <v>0.995</v>
      </c>
      <c r="RZ44">
        <v>0.995</v>
      </c>
      <c r="SA44">
        <v>0.995</v>
      </c>
      <c r="SB44">
        <v>0.995</v>
      </c>
      <c r="SC44">
        <v>0.995</v>
      </c>
      <c r="SD44">
        <v>0.995</v>
      </c>
      <c r="SE44">
        <v>0.995</v>
      </c>
      <c r="SF44">
        <v>0.995</v>
      </c>
      <c r="SG44">
        <v>0.995</v>
      </c>
      <c r="SH44">
        <v>0.995</v>
      </c>
      <c r="SI44">
        <v>0.995</v>
      </c>
      <c r="SJ44">
        <v>0.995</v>
      </c>
      <c r="SK44">
        <v>0.995</v>
      </c>
      <c r="SL44">
        <v>0.995</v>
      </c>
      <c r="SM44">
        <v>0.995</v>
      </c>
      <c r="SN44">
        <v>0.995</v>
      </c>
      <c r="SO44">
        <v>0.995</v>
      </c>
      <c r="SP44">
        <v>0.995</v>
      </c>
      <c r="SQ44">
        <v>0.995</v>
      </c>
      <c r="SR44">
        <v>0.995</v>
      </c>
      <c r="SS44">
        <v>0.995</v>
      </c>
      <c r="ST44">
        <v>0.995</v>
      </c>
      <c r="SU44">
        <v>0.995</v>
      </c>
      <c r="SV44">
        <v>0.995</v>
      </c>
      <c r="SW44">
        <v>0.995</v>
      </c>
      <c r="SX44">
        <v>0.995</v>
      </c>
      <c r="SY44">
        <v>0.99</v>
      </c>
      <c r="SZ44">
        <v>0.99</v>
      </c>
      <c r="TA44">
        <v>0.99</v>
      </c>
      <c r="TB44">
        <v>0.99</v>
      </c>
      <c r="TC44">
        <v>0.99</v>
      </c>
      <c r="TD44">
        <v>0.99</v>
      </c>
      <c r="TE44">
        <v>0.99</v>
      </c>
      <c r="TF44">
        <v>0.99</v>
      </c>
      <c r="TG44">
        <v>0.99</v>
      </c>
      <c r="TH44">
        <v>0.99</v>
      </c>
      <c r="TI44">
        <v>0.99</v>
      </c>
      <c r="TJ44">
        <v>0.99</v>
      </c>
      <c r="TK44">
        <v>0.99</v>
      </c>
      <c r="TL44">
        <v>0.99</v>
      </c>
      <c r="TM44">
        <v>0.99</v>
      </c>
      <c r="TN44">
        <v>0.99</v>
      </c>
      <c r="TO44">
        <v>0.99</v>
      </c>
      <c r="TP44">
        <v>0.99</v>
      </c>
      <c r="TQ44">
        <v>0.99</v>
      </c>
      <c r="TR44">
        <v>0.99</v>
      </c>
      <c r="TS44">
        <v>0.99</v>
      </c>
      <c r="TT44">
        <v>0.99</v>
      </c>
      <c r="TU44">
        <v>0.99</v>
      </c>
      <c r="TV44">
        <v>0.99</v>
      </c>
      <c r="TW44">
        <v>0.99</v>
      </c>
      <c r="TX44">
        <v>0.99</v>
      </c>
      <c r="TY44">
        <v>0.99</v>
      </c>
      <c r="TZ44">
        <v>0.99</v>
      </c>
      <c r="UA44">
        <v>0.99</v>
      </c>
      <c r="UB44">
        <v>0.99</v>
      </c>
      <c r="UC44">
        <v>0.99</v>
      </c>
      <c r="UD44">
        <v>0.99</v>
      </c>
      <c r="UE44">
        <v>0.99</v>
      </c>
      <c r="UF44">
        <v>0.99</v>
      </c>
      <c r="UG44">
        <v>0.99</v>
      </c>
      <c r="UH44">
        <v>0.99</v>
      </c>
      <c r="UI44">
        <v>0.99</v>
      </c>
      <c r="UJ44">
        <v>0.99</v>
      </c>
      <c r="UK44">
        <v>0.99</v>
      </c>
      <c r="UL44">
        <v>0.99</v>
      </c>
      <c r="UM44">
        <v>0.99</v>
      </c>
      <c r="UN44">
        <v>0.99</v>
      </c>
      <c r="UO44">
        <v>0.99</v>
      </c>
      <c r="UP44">
        <v>0.99</v>
      </c>
      <c r="UQ44">
        <v>0.99</v>
      </c>
      <c r="UR44">
        <v>0.99</v>
      </c>
      <c r="US44">
        <v>0.99</v>
      </c>
      <c r="UT44">
        <v>0.99</v>
      </c>
      <c r="UU44">
        <v>0.99</v>
      </c>
      <c r="UV44">
        <v>0.99</v>
      </c>
      <c r="UW44">
        <v>0.99</v>
      </c>
      <c r="UX44">
        <v>0.99</v>
      </c>
      <c r="UY44">
        <v>0.99</v>
      </c>
      <c r="UZ44">
        <v>0.99</v>
      </c>
      <c r="VA44">
        <v>0.99</v>
      </c>
      <c r="VB44">
        <v>0.99</v>
      </c>
      <c r="VC44">
        <v>0.99</v>
      </c>
      <c r="VD44">
        <v>0.99</v>
      </c>
      <c r="VE44">
        <v>0.99</v>
      </c>
      <c r="VF44">
        <v>0.99</v>
      </c>
      <c r="VG44">
        <v>0.99</v>
      </c>
      <c r="VH44">
        <v>0.99</v>
      </c>
      <c r="VI44">
        <v>0.99</v>
      </c>
      <c r="VJ44">
        <v>0.99</v>
      </c>
      <c r="VK44">
        <v>0.99</v>
      </c>
      <c r="VL44">
        <v>0.99</v>
      </c>
      <c r="VM44">
        <v>0.99</v>
      </c>
      <c r="VN44">
        <v>0.99</v>
      </c>
      <c r="VO44">
        <v>0.99</v>
      </c>
      <c r="VP44">
        <v>0.99</v>
      </c>
      <c r="VQ44">
        <v>0.99</v>
      </c>
      <c r="VR44">
        <v>0.99</v>
      </c>
      <c r="VS44">
        <v>0.99</v>
      </c>
      <c r="VT44">
        <v>0.99</v>
      </c>
      <c r="VU44">
        <v>0.99</v>
      </c>
      <c r="VV44">
        <v>0.99</v>
      </c>
      <c r="VW44">
        <v>0.99</v>
      </c>
      <c r="VX44">
        <v>0.99</v>
      </c>
      <c r="VY44">
        <v>0.99</v>
      </c>
      <c r="VZ44">
        <v>0.99</v>
      </c>
      <c r="WA44">
        <v>0.99</v>
      </c>
      <c r="WB44">
        <v>0.99</v>
      </c>
      <c r="WC44">
        <v>0.99</v>
      </c>
      <c r="WD44">
        <v>0.99</v>
      </c>
      <c r="WE44">
        <v>0.99</v>
      </c>
      <c r="WF44">
        <v>0.99</v>
      </c>
      <c r="WG44">
        <v>0.99</v>
      </c>
      <c r="WH44">
        <v>0.9</v>
      </c>
      <c r="WI44">
        <v>0.9</v>
      </c>
      <c r="WJ44">
        <v>0.9</v>
      </c>
      <c r="WK44">
        <v>0.9</v>
      </c>
      <c r="WL44">
        <v>0.9</v>
      </c>
      <c r="WM44">
        <v>0.9</v>
      </c>
      <c r="WN44">
        <v>0.9</v>
      </c>
      <c r="WO44">
        <v>0.9</v>
      </c>
      <c r="WP44">
        <v>0.9</v>
      </c>
      <c r="WQ44">
        <v>0.9</v>
      </c>
      <c r="WR44">
        <v>0.9</v>
      </c>
      <c r="WS44">
        <v>0.9</v>
      </c>
      <c r="WT44">
        <v>0.9</v>
      </c>
      <c r="WU44">
        <v>0.9</v>
      </c>
      <c r="WV44">
        <v>0.9</v>
      </c>
      <c r="WW44">
        <v>0.9</v>
      </c>
      <c r="WX44">
        <v>0.9</v>
      </c>
      <c r="WY44">
        <v>0.9</v>
      </c>
      <c r="WZ44">
        <v>0.9</v>
      </c>
      <c r="XA44">
        <v>0.9</v>
      </c>
      <c r="XB44">
        <v>0.9</v>
      </c>
      <c r="XC44">
        <v>0.9</v>
      </c>
      <c r="XD44">
        <v>0.9</v>
      </c>
      <c r="XE44">
        <v>0.9</v>
      </c>
      <c r="XF44">
        <v>0.9</v>
      </c>
      <c r="XG44">
        <v>0.9</v>
      </c>
      <c r="XH44">
        <v>0.9</v>
      </c>
      <c r="XI44">
        <v>0.9</v>
      </c>
      <c r="XJ44">
        <v>0.9</v>
      </c>
      <c r="XK44">
        <v>0.9</v>
      </c>
      <c r="XL44">
        <v>0.9</v>
      </c>
      <c r="XM44">
        <v>0.9</v>
      </c>
      <c r="XN44">
        <v>0.9</v>
      </c>
      <c r="XO44">
        <v>0.9</v>
      </c>
      <c r="XP44">
        <v>0.9</v>
      </c>
      <c r="XQ44">
        <v>0.9</v>
      </c>
      <c r="XR44">
        <v>0.9</v>
      </c>
      <c r="XS44">
        <v>0.9</v>
      </c>
      <c r="XT44">
        <v>0.9</v>
      </c>
      <c r="XU44">
        <v>0.9</v>
      </c>
      <c r="XV44">
        <v>0.9</v>
      </c>
      <c r="XW44">
        <v>0.9</v>
      </c>
      <c r="XX44">
        <v>0.9</v>
      </c>
      <c r="XY44">
        <v>0.9</v>
      </c>
      <c r="XZ44">
        <v>0.9</v>
      </c>
      <c r="YA44">
        <v>0.9</v>
      </c>
      <c r="YB44">
        <v>0.9</v>
      </c>
      <c r="YC44">
        <v>0.9</v>
      </c>
      <c r="YD44">
        <v>0.9</v>
      </c>
      <c r="YE44">
        <v>0.9</v>
      </c>
      <c r="YF44">
        <v>0.9</v>
      </c>
      <c r="YG44">
        <v>0.9</v>
      </c>
      <c r="YH44">
        <v>0.9</v>
      </c>
      <c r="YI44">
        <v>0.9</v>
      </c>
      <c r="YJ44">
        <v>0.9</v>
      </c>
      <c r="YK44">
        <v>0.9</v>
      </c>
      <c r="YL44">
        <v>0.9</v>
      </c>
      <c r="YM44">
        <v>0.9</v>
      </c>
      <c r="YN44">
        <v>0.9</v>
      </c>
      <c r="YO44">
        <v>0.9</v>
      </c>
      <c r="YP44">
        <v>0.9</v>
      </c>
      <c r="YQ44">
        <v>0.9</v>
      </c>
      <c r="YR44">
        <v>0.9</v>
      </c>
      <c r="YS44">
        <v>0.9</v>
      </c>
      <c r="YT44">
        <v>0.9</v>
      </c>
      <c r="YU44">
        <v>0.9</v>
      </c>
      <c r="YV44">
        <v>0.9</v>
      </c>
      <c r="YW44">
        <v>0.9</v>
      </c>
      <c r="YX44">
        <v>0.9</v>
      </c>
      <c r="YY44">
        <v>0.9</v>
      </c>
      <c r="YZ44">
        <v>0.9</v>
      </c>
      <c r="ZA44">
        <v>0.9</v>
      </c>
      <c r="ZB44">
        <v>0.9</v>
      </c>
      <c r="ZC44">
        <v>0.9</v>
      </c>
      <c r="ZD44">
        <v>0.9</v>
      </c>
      <c r="ZE44">
        <v>0.9</v>
      </c>
      <c r="ZF44">
        <v>0.9</v>
      </c>
      <c r="ZG44">
        <v>0.9</v>
      </c>
      <c r="ZH44">
        <v>0.9</v>
      </c>
      <c r="ZI44">
        <v>0.9</v>
      </c>
      <c r="ZJ44">
        <v>0.9</v>
      </c>
      <c r="ZK44">
        <v>0.9</v>
      </c>
      <c r="ZL44">
        <v>0.9</v>
      </c>
      <c r="ZM44">
        <v>0.9</v>
      </c>
      <c r="ZN44">
        <v>0.9</v>
      </c>
      <c r="ZO44">
        <v>0.9</v>
      </c>
      <c r="ZP44">
        <v>0.9</v>
      </c>
      <c r="ZQ44">
        <v>0.92500000000000004</v>
      </c>
      <c r="ZR44">
        <v>0.92500000000000004</v>
      </c>
      <c r="ZS44">
        <v>0.92500000000000004</v>
      </c>
      <c r="ZT44">
        <v>0.92500000000000004</v>
      </c>
      <c r="ZU44">
        <v>0.92500000000000004</v>
      </c>
      <c r="ZV44">
        <v>0.92500000000000004</v>
      </c>
      <c r="ZW44">
        <v>0.92500000000000004</v>
      </c>
      <c r="ZX44">
        <v>0.92500000000000004</v>
      </c>
      <c r="ZY44">
        <v>0.92500000000000004</v>
      </c>
      <c r="ZZ44">
        <v>0.92500000000000004</v>
      </c>
      <c r="AAA44">
        <v>0.92500000000000004</v>
      </c>
      <c r="AAB44">
        <v>0.92500000000000004</v>
      </c>
      <c r="AAC44">
        <v>0.92500000000000004</v>
      </c>
      <c r="AAD44">
        <v>0.92500000000000004</v>
      </c>
      <c r="AAE44">
        <v>0.92500000000000004</v>
      </c>
      <c r="AAF44">
        <v>0.92500000000000004</v>
      </c>
      <c r="AAG44">
        <v>0.92500000000000004</v>
      </c>
      <c r="AAH44">
        <v>0.92500000000000004</v>
      </c>
      <c r="AAI44">
        <v>0.92500000000000004</v>
      </c>
      <c r="AAJ44">
        <v>0.92500000000000004</v>
      </c>
      <c r="AAK44">
        <v>0.92500000000000004</v>
      </c>
      <c r="AAL44">
        <v>0.92500000000000004</v>
      </c>
      <c r="AAM44">
        <v>0.92500000000000004</v>
      </c>
      <c r="AAN44">
        <v>0.92500000000000004</v>
      </c>
      <c r="AAO44">
        <v>0.92500000000000004</v>
      </c>
      <c r="AAP44">
        <v>0.92500000000000004</v>
      </c>
      <c r="AAQ44">
        <v>0.92500000000000004</v>
      </c>
      <c r="AAR44">
        <v>0.92500000000000004</v>
      </c>
      <c r="AAS44">
        <v>0.92500000000000004</v>
      </c>
      <c r="AAT44">
        <v>0.92500000000000004</v>
      </c>
      <c r="AAU44">
        <v>0.92500000000000004</v>
      </c>
      <c r="AAV44">
        <v>0.92500000000000004</v>
      </c>
      <c r="AAW44">
        <v>0.92500000000000004</v>
      </c>
      <c r="AAX44">
        <v>0.92500000000000004</v>
      </c>
      <c r="AAY44">
        <v>0.92500000000000004</v>
      </c>
      <c r="AAZ44">
        <v>0.92500000000000004</v>
      </c>
      <c r="ABA44">
        <v>0.92500000000000004</v>
      </c>
      <c r="ABB44">
        <v>0.92500000000000004</v>
      </c>
      <c r="ABC44">
        <v>0.92500000000000004</v>
      </c>
      <c r="ABD44">
        <v>0.92500000000000004</v>
      </c>
      <c r="ABE44">
        <v>0.92500000000000004</v>
      </c>
      <c r="ABF44">
        <v>0.92500000000000004</v>
      </c>
      <c r="ABG44">
        <v>0.92500000000000004</v>
      </c>
      <c r="ABH44">
        <v>0.92500000000000004</v>
      </c>
      <c r="ABI44">
        <v>0.92500000000000004</v>
      </c>
      <c r="ABJ44">
        <v>0.92500000000000004</v>
      </c>
      <c r="ABK44">
        <v>0.92500000000000004</v>
      </c>
      <c r="ABL44">
        <v>0.92500000000000004</v>
      </c>
      <c r="ABM44">
        <v>0.92500000000000004</v>
      </c>
      <c r="ABN44">
        <v>0.92500000000000004</v>
      </c>
      <c r="ABO44">
        <v>0.92500000000000004</v>
      </c>
      <c r="ABP44">
        <v>0.92500000000000004</v>
      </c>
      <c r="ABQ44">
        <v>0.92500000000000004</v>
      </c>
      <c r="ABR44">
        <v>0.92500000000000004</v>
      </c>
      <c r="ABS44">
        <v>0.92500000000000004</v>
      </c>
      <c r="ABT44">
        <v>0.92500000000000004</v>
      </c>
      <c r="ABU44">
        <v>0.92500000000000004</v>
      </c>
      <c r="ABV44">
        <v>0.92500000000000004</v>
      </c>
      <c r="ABW44">
        <v>0.92500000000000004</v>
      </c>
      <c r="ABX44">
        <v>0.92500000000000004</v>
      </c>
      <c r="ABY44">
        <v>0.92500000000000004</v>
      </c>
      <c r="ABZ44">
        <v>0.92500000000000004</v>
      </c>
      <c r="ACA44">
        <v>0.92500000000000004</v>
      </c>
      <c r="ACB44">
        <v>0.92500000000000004</v>
      </c>
      <c r="ACC44">
        <v>0.92500000000000004</v>
      </c>
      <c r="ACD44">
        <v>0.92500000000000004</v>
      </c>
      <c r="ACE44">
        <v>0.92500000000000004</v>
      </c>
      <c r="ACF44">
        <v>0.92500000000000004</v>
      </c>
      <c r="ACG44">
        <v>0.92500000000000004</v>
      </c>
      <c r="ACH44">
        <v>0.92500000000000004</v>
      </c>
      <c r="ACI44">
        <v>0.92500000000000004</v>
      </c>
      <c r="ACJ44">
        <v>0.92500000000000004</v>
      </c>
      <c r="ACK44">
        <v>0.92500000000000004</v>
      </c>
      <c r="ACL44">
        <v>0.92500000000000004</v>
      </c>
      <c r="ACM44">
        <v>0.92500000000000004</v>
      </c>
      <c r="ACN44">
        <v>0.92500000000000004</v>
      </c>
      <c r="ACO44">
        <v>0.92500000000000004</v>
      </c>
      <c r="ACP44">
        <v>0.92500000000000004</v>
      </c>
      <c r="ACQ44">
        <v>0.92500000000000004</v>
      </c>
      <c r="ACR44">
        <v>0.92500000000000004</v>
      </c>
      <c r="ACS44">
        <v>0.92500000000000004</v>
      </c>
      <c r="ACT44">
        <v>0.92500000000000004</v>
      </c>
      <c r="ACU44">
        <v>0.92500000000000004</v>
      </c>
      <c r="ACV44">
        <v>0.92500000000000004</v>
      </c>
      <c r="ACW44">
        <v>0.92500000000000004</v>
      </c>
      <c r="ACX44">
        <v>0.92500000000000004</v>
      </c>
      <c r="ACY44">
        <v>0.92500000000000004</v>
      </c>
      <c r="ACZ44">
        <v>0.92500000000000004</v>
      </c>
      <c r="ADA44">
        <v>0.92500000000000004</v>
      </c>
      <c r="ADB44">
        <v>0.92500000000000004</v>
      </c>
      <c r="ADC44">
        <v>0.92500000000000004</v>
      </c>
      <c r="ADD44">
        <v>0.92500000000000004</v>
      </c>
      <c r="ADE44">
        <v>0.92500000000000004</v>
      </c>
      <c r="ADF44">
        <v>0.92500000000000004</v>
      </c>
      <c r="ADG44">
        <v>0.92500000000000004</v>
      </c>
      <c r="ADH44">
        <v>0.92500000000000004</v>
      </c>
      <c r="ADI44">
        <v>0.92500000000000004</v>
      </c>
      <c r="ADJ44">
        <v>0.92500000000000004</v>
      </c>
      <c r="ADK44">
        <v>0.92500000000000004</v>
      </c>
      <c r="ADL44">
        <v>0.92500000000000004</v>
      </c>
      <c r="ADM44">
        <v>0.92500000000000004</v>
      </c>
      <c r="ADN44">
        <v>0.92500000000000004</v>
      </c>
      <c r="ADO44">
        <v>0.92500000000000004</v>
      </c>
      <c r="ADP44">
        <v>0.92500000000000004</v>
      </c>
      <c r="ADQ44">
        <v>0.92500000000000004</v>
      </c>
      <c r="ADR44">
        <v>0.92500000000000004</v>
      </c>
      <c r="ADS44">
        <v>0.92500000000000004</v>
      </c>
      <c r="ADT44">
        <v>0.92500000000000004</v>
      </c>
      <c r="ADU44">
        <v>0.92500000000000004</v>
      </c>
      <c r="ADV44">
        <v>0.92500000000000004</v>
      </c>
      <c r="ADW44">
        <v>0.92500000000000004</v>
      </c>
      <c r="ADX44">
        <v>0.92500000000000004</v>
      </c>
      <c r="ADY44">
        <v>0.92500000000000004</v>
      </c>
      <c r="ADZ44">
        <v>0.92500000000000004</v>
      </c>
      <c r="AEA44">
        <v>0.92500000000000004</v>
      </c>
      <c r="AEB44">
        <v>0.92500000000000004</v>
      </c>
      <c r="AEC44">
        <v>0.92500000000000004</v>
      </c>
      <c r="AED44">
        <v>0.92500000000000004</v>
      </c>
      <c r="AEE44">
        <v>0.92500000000000004</v>
      </c>
      <c r="AEF44">
        <v>0.92500000000000004</v>
      </c>
      <c r="AEG44">
        <v>0.92500000000000004</v>
      </c>
      <c r="AEH44">
        <v>0.92500000000000004</v>
      </c>
      <c r="AEI44">
        <v>0.92500000000000004</v>
      </c>
      <c r="AEJ44">
        <v>0.92500000000000004</v>
      </c>
      <c r="AEK44">
        <v>0.92500000000000004</v>
      </c>
      <c r="AEL44">
        <v>0.92500000000000004</v>
      </c>
      <c r="AEM44">
        <v>0.92500000000000004</v>
      </c>
      <c r="AEN44">
        <v>0.92500000000000004</v>
      </c>
      <c r="AEO44">
        <v>0.92500000000000004</v>
      </c>
      <c r="AEP44">
        <v>0.92500000000000004</v>
      </c>
      <c r="AEQ44">
        <v>0.92500000000000004</v>
      </c>
      <c r="AER44">
        <v>0.92500000000000004</v>
      </c>
      <c r="AES44">
        <v>0.92500000000000004</v>
      </c>
      <c r="AET44">
        <v>0.92500000000000004</v>
      </c>
      <c r="AEU44">
        <v>0.92500000000000004</v>
      </c>
      <c r="AEV44">
        <v>0.92500000000000004</v>
      </c>
      <c r="AEW44">
        <v>0.92500000000000004</v>
      </c>
      <c r="AEX44">
        <v>0.92500000000000004</v>
      </c>
      <c r="AEY44">
        <v>0.92500000000000004</v>
      </c>
      <c r="AEZ44">
        <v>0.92500000000000004</v>
      </c>
      <c r="AFA44">
        <v>0.92500000000000004</v>
      </c>
      <c r="AFB44">
        <v>0.92500000000000004</v>
      </c>
      <c r="AFC44">
        <v>0.92500000000000004</v>
      </c>
      <c r="AFD44">
        <v>0.92500000000000004</v>
      </c>
      <c r="AFE44">
        <v>0.92500000000000004</v>
      </c>
      <c r="AFF44">
        <v>0.92500000000000004</v>
      </c>
      <c r="AFG44">
        <v>0.92500000000000004</v>
      </c>
      <c r="AFH44">
        <v>0.92500000000000004</v>
      </c>
      <c r="AFI44">
        <v>0.92500000000000004</v>
      </c>
      <c r="AFJ44">
        <v>0.92500000000000004</v>
      </c>
      <c r="AFK44">
        <v>0.92500000000000004</v>
      </c>
      <c r="AFL44">
        <v>0.92500000000000004</v>
      </c>
      <c r="AFM44">
        <v>0.92500000000000004</v>
      </c>
      <c r="AFN44">
        <v>0.92500000000000004</v>
      </c>
      <c r="AFO44">
        <v>0.92500000000000004</v>
      </c>
      <c r="AFP44">
        <v>0.92500000000000004</v>
      </c>
      <c r="AFQ44">
        <v>0.92500000000000004</v>
      </c>
      <c r="AFR44">
        <v>0.92500000000000004</v>
      </c>
      <c r="AFS44">
        <v>0.92500000000000004</v>
      </c>
      <c r="AFT44">
        <v>0.92500000000000004</v>
      </c>
      <c r="AFU44">
        <v>0.92500000000000004</v>
      </c>
      <c r="AFV44">
        <v>0.92500000000000004</v>
      </c>
      <c r="AFW44">
        <v>0.92500000000000004</v>
      </c>
      <c r="AFX44">
        <v>0.92500000000000004</v>
      </c>
      <c r="AFY44">
        <v>0.92500000000000004</v>
      </c>
      <c r="AFZ44">
        <v>0.92500000000000004</v>
      </c>
      <c r="AGA44">
        <v>0.92500000000000004</v>
      </c>
      <c r="AGB44">
        <v>0.92500000000000004</v>
      </c>
      <c r="AGC44">
        <v>0.92500000000000004</v>
      </c>
      <c r="AGD44">
        <v>0.92500000000000004</v>
      </c>
      <c r="AGE44">
        <v>0.92500000000000004</v>
      </c>
      <c r="AGF44">
        <v>0.92500000000000004</v>
      </c>
      <c r="AGG44">
        <v>0.92500000000000004</v>
      </c>
      <c r="AGH44">
        <v>0.92500000000000004</v>
      </c>
      <c r="AGI44">
        <v>0.92500000000000004</v>
      </c>
      <c r="AGJ44">
        <v>0.92500000000000004</v>
      </c>
      <c r="AGK44">
        <v>0.92500000000000004</v>
      </c>
      <c r="AGL44">
        <v>0.92500000000000004</v>
      </c>
      <c r="AGM44">
        <v>0.92500000000000004</v>
      </c>
      <c r="AGN44">
        <v>0.92500000000000004</v>
      </c>
      <c r="AGO44">
        <v>0.92500000000000004</v>
      </c>
      <c r="AGP44">
        <v>0.92500000000000004</v>
      </c>
      <c r="AGQ44">
        <v>0.92500000000000004</v>
      </c>
      <c r="AGR44">
        <v>0.92500000000000004</v>
      </c>
      <c r="AGS44">
        <v>0.92500000000000004</v>
      </c>
      <c r="AGT44">
        <v>0.92500000000000004</v>
      </c>
      <c r="AGU44">
        <v>0.92500000000000004</v>
      </c>
      <c r="AGV44">
        <v>0.92500000000000004</v>
      </c>
      <c r="AGW44">
        <v>0.92500000000000004</v>
      </c>
      <c r="AGX44">
        <v>0.92500000000000004</v>
      </c>
      <c r="AGY44">
        <v>0.92500000000000004</v>
      </c>
      <c r="AGZ44">
        <v>0.92500000000000004</v>
      </c>
      <c r="AHA44">
        <v>0.92500000000000004</v>
      </c>
      <c r="AHB44">
        <v>0.92500000000000004</v>
      </c>
      <c r="AHC44">
        <v>0.92500000000000004</v>
      </c>
      <c r="AHD44">
        <v>0.92500000000000004</v>
      </c>
      <c r="AHE44">
        <v>0.92500000000000004</v>
      </c>
      <c r="AHF44">
        <v>0.92500000000000004</v>
      </c>
      <c r="AHG44">
        <v>0.92500000000000004</v>
      </c>
      <c r="AHH44">
        <v>0.92500000000000004</v>
      </c>
      <c r="AHI44">
        <v>0.92500000000000004</v>
      </c>
      <c r="AHJ44">
        <v>0.92500000000000004</v>
      </c>
      <c r="AHK44">
        <v>0.92500000000000004</v>
      </c>
      <c r="AHL44">
        <v>0.92500000000000004</v>
      </c>
      <c r="AHM44">
        <v>0.92500000000000004</v>
      </c>
      <c r="AHN44">
        <v>0.92500000000000004</v>
      </c>
      <c r="AHO44">
        <v>0.92500000000000004</v>
      </c>
      <c r="AHP44">
        <v>0.92500000000000004</v>
      </c>
      <c r="AHQ44">
        <v>0.92500000000000004</v>
      </c>
      <c r="AHR44">
        <v>0.92500000000000004</v>
      </c>
      <c r="AHS44">
        <v>0.92500000000000004</v>
      </c>
      <c r="AHT44">
        <v>0.92500000000000004</v>
      </c>
      <c r="AHU44">
        <v>0.92500000000000004</v>
      </c>
      <c r="AHV44">
        <v>0.92500000000000004</v>
      </c>
      <c r="AHW44">
        <v>0.92500000000000004</v>
      </c>
      <c r="AHX44">
        <v>0.92500000000000004</v>
      </c>
      <c r="AHY44">
        <v>0.92500000000000004</v>
      </c>
      <c r="AHZ44">
        <v>0.92500000000000004</v>
      </c>
      <c r="AIA44">
        <v>0.92500000000000004</v>
      </c>
      <c r="AIB44">
        <v>0.92500000000000004</v>
      </c>
      <c r="AIC44">
        <v>0.92500000000000004</v>
      </c>
      <c r="AID44">
        <v>0.92500000000000004</v>
      </c>
      <c r="AIE44">
        <v>0.92500000000000004</v>
      </c>
      <c r="AIF44">
        <v>0.92500000000000004</v>
      </c>
      <c r="AIG44">
        <v>0.92500000000000004</v>
      </c>
      <c r="AIH44">
        <v>0.92500000000000004</v>
      </c>
      <c r="AII44">
        <v>0.92500000000000004</v>
      </c>
      <c r="AIJ44">
        <v>0.92500000000000004</v>
      </c>
      <c r="AIK44">
        <v>0.92500000000000004</v>
      </c>
      <c r="AIL44">
        <v>0.92500000000000004</v>
      </c>
      <c r="AIM44">
        <v>0.92500000000000004</v>
      </c>
      <c r="AIN44">
        <v>0.92500000000000004</v>
      </c>
      <c r="AIO44">
        <v>0.92500000000000004</v>
      </c>
      <c r="AIP44">
        <v>0.92500000000000004</v>
      </c>
      <c r="AIQ44">
        <v>0.92500000000000004</v>
      </c>
      <c r="AIR44">
        <v>0.92500000000000004</v>
      </c>
      <c r="AIS44">
        <v>0.92500000000000004</v>
      </c>
      <c r="AIT44">
        <v>0.92500000000000004</v>
      </c>
      <c r="AIU44">
        <v>0.92500000000000004</v>
      </c>
      <c r="AIV44">
        <v>0.92500000000000004</v>
      </c>
      <c r="AIW44">
        <v>0.92500000000000004</v>
      </c>
      <c r="AIX44">
        <v>0.92500000000000004</v>
      </c>
      <c r="AIY44">
        <v>0.92500000000000004</v>
      </c>
      <c r="AIZ44">
        <v>0.92500000000000004</v>
      </c>
      <c r="AJA44">
        <v>0.92500000000000004</v>
      </c>
      <c r="AJB44">
        <v>0.92500000000000004</v>
      </c>
      <c r="AJC44">
        <v>0.92500000000000004</v>
      </c>
      <c r="AJD44">
        <v>0.92500000000000004</v>
      </c>
      <c r="AJE44">
        <v>0.92500000000000004</v>
      </c>
      <c r="AJF44">
        <v>0.92500000000000004</v>
      </c>
      <c r="AJG44">
        <v>0.92500000000000004</v>
      </c>
      <c r="AJH44">
        <v>0.92500000000000004</v>
      </c>
      <c r="AJI44">
        <v>0.92500000000000004</v>
      </c>
      <c r="AJJ44">
        <v>0.92500000000000004</v>
      </c>
      <c r="AJK44">
        <v>0.92500000000000004</v>
      </c>
      <c r="AJL44">
        <v>0.92500000000000004</v>
      </c>
      <c r="AJM44">
        <v>0.92500000000000004</v>
      </c>
      <c r="AJN44">
        <v>0.92500000000000004</v>
      </c>
      <c r="AJO44">
        <v>0.92500000000000004</v>
      </c>
      <c r="AJP44">
        <v>0.92500000000000004</v>
      </c>
      <c r="AJQ44">
        <v>0.92500000000000004</v>
      </c>
      <c r="AKP44">
        <v>0.97</v>
      </c>
      <c r="AKQ44">
        <v>0.98666666666666669</v>
      </c>
      <c r="AKR44">
        <v>0.96</v>
      </c>
      <c r="AKS44">
        <v>0.85709999999999997</v>
      </c>
      <c r="AKT44">
        <v>0.82850000000000001</v>
      </c>
    </row>
    <row r="45" spans="1:985" ht="14.4" customHeight="1" x14ac:dyDescent="0.55000000000000004">
      <c r="A45" t="s">
        <v>64</v>
      </c>
      <c r="B45" t="s">
        <v>522</v>
      </c>
      <c r="C45" s="1" t="s">
        <v>623</v>
      </c>
      <c r="BN45">
        <v>5.04</v>
      </c>
      <c r="BO45">
        <v>5.04</v>
      </c>
      <c r="BP45">
        <v>5.04</v>
      </c>
      <c r="BX45">
        <v>5.09</v>
      </c>
      <c r="BY45">
        <v>5.09</v>
      </c>
      <c r="BZ45">
        <v>5.09</v>
      </c>
      <c r="AKS45">
        <v>5.04</v>
      </c>
      <c r="AKT45">
        <v>5.09</v>
      </c>
    </row>
    <row r="46" spans="1:985" ht="14.4" customHeight="1" x14ac:dyDescent="0.55000000000000004">
      <c r="A46" t="s">
        <v>63</v>
      </c>
      <c r="B46" t="s">
        <v>522</v>
      </c>
      <c r="C46" s="1" t="s">
        <v>627</v>
      </c>
      <c r="BN46">
        <v>0.54</v>
      </c>
      <c r="BO46">
        <v>0.52</v>
      </c>
      <c r="BP46">
        <v>0.49</v>
      </c>
      <c r="BX46">
        <v>0.77</v>
      </c>
      <c r="BY46">
        <v>0.5</v>
      </c>
      <c r="BZ46">
        <v>0.5</v>
      </c>
      <c r="AKS46">
        <v>0.49</v>
      </c>
      <c r="AKT46">
        <v>0.5</v>
      </c>
    </row>
    <row r="47" spans="1:985" ht="14.4" customHeight="1" x14ac:dyDescent="0.55000000000000004">
      <c r="A47" t="s">
        <v>49</v>
      </c>
      <c r="B47" t="s">
        <v>522</v>
      </c>
      <c r="C47" s="1" t="s">
        <v>628</v>
      </c>
      <c r="D47">
        <v>3.068497101480836</v>
      </c>
      <c r="E47">
        <v>3.230840927525001</v>
      </c>
      <c r="F47">
        <v>3.1122640562088448</v>
      </c>
      <c r="G47">
        <v>3.2759993615423135</v>
      </c>
      <c r="H47">
        <f t="shared" ref="H47:S47" si="50">H48/H40</f>
        <v>3.2961702272727269</v>
      </c>
      <c r="I47">
        <f t="shared" si="50"/>
        <v>3.260014553118884</v>
      </c>
      <c r="J47">
        <f t="shared" si="50"/>
        <v>3.237195751290145</v>
      </c>
      <c r="K47">
        <f t="shared" si="50"/>
        <v>3.1745598397596395</v>
      </c>
      <c r="L47">
        <f t="shared" si="50"/>
        <v>3.2739799415381512</v>
      </c>
      <c r="M47">
        <f t="shared" si="50"/>
        <v>2.9839308785529721</v>
      </c>
      <c r="N47">
        <f t="shared" si="50"/>
        <v>3.1521240779338591</v>
      </c>
      <c r="O47">
        <f t="shared" si="50"/>
        <v>2.7915240378663171</v>
      </c>
      <c r="P47">
        <f t="shared" si="50"/>
        <v>2.8379341317798255</v>
      </c>
      <c r="Q47">
        <f t="shared" si="50"/>
        <v>3.0546023649147775</v>
      </c>
      <c r="R47">
        <f t="shared" si="50"/>
        <v>3.3047598783930874</v>
      </c>
      <c r="S47">
        <f t="shared" si="50"/>
        <v>3.1839078965054233</v>
      </c>
      <c r="T47">
        <v>2.4963990148305091</v>
      </c>
      <c r="U47">
        <v>2.7658554329861373</v>
      </c>
      <c r="V47">
        <v>2.7612616628464228</v>
      </c>
      <c r="W47">
        <v>2.9260170092094668</v>
      </c>
      <c r="X47">
        <v>3.1239418549397384</v>
      </c>
      <c r="Y47">
        <v>2.8432423011849082</v>
      </c>
      <c r="Z47">
        <v>3.1381158112222702</v>
      </c>
      <c r="AA47">
        <v>2.893766439755856</v>
      </c>
      <c r="AB47">
        <v>2.9866443803141234</v>
      </c>
      <c r="AC47">
        <v>2.7515157554582421</v>
      </c>
      <c r="AD47">
        <v>2.6934633289185763</v>
      </c>
      <c r="AE47">
        <v>2.4549207375228339</v>
      </c>
      <c r="AF47">
        <v>2.3308753752358187</v>
      </c>
      <c r="AG47">
        <v>2.4363185225452049</v>
      </c>
      <c r="AH47">
        <v>2.4744563841986631</v>
      </c>
      <c r="AI47">
        <v>2.4499014750227919</v>
      </c>
      <c r="AJ47">
        <v>2.5211132558746581</v>
      </c>
      <c r="AK47">
        <v>2.9394081578087885</v>
      </c>
      <c r="AL47">
        <v>2.6713824827572541</v>
      </c>
      <c r="AM47">
        <v>2.8547839711881986</v>
      </c>
      <c r="AN47">
        <v>3.1256396749674242</v>
      </c>
      <c r="AO47">
        <v>2.6408763373731756</v>
      </c>
      <c r="AP47">
        <v>2.7225597785750573</v>
      </c>
      <c r="AQ47">
        <v>3.002489051213693</v>
      </c>
      <c r="AR47">
        <v>3.1816728623801542</v>
      </c>
      <c r="AS47">
        <v>2.9390526654345779</v>
      </c>
      <c r="AT47">
        <v>2.8084442425153386</v>
      </c>
      <c r="AU47">
        <v>2.8199457823098286</v>
      </c>
      <c r="AV47">
        <v>2.8848546041197993</v>
      </c>
      <c r="AW47">
        <v>2.8681009213851945</v>
      </c>
      <c r="AX47">
        <v>3.0872025880817748</v>
      </c>
      <c r="AY47">
        <v>2.7518056990579489</v>
      </c>
      <c r="AZ47">
        <v>3.1256383466213493</v>
      </c>
      <c r="BA47">
        <v>3.7870798539926995</v>
      </c>
      <c r="BB47">
        <v>2.575519144878808</v>
      </c>
      <c r="BC47">
        <v>2.7682033167994389</v>
      </c>
      <c r="BD47">
        <v>2.7093345017526289</v>
      </c>
      <c r="BE47">
        <v>1.5076670698518295</v>
      </c>
      <c r="BF47">
        <v>3.7200358862971008</v>
      </c>
      <c r="BG47">
        <v>3.3515246371087191</v>
      </c>
      <c r="BH47">
        <v>3.35</v>
      </c>
      <c r="BI47">
        <v>3.35</v>
      </c>
      <c r="BJ47">
        <v>3.35</v>
      </c>
      <c r="BK47">
        <v>3.35</v>
      </c>
      <c r="BL47">
        <v>3.35</v>
      </c>
      <c r="BM47">
        <v>3.35</v>
      </c>
      <c r="BN47">
        <f>BN45-BN46</f>
        <v>4.5</v>
      </c>
      <c r="BO47">
        <f>BO45-BO46</f>
        <v>4.5199999999999996</v>
      </c>
      <c r="BP47">
        <f>BP45-BP46</f>
        <v>4.55</v>
      </c>
      <c r="BQ47">
        <v>3.3183821242248248</v>
      </c>
      <c r="BR47">
        <v>3.32</v>
      </c>
      <c r="BS47">
        <v>3.32</v>
      </c>
      <c r="BT47">
        <v>3.32</v>
      </c>
      <c r="BU47">
        <v>3.32</v>
      </c>
      <c r="BV47">
        <v>3.32</v>
      </c>
      <c r="BW47">
        <v>3.32</v>
      </c>
      <c r="BX47">
        <f>BX45-BX46</f>
        <v>4.32</v>
      </c>
      <c r="BY47">
        <f>BY45-BY46</f>
        <v>4.59</v>
      </c>
      <c r="BZ47">
        <f>BZ45-BZ46</f>
        <v>4.59</v>
      </c>
      <c r="AJR47">
        <v>4.7413500000000006</v>
      </c>
      <c r="AJS47">
        <v>4.7413500000000006</v>
      </c>
      <c r="AJT47">
        <v>4.7429608938547494</v>
      </c>
      <c r="AJU47">
        <v>4.7429608938547494</v>
      </c>
      <c r="AJV47">
        <v>4.7429608938547494</v>
      </c>
      <c r="AJW47">
        <v>4.7429608938547494</v>
      </c>
      <c r="AJX47">
        <v>4.7429608938547494</v>
      </c>
      <c r="AJY47">
        <v>4.7429608938547494</v>
      </c>
      <c r="AJZ47">
        <v>4.7429608938547494</v>
      </c>
      <c r="AKA47">
        <v>3.76</v>
      </c>
      <c r="AKB47">
        <v>3.76</v>
      </c>
      <c r="AKC47">
        <v>3.76</v>
      </c>
      <c r="AKD47">
        <v>3.76</v>
      </c>
      <c r="AKE47">
        <v>3.76</v>
      </c>
      <c r="AKF47">
        <v>3.76</v>
      </c>
      <c r="AKG47">
        <v>3.76</v>
      </c>
      <c r="AKS47">
        <f>AKS48/(AKS40*AKS44)</f>
        <v>4.55</v>
      </c>
      <c r="AKT47">
        <f>AKT48/(AKT40*AKT44)</f>
        <v>4.59</v>
      </c>
    </row>
    <row r="48" spans="1:985" ht="14.4" customHeight="1" x14ac:dyDescent="0.55000000000000004">
      <c r="A48" t="s">
        <v>42</v>
      </c>
      <c r="B48" t="s">
        <v>522</v>
      </c>
      <c r="C48" s="1" t="s">
        <v>629</v>
      </c>
      <c r="D48">
        <f>D47*D40</f>
        <v>61369.942029616723</v>
      </c>
      <c r="E48">
        <f>E47*E40</f>
        <v>64380.967162790694</v>
      </c>
      <c r="F48">
        <f>F47*F40</f>
        <v>62117.678297872335</v>
      </c>
      <c r="G48">
        <f>G47*G40</f>
        <v>65421.707249999999</v>
      </c>
      <c r="H48">
        <v>65923.404545454541</v>
      </c>
      <c r="I48">
        <v>64962.31</v>
      </c>
      <c r="J48">
        <v>64611.19</v>
      </c>
      <c r="K48">
        <v>63395.96</v>
      </c>
      <c r="L48">
        <v>64962.31</v>
      </c>
      <c r="M48">
        <v>59678.61757105944</v>
      </c>
      <c r="N48">
        <v>62812.376500988008</v>
      </c>
      <c r="O48">
        <v>55716.028271773823</v>
      </c>
      <c r="P48">
        <v>56673.544611643112</v>
      </c>
      <c r="Q48">
        <v>60609.420124639015</v>
      </c>
      <c r="R48">
        <v>61151.27678978569</v>
      </c>
      <c r="S48">
        <v>58558.434032527744</v>
      </c>
      <c r="T48">
        <f t="shared" ref="T48:BF48" si="51">T47*T40</f>
        <v>49927.980296610185</v>
      </c>
      <c r="U48">
        <f t="shared" si="51"/>
        <v>55115.201213114757</v>
      </c>
      <c r="V48">
        <f t="shared" si="51"/>
        <v>55112.021528751757</v>
      </c>
      <c r="W48">
        <f t="shared" si="51"/>
        <v>58432.559673913056</v>
      </c>
      <c r="X48">
        <f t="shared" si="51"/>
        <v>61985.254285714291</v>
      </c>
      <c r="Y48">
        <f t="shared" si="51"/>
        <v>52611.355541125544</v>
      </c>
      <c r="Z48">
        <f t="shared" si="51"/>
        <v>57716.225999999995</v>
      </c>
      <c r="AA48">
        <f t="shared" si="51"/>
        <v>56269.288421052617</v>
      </c>
      <c r="AB48">
        <f t="shared" si="51"/>
        <v>59732.887606282471</v>
      </c>
      <c r="AC48">
        <f t="shared" si="51"/>
        <v>54829.454459016393</v>
      </c>
      <c r="AD48">
        <f t="shared" si="51"/>
        <v>53758.834581885865</v>
      </c>
      <c r="AE48">
        <f t="shared" si="51"/>
        <v>49024.76712833099</v>
      </c>
      <c r="AF48">
        <f t="shared" si="51"/>
        <v>46249.229195429114</v>
      </c>
      <c r="AG48">
        <f t="shared" si="51"/>
        <v>45081.637941176472</v>
      </c>
      <c r="AH48">
        <f t="shared" si="51"/>
        <v>45510.201818181813</v>
      </c>
      <c r="AI48">
        <f t="shared" si="51"/>
        <v>47638.334181818187</v>
      </c>
      <c r="AJ48">
        <f t="shared" si="51"/>
        <v>50419.744004237284</v>
      </c>
      <c r="AK48">
        <f t="shared" si="51"/>
        <v>58573.586360655725</v>
      </c>
      <c r="AL48">
        <f t="shared" si="51"/>
        <v>53318.122973352038</v>
      </c>
      <c r="AM48">
        <f t="shared" si="51"/>
        <v>57010.035904628327</v>
      </c>
      <c r="AN48">
        <f t="shared" si="51"/>
        <v>62018.942430703632</v>
      </c>
      <c r="AO48">
        <f t="shared" si="51"/>
        <v>48866.775746753243</v>
      </c>
      <c r="AP48">
        <f t="shared" si="51"/>
        <v>50073.319447552451</v>
      </c>
      <c r="AQ48">
        <f t="shared" si="51"/>
        <v>58383.399600850258</v>
      </c>
      <c r="AR48">
        <f t="shared" si="51"/>
        <v>55055.66721062619</v>
      </c>
      <c r="AS48">
        <f t="shared" si="51"/>
        <v>58566.502464114834</v>
      </c>
      <c r="AT48">
        <f t="shared" si="51"/>
        <v>56053.738636363647</v>
      </c>
      <c r="AU48">
        <f t="shared" si="51"/>
        <v>56314.317272727276</v>
      </c>
      <c r="AV48">
        <f t="shared" si="51"/>
        <v>57241.28505494506</v>
      </c>
      <c r="AW48">
        <f t="shared" si="51"/>
        <v>53071.339449311636</v>
      </c>
      <c r="AX48">
        <f t="shared" si="51"/>
        <v>56779.83</v>
      </c>
      <c r="AY48">
        <f t="shared" si="51"/>
        <v>53508.861818181816</v>
      </c>
      <c r="AZ48">
        <f t="shared" si="51"/>
        <v>54086.045949935826</v>
      </c>
      <c r="BA48">
        <f t="shared" si="51"/>
        <v>75737.81</v>
      </c>
      <c r="BB48">
        <f t="shared" si="51"/>
        <v>51322.37</v>
      </c>
      <c r="BC48">
        <f t="shared" si="51"/>
        <v>55250.57</v>
      </c>
      <c r="BD48">
        <f t="shared" si="51"/>
        <v>54105.409999999996</v>
      </c>
      <c r="BE48">
        <f t="shared" si="51"/>
        <v>29915.13</v>
      </c>
      <c r="BF48">
        <f t="shared" si="51"/>
        <v>39391.46</v>
      </c>
      <c r="BG48">
        <f t="shared" ref="BG48:BQ48" si="52">BG47*BG44*BG40</f>
        <v>57049.50873609446</v>
      </c>
      <c r="BH48">
        <f t="shared" si="52"/>
        <v>64380.333710691819</v>
      </c>
      <c r="BI48">
        <f t="shared" si="52"/>
        <v>64314.667346938782</v>
      </c>
      <c r="BJ48">
        <f t="shared" si="52"/>
        <v>66298.052439024395</v>
      </c>
      <c r="BK48">
        <f t="shared" si="52"/>
        <v>61452.906345663272</v>
      </c>
      <c r="BL48">
        <f t="shared" si="52"/>
        <v>54403.87394770408</v>
      </c>
      <c r="BM48">
        <f t="shared" si="52"/>
        <v>54583.371929824563</v>
      </c>
      <c r="BN48">
        <f t="shared" si="52"/>
        <v>91143</v>
      </c>
      <c r="BO48">
        <f t="shared" si="52"/>
        <v>81633.422935999988</v>
      </c>
      <c r="BP48">
        <f t="shared" si="52"/>
        <v>78943.75261499999</v>
      </c>
      <c r="BQ48">
        <f t="shared" si="52"/>
        <v>66761.879294117636</v>
      </c>
      <c r="BR48">
        <f t="shared" ref="BR48:BX48" si="53">BR47*BR44*BR40</f>
        <v>65642.404255319154</v>
      </c>
      <c r="BS48">
        <f t="shared" si="53"/>
        <v>62455.700687563192</v>
      </c>
      <c r="BT48">
        <f>BT47*BT44*BT40</f>
        <v>63173.372137931045</v>
      </c>
      <c r="BU48">
        <f t="shared" si="53"/>
        <v>57472.368335419276</v>
      </c>
      <c r="BV48">
        <f t="shared" si="53"/>
        <v>57428.969411764694</v>
      </c>
      <c r="BW48">
        <f t="shared" si="53"/>
        <v>53240.360414620838</v>
      </c>
      <c r="BX48">
        <f t="shared" si="53"/>
        <v>84262.809599999993</v>
      </c>
      <c r="BY48">
        <f t="shared" ref="BY48" si="54">BY47*BY44*BY40</f>
        <v>79074.831797999999</v>
      </c>
      <c r="BZ48">
        <f t="shared" ref="BZ48" si="55">BZ47*BZ44*BZ40</f>
        <v>77200.947314999998</v>
      </c>
      <c r="AKS48">
        <f>AKS40*AKS44*(AKS45-AKS46)</f>
        <v>78943.752615000005</v>
      </c>
      <c r="AKT48">
        <f>AKT40*AKT44*(AKT45-AKT46)</f>
        <v>77200.947314999998</v>
      </c>
    </row>
    <row r="49" spans="1:985" ht="14.4" customHeight="1" x14ac:dyDescent="0.55000000000000004">
      <c r="A49" t="s">
        <v>518</v>
      </c>
      <c r="B49" t="s">
        <v>522</v>
      </c>
      <c r="C49" s="1" t="s">
        <v>630</v>
      </c>
      <c r="AKH49">
        <v>4375</v>
      </c>
      <c r="AKI49">
        <v>17588</v>
      </c>
      <c r="AKJ49">
        <v>0.02</v>
      </c>
      <c r="AKK49">
        <v>0.02</v>
      </c>
      <c r="AKL49">
        <v>0.02</v>
      </c>
      <c r="AKM49">
        <v>0.02</v>
      </c>
      <c r="AKN49">
        <v>3.1802015936004038</v>
      </c>
      <c r="AKO49">
        <v>3.1802015936004038</v>
      </c>
    </row>
    <row r="50" spans="1:985" ht="14.4" customHeight="1" x14ac:dyDescent="0.55000000000000004">
      <c r="A50" t="s">
        <v>559</v>
      </c>
      <c r="B50" t="s">
        <v>624</v>
      </c>
      <c r="C50" s="1" t="s">
        <v>631</v>
      </c>
      <c r="AKN50">
        <v>8.7128810783572708E-3</v>
      </c>
      <c r="AKO50">
        <v>8.7128810783572708E-3</v>
      </c>
      <c r="AKP50">
        <v>9.4999999999999998E-3</v>
      </c>
      <c r="AKQ50">
        <v>9.4999999999999998E-3</v>
      </c>
      <c r="AKR50">
        <v>9.4719999999999995E-3</v>
      </c>
      <c r="AKU50">
        <v>5.0249055527376097E-3</v>
      </c>
      <c r="AKV50">
        <v>5.0249055527376097E-3</v>
      </c>
      <c r="AKW50">
        <v>5.0249055527376097E-3</v>
      </c>
    </row>
    <row r="51" spans="1:985" ht="14.4" customHeight="1" x14ac:dyDescent="0.55000000000000004">
      <c r="A51" t="s">
        <v>519</v>
      </c>
      <c r="B51" t="s">
        <v>522</v>
      </c>
      <c r="C51" s="1" t="s">
        <v>632</v>
      </c>
      <c r="AKH51">
        <v>137</v>
      </c>
      <c r="AKI51">
        <v>553</v>
      </c>
      <c r="AKU51">
        <v>1.65839651444315E-4</v>
      </c>
      <c r="AKV51">
        <v>1.65839651444315E-4</v>
      </c>
      <c r="AKW51">
        <v>1.65839651444315E-4</v>
      </c>
    </row>
    <row r="52" spans="1:985" ht="14.4" customHeight="1" x14ac:dyDescent="0.55000000000000004">
      <c r="A52" t="s">
        <v>566</v>
      </c>
      <c r="B52" t="s">
        <v>522</v>
      </c>
      <c r="C52" s="1" t="s">
        <v>633</v>
      </c>
      <c r="AKH52">
        <v>1129</v>
      </c>
      <c r="AKI52">
        <v>4539</v>
      </c>
      <c r="AKN52">
        <f>AKN53*365</f>
        <v>0.32897015936004032</v>
      </c>
      <c r="AKO52">
        <f>AKO53*365</f>
        <v>0.36843522737538742</v>
      </c>
    </row>
    <row r="53" spans="1:985" ht="14.4" customHeight="1" x14ac:dyDescent="0.55000000000000004">
      <c r="A53" t="s">
        <v>565</v>
      </c>
      <c r="B53" t="s">
        <v>624</v>
      </c>
      <c r="C53" s="1" t="s">
        <v>634</v>
      </c>
      <c r="AKN53">
        <v>9.0128810783572687E-4</v>
      </c>
      <c r="AKO53">
        <v>1.0094115818503765E-3</v>
      </c>
      <c r="AKP53">
        <v>9.4999999999999978E-4</v>
      </c>
      <c r="AKQ53">
        <v>9.4999999999999978E-4</v>
      </c>
      <c r="AKR53">
        <v>1.0437131578947365E-3</v>
      </c>
      <c r="AKU53">
        <v>1.98061961293669E-3</v>
      </c>
      <c r="AKV53">
        <v>1.98061961293669E-3</v>
      </c>
      <c r="AKW53">
        <v>1.98061961293669E-3</v>
      </c>
    </row>
    <row r="54" spans="1:985" ht="14.4" customHeight="1" x14ac:dyDescent="0.55000000000000004">
      <c r="A54" t="s">
        <v>523</v>
      </c>
      <c r="B54" t="s">
        <v>522</v>
      </c>
      <c r="C54" s="1" t="s">
        <v>635</v>
      </c>
      <c r="AKH54">
        <v>79</v>
      </c>
      <c r="AKI54">
        <v>319</v>
      </c>
      <c r="AKU54">
        <v>3.5562644874479401E-5</v>
      </c>
      <c r="AKV54">
        <v>3.5562644874479401E-5</v>
      </c>
      <c r="AKW54">
        <v>3.5562644874479401E-5</v>
      </c>
    </row>
    <row r="55" spans="1:985" ht="14.4" customHeight="1" x14ac:dyDescent="0.55000000000000004">
      <c r="A55" t="s">
        <v>95</v>
      </c>
      <c r="B55" t="s">
        <v>626</v>
      </c>
      <c r="C55" s="1" t="s">
        <v>625</v>
      </c>
      <c r="CA55">
        <v>0.35</v>
      </c>
      <c r="CB55">
        <v>0.35</v>
      </c>
      <c r="CC55">
        <v>0.35</v>
      </c>
      <c r="CD55">
        <v>0.35</v>
      </c>
      <c r="CE55">
        <v>0.35</v>
      </c>
      <c r="CF55">
        <v>0.35</v>
      </c>
      <c r="CG55">
        <v>0.35</v>
      </c>
      <c r="CH55">
        <v>0.35</v>
      </c>
      <c r="CI55">
        <v>0.35</v>
      </c>
      <c r="CJ55">
        <v>0.35</v>
      </c>
      <c r="CK55">
        <v>0.32</v>
      </c>
      <c r="CL55">
        <v>0.32</v>
      </c>
      <c r="CM55">
        <v>0.32</v>
      </c>
      <c r="CN55">
        <v>0.32</v>
      </c>
      <c r="CO55">
        <v>0.32</v>
      </c>
      <c r="CP55">
        <v>0.32</v>
      </c>
      <c r="CQ55">
        <v>0.32</v>
      </c>
      <c r="CR55">
        <v>0.32</v>
      </c>
      <c r="CS55">
        <v>0.32</v>
      </c>
      <c r="CT55">
        <v>0.32</v>
      </c>
      <c r="CU55">
        <v>0.32</v>
      </c>
      <c r="CV55">
        <v>0.32</v>
      </c>
      <c r="CW55">
        <v>0.32</v>
      </c>
      <c r="CX55">
        <v>0.32</v>
      </c>
      <c r="CY55">
        <v>0.32</v>
      </c>
      <c r="CZ55">
        <v>0.32</v>
      </c>
      <c r="DA55">
        <v>0.32</v>
      </c>
      <c r="DB55">
        <v>0.35</v>
      </c>
      <c r="DC55">
        <v>0.35</v>
      </c>
      <c r="DD55">
        <v>0.35</v>
      </c>
      <c r="DE55">
        <v>0.35</v>
      </c>
      <c r="DF55">
        <v>0.32</v>
      </c>
      <c r="DG55">
        <v>0.32</v>
      </c>
      <c r="DH55">
        <v>0.32</v>
      </c>
      <c r="DI55">
        <v>0.32</v>
      </c>
      <c r="DJ55">
        <v>0.32</v>
      </c>
      <c r="DK55">
        <v>0.32</v>
      </c>
      <c r="DL55">
        <v>0.32</v>
      </c>
      <c r="DM55">
        <v>0.32</v>
      </c>
      <c r="DN55">
        <v>0.32</v>
      </c>
      <c r="DO55">
        <v>0.32</v>
      </c>
      <c r="DP55">
        <v>0.32</v>
      </c>
      <c r="DQ55">
        <v>0.32</v>
      </c>
      <c r="DR55">
        <v>0.32</v>
      </c>
      <c r="DS55">
        <v>0.32</v>
      </c>
      <c r="DT55">
        <v>0.32</v>
      </c>
      <c r="DU55">
        <v>0.35</v>
      </c>
      <c r="DV55">
        <v>0.35</v>
      </c>
      <c r="DW55">
        <v>0.35</v>
      </c>
      <c r="DX55">
        <v>0.35</v>
      </c>
      <c r="DY55">
        <v>0.35</v>
      </c>
      <c r="DZ55">
        <v>0.2135883503586177</v>
      </c>
      <c r="EA55">
        <v>0.34353836122582043</v>
      </c>
      <c r="EB55">
        <v>0.35</v>
      </c>
      <c r="EC55">
        <v>0.35</v>
      </c>
      <c r="ED55">
        <v>0.35</v>
      </c>
      <c r="EE55">
        <v>0.35</v>
      </c>
      <c r="EF55">
        <v>0.35</v>
      </c>
      <c r="EG55">
        <v>0.35</v>
      </c>
      <c r="EH55">
        <v>0.35</v>
      </c>
      <c r="EI55">
        <v>0.35</v>
      </c>
      <c r="EJ55">
        <v>0.35</v>
      </c>
      <c r="EK55">
        <v>0.35</v>
      </c>
      <c r="EL55">
        <v>0.32</v>
      </c>
      <c r="EM55">
        <v>0.32</v>
      </c>
      <c r="EN55">
        <v>0.32</v>
      </c>
      <c r="EO55">
        <v>0.32</v>
      </c>
      <c r="EP55">
        <v>0.32</v>
      </c>
      <c r="EQ55">
        <v>0.32</v>
      </c>
      <c r="ER55">
        <v>0.32</v>
      </c>
      <c r="ES55">
        <v>0.32</v>
      </c>
      <c r="ET55">
        <v>0.32</v>
      </c>
      <c r="EU55">
        <v>0.32</v>
      </c>
      <c r="EV55">
        <v>0.32</v>
      </c>
      <c r="EW55">
        <v>0.32</v>
      </c>
      <c r="EX55">
        <v>0.32</v>
      </c>
      <c r="EY55">
        <v>0.32</v>
      </c>
      <c r="EZ55">
        <v>0.32</v>
      </c>
      <c r="FA55">
        <v>0.32</v>
      </c>
      <c r="FB55">
        <v>0.32</v>
      </c>
      <c r="FC55">
        <v>0.35</v>
      </c>
      <c r="FD55">
        <v>0.35</v>
      </c>
      <c r="FE55">
        <v>0.35</v>
      </c>
      <c r="FF55">
        <v>0.35</v>
      </c>
      <c r="FG55">
        <v>0.32</v>
      </c>
      <c r="FH55">
        <v>0.32</v>
      </c>
      <c r="FI55">
        <v>0.32</v>
      </c>
      <c r="FJ55">
        <v>0.32</v>
      </c>
      <c r="FK55">
        <v>0.32</v>
      </c>
      <c r="FL55">
        <v>0.32</v>
      </c>
      <c r="FM55">
        <v>0.32</v>
      </c>
      <c r="FN55">
        <v>0.32</v>
      </c>
      <c r="FO55">
        <v>0.32</v>
      </c>
      <c r="FP55">
        <v>0.32</v>
      </c>
      <c r="FQ55">
        <v>0.32</v>
      </c>
      <c r="FR55">
        <v>0.32</v>
      </c>
      <c r="FS55">
        <v>0.32</v>
      </c>
      <c r="FT55">
        <v>0.32</v>
      </c>
      <c r="FU55">
        <v>0.32</v>
      </c>
      <c r="FV55">
        <v>0.32</v>
      </c>
      <c r="FW55">
        <v>0.32</v>
      </c>
      <c r="FX55">
        <v>0.35</v>
      </c>
      <c r="FY55">
        <v>0.32</v>
      </c>
      <c r="FZ55">
        <v>0.32</v>
      </c>
      <c r="GA55">
        <v>0.2135883503586177</v>
      </c>
      <c r="GB55">
        <v>0.33770919365355351</v>
      </c>
      <c r="GC55">
        <v>0.35</v>
      </c>
      <c r="GD55">
        <v>0.35</v>
      </c>
      <c r="GE55">
        <v>0.35</v>
      </c>
      <c r="GF55">
        <v>0.35</v>
      </c>
      <c r="GG55">
        <v>0.35</v>
      </c>
      <c r="GH55">
        <v>0.35</v>
      </c>
      <c r="GI55">
        <v>0.35</v>
      </c>
      <c r="GJ55">
        <v>0.35</v>
      </c>
      <c r="GK55">
        <v>0.35</v>
      </c>
      <c r="GL55">
        <v>0.35</v>
      </c>
      <c r="GM55">
        <v>0.32</v>
      </c>
      <c r="GN55">
        <v>0.32</v>
      </c>
      <c r="GO55">
        <v>0.32</v>
      </c>
      <c r="GP55">
        <v>0.32</v>
      </c>
      <c r="GQ55">
        <v>0.32</v>
      </c>
      <c r="GR55">
        <v>0.32</v>
      </c>
      <c r="GS55">
        <v>0.32</v>
      </c>
      <c r="GT55">
        <v>0.32</v>
      </c>
      <c r="GU55">
        <v>0.32</v>
      </c>
      <c r="GV55">
        <v>0.32</v>
      </c>
      <c r="GW55">
        <v>0.32</v>
      </c>
      <c r="GX55">
        <v>0.32</v>
      </c>
      <c r="GY55">
        <v>0.32</v>
      </c>
      <c r="GZ55">
        <v>0.32</v>
      </c>
      <c r="HA55">
        <v>0.32</v>
      </c>
      <c r="HB55">
        <v>0.32</v>
      </c>
      <c r="HC55">
        <v>0.32</v>
      </c>
      <c r="HD55">
        <v>0.35</v>
      </c>
      <c r="HE55">
        <v>0.35</v>
      </c>
      <c r="HF55">
        <v>0.35</v>
      </c>
      <c r="HG55">
        <v>0.35</v>
      </c>
      <c r="HH55">
        <v>0.32</v>
      </c>
      <c r="HI55">
        <v>0.32</v>
      </c>
      <c r="HJ55">
        <v>0.32</v>
      </c>
      <c r="HK55">
        <v>0.32</v>
      </c>
      <c r="HL55">
        <v>0.32</v>
      </c>
      <c r="HM55">
        <v>0.32</v>
      </c>
      <c r="HN55">
        <v>0.32</v>
      </c>
      <c r="HO55">
        <v>0.32</v>
      </c>
      <c r="HP55">
        <v>0.32</v>
      </c>
      <c r="HQ55">
        <v>0.32</v>
      </c>
      <c r="HR55">
        <v>0.32</v>
      </c>
      <c r="HS55">
        <v>0.32</v>
      </c>
      <c r="HT55">
        <v>0.32</v>
      </c>
      <c r="HU55">
        <v>0.32</v>
      </c>
      <c r="HV55">
        <v>0.32</v>
      </c>
      <c r="HW55">
        <v>0.32</v>
      </c>
      <c r="HX55">
        <v>0.32</v>
      </c>
      <c r="HY55">
        <v>0.35</v>
      </c>
      <c r="HZ55">
        <v>0.32</v>
      </c>
      <c r="IA55">
        <v>0.32</v>
      </c>
      <c r="IB55">
        <v>0.2135883503586177</v>
      </c>
      <c r="IC55">
        <v>0.33770919365355351</v>
      </c>
      <c r="ID55">
        <v>0.29981486238169602</v>
      </c>
      <c r="IE55">
        <v>0.29746205218385202</v>
      </c>
      <c r="IF55">
        <v>0.29510924198600802</v>
      </c>
      <c r="IG55">
        <v>0.29275643178816402</v>
      </c>
      <c r="IH55">
        <v>0.29040362159032002</v>
      </c>
      <c r="II55">
        <v>0.28805081139247601</v>
      </c>
      <c r="IJ55">
        <v>0.28569800119463201</v>
      </c>
      <c r="IK55">
        <v>0.28334519099678801</v>
      </c>
      <c r="IL55">
        <v>0.28099238079894501</v>
      </c>
      <c r="IM55">
        <v>0.27863957060110101</v>
      </c>
      <c r="IN55">
        <v>0.276286760403257</v>
      </c>
      <c r="IO55">
        <v>0.273933950205413</v>
      </c>
      <c r="IP55">
        <v>0.271581140007569</v>
      </c>
      <c r="IQ55">
        <v>0.269228329809725</v>
      </c>
      <c r="IR55">
        <v>0.266875519611881</v>
      </c>
      <c r="IS55">
        <v>0.26452270941403699</v>
      </c>
      <c r="IT55">
        <v>0.26216989921619299</v>
      </c>
      <c r="IU55">
        <v>0.25981708901834999</v>
      </c>
      <c r="IV55">
        <v>0.25746427882050599</v>
      </c>
      <c r="IW55">
        <v>0.25511146862266199</v>
      </c>
      <c r="IX55">
        <v>0.39</v>
      </c>
      <c r="IY55">
        <v>0.39</v>
      </c>
      <c r="IZ55">
        <v>0.39</v>
      </c>
      <c r="JA55">
        <v>0.39</v>
      </c>
      <c r="JB55">
        <v>0.39</v>
      </c>
      <c r="JC55">
        <v>0.39</v>
      </c>
      <c r="JD55">
        <v>0.39</v>
      </c>
      <c r="JE55">
        <v>0.39</v>
      </c>
      <c r="JF55">
        <v>0.39</v>
      </c>
      <c r="JG55">
        <v>0.39</v>
      </c>
      <c r="JH55">
        <v>0.35</v>
      </c>
      <c r="JI55">
        <v>0.35</v>
      </c>
      <c r="JJ55">
        <v>0.35</v>
      </c>
      <c r="JK55">
        <v>0.35</v>
      </c>
      <c r="JL55">
        <v>0.35</v>
      </c>
      <c r="JM55">
        <v>0.35</v>
      </c>
      <c r="JN55">
        <v>0.35</v>
      </c>
      <c r="JO55">
        <v>0.35</v>
      </c>
      <c r="JP55">
        <v>0.35</v>
      </c>
      <c r="JQ55">
        <v>0.35</v>
      </c>
      <c r="JR55">
        <v>0.35</v>
      </c>
      <c r="JS55">
        <v>0.35</v>
      </c>
      <c r="JT55">
        <v>0.35</v>
      </c>
      <c r="JU55">
        <v>0.35</v>
      </c>
      <c r="JV55">
        <v>0.35</v>
      </c>
      <c r="JW55">
        <v>0.35</v>
      </c>
      <c r="JX55">
        <v>0.35</v>
      </c>
      <c r="JY55">
        <v>0.35</v>
      </c>
      <c r="JZ55">
        <v>0.35</v>
      </c>
      <c r="KA55">
        <v>0.35</v>
      </c>
      <c r="KB55">
        <v>0.35</v>
      </c>
      <c r="KC55">
        <v>0.35</v>
      </c>
      <c r="KD55">
        <v>0.35</v>
      </c>
      <c r="KE55">
        <v>0.35</v>
      </c>
      <c r="KF55">
        <v>0.35</v>
      </c>
      <c r="KG55">
        <v>0.39</v>
      </c>
      <c r="KH55">
        <v>0.39</v>
      </c>
      <c r="KI55">
        <v>0.39</v>
      </c>
      <c r="KJ55">
        <v>0.39</v>
      </c>
      <c r="KK55">
        <v>0.39</v>
      </c>
      <c r="KL55">
        <v>0.39</v>
      </c>
      <c r="KM55">
        <v>0.35</v>
      </c>
      <c r="KN55">
        <v>0.35</v>
      </c>
      <c r="KO55">
        <v>0.35</v>
      </c>
      <c r="KP55">
        <v>0.35</v>
      </c>
      <c r="KQ55">
        <v>0.35</v>
      </c>
      <c r="KR55">
        <v>0.39</v>
      </c>
      <c r="KS55">
        <v>0.39</v>
      </c>
      <c r="KT55">
        <v>0.39</v>
      </c>
      <c r="KU55">
        <v>0.39</v>
      </c>
      <c r="KV55">
        <v>0.39</v>
      </c>
      <c r="KW55">
        <v>0.22230602043034123</v>
      </c>
      <c r="KX55">
        <v>0.35777222342968917</v>
      </c>
      <c r="KY55">
        <v>0.39</v>
      </c>
      <c r="KZ55">
        <v>0.35</v>
      </c>
      <c r="LA55">
        <v>0.35</v>
      </c>
      <c r="LB55">
        <v>0.35</v>
      </c>
      <c r="LC55">
        <v>0.35</v>
      </c>
      <c r="LD55">
        <v>0.35</v>
      </c>
      <c r="LE55">
        <v>0.35</v>
      </c>
      <c r="LF55">
        <v>0.35</v>
      </c>
      <c r="LG55">
        <v>0.35</v>
      </c>
      <c r="LH55">
        <v>0.35</v>
      </c>
      <c r="LI55">
        <v>0.35</v>
      </c>
      <c r="LJ55">
        <v>0.39</v>
      </c>
      <c r="LK55">
        <v>0.39</v>
      </c>
      <c r="LL55">
        <v>0.35</v>
      </c>
      <c r="LM55">
        <v>0.35485111932188657</v>
      </c>
      <c r="LN55">
        <v>0.35</v>
      </c>
      <c r="LO55">
        <v>0.35</v>
      </c>
      <c r="LP55">
        <v>0.35142577700499888</v>
      </c>
      <c r="LQ55">
        <v>0.39</v>
      </c>
      <c r="LR55">
        <v>0.39</v>
      </c>
      <c r="LS55">
        <v>0.39</v>
      </c>
      <c r="LT55">
        <v>0.35</v>
      </c>
      <c r="LU55">
        <v>0.35</v>
      </c>
      <c r="LV55">
        <v>0.39</v>
      </c>
      <c r="LW55">
        <v>0.39</v>
      </c>
      <c r="LX55">
        <v>0.35</v>
      </c>
      <c r="LY55">
        <v>0.35</v>
      </c>
      <c r="LZ55">
        <v>0.39</v>
      </c>
      <c r="MA55">
        <v>0.24214083894805474</v>
      </c>
      <c r="MB55">
        <v>0.35233862203868721</v>
      </c>
      <c r="MC55">
        <v>0.39</v>
      </c>
      <c r="MD55">
        <v>0.35934579439252334</v>
      </c>
      <c r="ME55">
        <v>0.35823299282764615</v>
      </c>
      <c r="MF55">
        <v>0.38999999999999996</v>
      </c>
      <c r="MG55">
        <v>0.39</v>
      </c>
      <c r="MH55">
        <v>0.39</v>
      </c>
      <c r="MI55">
        <v>0.39</v>
      </c>
      <c r="MJ55">
        <v>0.39</v>
      </c>
      <c r="MK55">
        <v>0.39</v>
      </c>
      <c r="ML55">
        <v>0.39</v>
      </c>
      <c r="MM55">
        <v>0.39</v>
      </c>
      <c r="MN55">
        <v>0.39</v>
      </c>
      <c r="MO55">
        <v>0.39</v>
      </c>
      <c r="MP55">
        <v>0.39</v>
      </c>
      <c r="MQ55">
        <v>0.35</v>
      </c>
      <c r="MR55">
        <v>0.35</v>
      </c>
      <c r="MS55">
        <v>0.35</v>
      </c>
      <c r="MT55">
        <v>0.35</v>
      </c>
      <c r="MU55">
        <v>0.35</v>
      </c>
      <c r="MV55">
        <v>0.35</v>
      </c>
      <c r="MW55">
        <v>0.35</v>
      </c>
      <c r="MX55">
        <v>0.35</v>
      </c>
      <c r="MY55">
        <v>0.35</v>
      </c>
      <c r="MZ55">
        <v>0.35</v>
      </c>
      <c r="NA55">
        <v>0.35</v>
      </c>
      <c r="NB55">
        <v>0.35</v>
      </c>
      <c r="NC55">
        <v>0.35</v>
      </c>
      <c r="ND55">
        <v>0.35</v>
      </c>
      <c r="NE55">
        <v>0.35</v>
      </c>
      <c r="NF55">
        <v>0.35</v>
      </c>
      <c r="NG55">
        <v>0.35</v>
      </c>
      <c r="NH55">
        <v>0.35</v>
      </c>
      <c r="NI55">
        <v>0.35</v>
      </c>
      <c r="NJ55">
        <v>0.35</v>
      </c>
      <c r="NK55">
        <v>0.35</v>
      </c>
      <c r="NL55">
        <v>0.35</v>
      </c>
      <c r="NM55">
        <v>0.35</v>
      </c>
      <c r="NN55">
        <v>0.35</v>
      </c>
      <c r="NO55">
        <v>0.39</v>
      </c>
      <c r="NP55">
        <v>0.35</v>
      </c>
      <c r="NQ55">
        <v>0.35</v>
      </c>
      <c r="NR55">
        <v>0.35</v>
      </c>
      <c r="NS55">
        <v>0.35</v>
      </c>
      <c r="NT55">
        <v>0.35</v>
      </c>
      <c r="NU55">
        <v>0.35</v>
      </c>
      <c r="NV55">
        <v>0.35</v>
      </c>
      <c r="NW55">
        <v>0.35</v>
      </c>
      <c r="NX55">
        <v>0.35</v>
      </c>
      <c r="NY55">
        <v>0.35</v>
      </c>
      <c r="NZ55">
        <v>0.35</v>
      </c>
      <c r="OA55">
        <v>0.39</v>
      </c>
      <c r="OB55">
        <v>0.39</v>
      </c>
      <c r="OC55">
        <v>0.39</v>
      </c>
      <c r="OD55">
        <v>0.35</v>
      </c>
      <c r="OE55">
        <v>0.35</v>
      </c>
      <c r="OF55">
        <v>0.2339295805259726</v>
      </c>
      <c r="OG55">
        <v>0.3663877417952619</v>
      </c>
      <c r="OH55">
        <v>0.35</v>
      </c>
      <c r="OI55">
        <v>0.35</v>
      </c>
      <c r="OJ55">
        <v>0.35</v>
      </c>
      <c r="OK55">
        <v>0.35</v>
      </c>
      <c r="OL55">
        <v>0.35</v>
      </c>
      <c r="OM55">
        <v>0.35</v>
      </c>
      <c r="ON55">
        <v>0.35</v>
      </c>
      <c r="OO55">
        <v>0.35</v>
      </c>
      <c r="OP55">
        <v>0.35</v>
      </c>
      <c r="OQ55">
        <v>0.35</v>
      </c>
      <c r="OR55">
        <v>0.35</v>
      </c>
      <c r="OS55">
        <v>0.39</v>
      </c>
      <c r="OT55">
        <v>0.39</v>
      </c>
      <c r="OU55">
        <v>0.35</v>
      </c>
      <c r="OV55">
        <v>0.34860030428167793</v>
      </c>
      <c r="OW55">
        <v>0.35</v>
      </c>
      <c r="OX55">
        <v>0.35</v>
      </c>
      <c r="OY55">
        <v>0.35142577700499888</v>
      </c>
      <c r="OZ55">
        <v>0.36835253205824819</v>
      </c>
      <c r="PA55">
        <v>0.36781492537313426</v>
      </c>
      <c r="PB55">
        <v>0.39</v>
      </c>
      <c r="PC55">
        <v>0.35</v>
      </c>
      <c r="PD55">
        <v>0.39</v>
      </c>
      <c r="PE55">
        <v>0.35</v>
      </c>
      <c r="PF55">
        <v>0.35</v>
      </c>
      <c r="PG55">
        <v>0.35</v>
      </c>
      <c r="PH55">
        <v>0.35</v>
      </c>
      <c r="PI55">
        <v>0.35</v>
      </c>
      <c r="PJ55">
        <v>0.25745055422734192</v>
      </c>
      <c r="PK55">
        <v>0.35233862203868721</v>
      </c>
      <c r="PL55">
        <v>0.38287111497500548</v>
      </c>
      <c r="PM55">
        <v>0.35</v>
      </c>
      <c r="PN55">
        <v>0.35823299282764615</v>
      </c>
      <c r="PO55">
        <v>0.37493371006302978</v>
      </c>
      <c r="PP55">
        <v>0.39</v>
      </c>
      <c r="PQ55">
        <v>0.39</v>
      </c>
      <c r="PR55">
        <v>0.39</v>
      </c>
      <c r="PS55">
        <v>0.39</v>
      </c>
      <c r="PT55">
        <v>0.39</v>
      </c>
      <c r="PU55">
        <v>0.39</v>
      </c>
      <c r="PV55">
        <v>0.39</v>
      </c>
      <c r="PW55">
        <v>0.39</v>
      </c>
      <c r="PX55">
        <v>0.39</v>
      </c>
      <c r="PY55">
        <v>0.39</v>
      </c>
      <c r="PZ55">
        <v>0.35</v>
      </c>
      <c r="QA55">
        <v>0.35</v>
      </c>
      <c r="QB55">
        <v>0.35</v>
      </c>
      <c r="QC55">
        <v>0.35</v>
      </c>
      <c r="QD55">
        <v>0.35</v>
      </c>
      <c r="QE55">
        <v>0.35</v>
      </c>
      <c r="QF55">
        <v>0.35</v>
      </c>
      <c r="QG55">
        <v>0.35</v>
      </c>
      <c r="QH55">
        <v>0.35</v>
      </c>
      <c r="QI55">
        <v>0.35</v>
      </c>
      <c r="QJ55">
        <v>0.35</v>
      </c>
      <c r="QK55">
        <v>0.35</v>
      </c>
      <c r="QL55">
        <v>0.35</v>
      </c>
      <c r="QM55">
        <v>0.35</v>
      </c>
      <c r="QN55">
        <v>0.35</v>
      </c>
      <c r="QO55">
        <v>0.35</v>
      </c>
      <c r="QP55">
        <v>0.35</v>
      </c>
      <c r="QQ55">
        <v>0.35</v>
      </c>
      <c r="QR55">
        <v>0.35</v>
      </c>
      <c r="QS55">
        <v>0.35</v>
      </c>
      <c r="QT55">
        <v>0.35</v>
      </c>
      <c r="QU55">
        <v>0.35</v>
      </c>
      <c r="QV55">
        <v>0.35</v>
      </c>
      <c r="QW55">
        <v>0.35</v>
      </c>
      <c r="QX55">
        <v>0.39</v>
      </c>
      <c r="QY55">
        <v>0.35</v>
      </c>
      <c r="QZ55">
        <v>0.35</v>
      </c>
      <c r="RA55">
        <v>0.35</v>
      </c>
      <c r="RB55">
        <v>0.35</v>
      </c>
      <c r="RC55">
        <v>0.35</v>
      </c>
      <c r="RD55">
        <v>0.35</v>
      </c>
      <c r="RE55">
        <v>0.35</v>
      </c>
      <c r="RF55">
        <v>0.35</v>
      </c>
      <c r="RG55">
        <v>0.35</v>
      </c>
      <c r="RH55">
        <v>0.35</v>
      </c>
      <c r="RI55">
        <v>0.35</v>
      </c>
      <c r="RJ55">
        <v>0.39</v>
      </c>
      <c r="RK55">
        <v>0.39</v>
      </c>
      <c r="RL55">
        <v>0.39</v>
      </c>
      <c r="RM55">
        <v>0.35</v>
      </c>
      <c r="RN55">
        <v>0.35</v>
      </c>
      <c r="RO55">
        <v>0.2339295805259726</v>
      </c>
      <c r="RP55">
        <v>0.3663877417952619</v>
      </c>
      <c r="RQ55">
        <v>0.35</v>
      </c>
      <c r="RR55">
        <v>0.35</v>
      </c>
      <c r="RS55">
        <v>0.35</v>
      </c>
      <c r="RT55">
        <v>0.35</v>
      </c>
      <c r="RU55">
        <v>0.35</v>
      </c>
      <c r="RV55">
        <v>0.35</v>
      </c>
      <c r="RW55">
        <v>0.35</v>
      </c>
      <c r="RX55">
        <v>0.35</v>
      </c>
      <c r="RY55">
        <v>0.35</v>
      </c>
      <c r="RZ55">
        <v>0.35</v>
      </c>
      <c r="SA55">
        <v>0.35</v>
      </c>
      <c r="SB55">
        <v>0.39</v>
      </c>
      <c r="SC55">
        <v>0.39</v>
      </c>
      <c r="SD55">
        <v>0.35</v>
      </c>
      <c r="SE55">
        <v>0.34860030428167793</v>
      </c>
      <c r="SF55">
        <v>0.35</v>
      </c>
      <c r="SG55">
        <v>0.35</v>
      </c>
      <c r="SH55">
        <v>0.35142577700499888</v>
      </c>
      <c r="SI55">
        <v>0.36835253205824819</v>
      </c>
      <c r="SJ55">
        <v>0.36781492537313426</v>
      </c>
      <c r="SK55">
        <v>0.39</v>
      </c>
      <c r="SL55">
        <v>0.35</v>
      </c>
      <c r="SM55">
        <v>0.39</v>
      </c>
      <c r="SN55">
        <v>0.35</v>
      </c>
      <c r="SO55">
        <v>0.35</v>
      </c>
      <c r="SP55">
        <v>0.35</v>
      </c>
      <c r="SQ55">
        <v>0.35</v>
      </c>
      <c r="SR55">
        <v>0.35</v>
      </c>
      <c r="SS55">
        <v>0.25745055422734192</v>
      </c>
      <c r="ST55">
        <v>0.35233862203868721</v>
      </c>
      <c r="SU55">
        <v>0.38287111497500548</v>
      </c>
      <c r="SV55">
        <v>0.35</v>
      </c>
      <c r="SW55">
        <v>0.35823299282764615</v>
      </c>
      <c r="SX55">
        <v>0.37493371006302978</v>
      </c>
      <c r="SY55">
        <v>0.39</v>
      </c>
      <c r="SZ55">
        <v>0.39</v>
      </c>
      <c r="TA55">
        <v>0.39</v>
      </c>
      <c r="TB55">
        <v>0.39</v>
      </c>
      <c r="TC55">
        <v>0.39</v>
      </c>
      <c r="TD55">
        <v>0.39</v>
      </c>
      <c r="TE55">
        <v>0.39</v>
      </c>
      <c r="TF55">
        <v>0.39</v>
      </c>
      <c r="TG55">
        <v>0.39</v>
      </c>
      <c r="TH55">
        <v>0.39</v>
      </c>
      <c r="TI55">
        <v>0.35</v>
      </c>
      <c r="TJ55">
        <v>0.35</v>
      </c>
      <c r="TK55">
        <v>0.35</v>
      </c>
      <c r="TL55">
        <v>0.35</v>
      </c>
      <c r="TM55">
        <v>0.35</v>
      </c>
      <c r="TN55">
        <v>0.35</v>
      </c>
      <c r="TO55">
        <v>0.35</v>
      </c>
      <c r="TP55">
        <v>0.35</v>
      </c>
      <c r="TQ55">
        <v>0.35</v>
      </c>
      <c r="TR55">
        <v>0.35</v>
      </c>
      <c r="TS55">
        <v>0.35</v>
      </c>
      <c r="TT55">
        <v>0.35</v>
      </c>
      <c r="TU55">
        <v>0.35</v>
      </c>
      <c r="TV55">
        <v>0.35</v>
      </c>
      <c r="TW55">
        <v>0.35</v>
      </c>
      <c r="TX55">
        <v>0.35</v>
      </c>
      <c r="TY55">
        <v>0.35</v>
      </c>
      <c r="TZ55">
        <v>0.35</v>
      </c>
      <c r="UA55">
        <v>0.35</v>
      </c>
      <c r="UB55">
        <v>0.35</v>
      </c>
      <c r="UC55">
        <v>0.35</v>
      </c>
      <c r="UD55">
        <v>0.35</v>
      </c>
      <c r="UE55">
        <v>0.35</v>
      </c>
      <c r="UF55">
        <v>0.35</v>
      </c>
      <c r="UG55">
        <v>0.35</v>
      </c>
      <c r="UH55">
        <v>0.35</v>
      </c>
      <c r="UI55">
        <v>0.35</v>
      </c>
      <c r="UJ55">
        <v>0.35</v>
      </c>
      <c r="UK55">
        <v>0.35</v>
      </c>
      <c r="UL55">
        <v>0.35</v>
      </c>
      <c r="UM55">
        <v>0.35</v>
      </c>
      <c r="UN55">
        <v>0.35</v>
      </c>
      <c r="UO55">
        <v>0.35</v>
      </c>
      <c r="UP55">
        <v>0.35</v>
      </c>
      <c r="UQ55">
        <v>0.35</v>
      </c>
      <c r="UR55">
        <v>0.35</v>
      </c>
      <c r="US55">
        <v>0.39</v>
      </c>
      <c r="UT55">
        <v>0.39</v>
      </c>
      <c r="UU55">
        <v>0.39</v>
      </c>
      <c r="UV55">
        <v>0.35</v>
      </c>
      <c r="UW55">
        <v>0.35</v>
      </c>
      <c r="UX55">
        <v>0.22230602043034123</v>
      </c>
      <c r="UY55">
        <v>0.35777222342968917</v>
      </c>
      <c r="UZ55">
        <v>0.35</v>
      </c>
      <c r="VA55">
        <v>0.35</v>
      </c>
      <c r="VB55">
        <v>0.35</v>
      </c>
      <c r="VC55">
        <v>0.35</v>
      </c>
      <c r="VD55">
        <v>0.35</v>
      </c>
      <c r="VE55">
        <v>0.35</v>
      </c>
      <c r="VF55">
        <v>0.35</v>
      </c>
      <c r="VG55">
        <v>0.35</v>
      </c>
      <c r="VH55">
        <v>0.35</v>
      </c>
      <c r="VI55">
        <v>0.35</v>
      </c>
      <c r="VJ55">
        <v>0.35</v>
      </c>
      <c r="VK55">
        <v>0.39</v>
      </c>
      <c r="VL55">
        <v>0.39</v>
      </c>
      <c r="VM55">
        <v>0.35</v>
      </c>
      <c r="VN55">
        <v>0.3375679200173875</v>
      </c>
      <c r="VO55">
        <v>0.35</v>
      </c>
      <c r="VP55">
        <v>0.35</v>
      </c>
      <c r="VQ55">
        <v>0.35142577700499888</v>
      </c>
      <c r="VR55">
        <v>0.36835253205824819</v>
      </c>
      <c r="VS55">
        <v>0.36781492537313426</v>
      </c>
      <c r="VT55">
        <v>0.39</v>
      </c>
      <c r="VU55">
        <v>0.35</v>
      </c>
      <c r="VV55">
        <v>0.35</v>
      </c>
      <c r="VW55">
        <v>0.35</v>
      </c>
      <c r="VX55">
        <v>0.35</v>
      </c>
      <c r="VY55">
        <v>0.35</v>
      </c>
      <c r="VZ55">
        <v>0.35</v>
      </c>
      <c r="WA55">
        <v>0.35</v>
      </c>
      <c r="WB55">
        <v>0.24214083894805474</v>
      </c>
      <c r="WC55">
        <v>0.35233862203868721</v>
      </c>
      <c r="WD55">
        <v>0.38287111497500548</v>
      </c>
      <c r="WE55">
        <v>0.35</v>
      </c>
      <c r="WF55">
        <v>0.35823299282764615</v>
      </c>
      <c r="WG55">
        <v>0.37493371006302978</v>
      </c>
      <c r="WH55">
        <v>0.35</v>
      </c>
      <c r="WI55">
        <v>0.35</v>
      </c>
      <c r="WJ55">
        <v>0.35</v>
      </c>
      <c r="WK55">
        <v>0.35</v>
      </c>
      <c r="WL55">
        <v>0.35</v>
      </c>
      <c r="WM55">
        <v>0.35</v>
      </c>
      <c r="WN55">
        <v>0.35</v>
      </c>
      <c r="WO55">
        <v>0.35</v>
      </c>
      <c r="WP55">
        <v>0.35</v>
      </c>
      <c r="WQ55">
        <v>0.35</v>
      </c>
      <c r="WR55">
        <v>0.35</v>
      </c>
      <c r="WS55">
        <v>0.35</v>
      </c>
      <c r="WT55">
        <v>0.35</v>
      </c>
      <c r="WU55">
        <v>0.35</v>
      </c>
      <c r="WV55">
        <v>0.35</v>
      </c>
      <c r="WW55">
        <v>0.35</v>
      </c>
      <c r="WX55">
        <v>0.35</v>
      </c>
      <c r="WY55">
        <v>0.35</v>
      </c>
      <c r="WZ55">
        <v>0.35</v>
      </c>
      <c r="XA55">
        <v>0.35</v>
      </c>
      <c r="XB55">
        <v>0.35</v>
      </c>
      <c r="XC55">
        <v>0.35</v>
      </c>
      <c r="XD55">
        <v>0.35</v>
      </c>
      <c r="XE55">
        <v>0.35</v>
      </c>
      <c r="XF55">
        <v>0.35</v>
      </c>
      <c r="XG55">
        <v>0.35</v>
      </c>
      <c r="XH55">
        <v>0.35</v>
      </c>
      <c r="XI55">
        <v>0.35</v>
      </c>
      <c r="XJ55">
        <v>0.35</v>
      </c>
      <c r="XK55">
        <v>0.35</v>
      </c>
      <c r="XL55">
        <v>0.35</v>
      </c>
      <c r="XM55">
        <v>0.35</v>
      </c>
      <c r="XN55">
        <v>0.35</v>
      </c>
      <c r="XO55">
        <v>0.35</v>
      </c>
      <c r="XP55">
        <v>0.35</v>
      </c>
      <c r="XQ55">
        <v>0.35</v>
      </c>
      <c r="XR55">
        <v>0.35</v>
      </c>
      <c r="XS55">
        <v>0.35</v>
      </c>
      <c r="XT55">
        <v>0.35</v>
      </c>
      <c r="XU55">
        <v>0.35</v>
      </c>
      <c r="XV55">
        <v>0.35</v>
      </c>
      <c r="XW55">
        <v>0.35</v>
      </c>
      <c r="XX55">
        <v>0.35</v>
      </c>
      <c r="XY55">
        <v>0.35</v>
      </c>
      <c r="XZ55">
        <v>0.35</v>
      </c>
      <c r="YA55">
        <v>0.35</v>
      </c>
      <c r="YB55">
        <v>0.39</v>
      </c>
      <c r="YC55">
        <v>0.39</v>
      </c>
      <c r="YD55">
        <v>0.39</v>
      </c>
      <c r="YE55">
        <v>0.35</v>
      </c>
      <c r="YF55">
        <v>0.35</v>
      </c>
      <c r="YG55">
        <v>0.22230602043034123</v>
      </c>
      <c r="YH55">
        <v>0.35777222342968917</v>
      </c>
      <c r="YI55">
        <v>0.35</v>
      </c>
      <c r="YJ55">
        <v>0.35</v>
      </c>
      <c r="YK55">
        <v>0.35</v>
      </c>
      <c r="YL55">
        <v>0.35</v>
      </c>
      <c r="YM55">
        <v>0.35</v>
      </c>
      <c r="YN55">
        <v>0.35</v>
      </c>
      <c r="YO55">
        <v>0.35</v>
      </c>
      <c r="YP55">
        <v>0.35</v>
      </c>
      <c r="YQ55">
        <v>0.35</v>
      </c>
      <c r="YR55">
        <v>0.35</v>
      </c>
      <c r="YS55">
        <v>0.35</v>
      </c>
      <c r="YT55">
        <v>0.39</v>
      </c>
      <c r="YU55">
        <v>0.35</v>
      </c>
      <c r="YV55">
        <v>0.35</v>
      </c>
      <c r="YW55">
        <v>0.3375679200173875</v>
      </c>
      <c r="YX55">
        <v>0.35</v>
      </c>
      <c r="YY55">
        <v>0.35</v>
      </c>
      <c r="YZ55">
        <v>0.35</v>
      </c>
      <c r="ZA55">
        <v>0.35</v>
      </c>
      <c r="ZB55">
        <v>0.36781492537313426</v>
      </c>
      <c r="ZC55">
        <v>0.35</v>
      </c>
      <c r="ZD55">
        <v>0.35</v>
      </c>
      <c r="ZE55">
        <v>0.35</v>
      </c>
      <c r="ZF55">
        <v>0.35</v>
      </c>
      <c r="ZG55">
        <v>0.35</v>
      </c>
      <c r="ZH55">
        <v>0.35</v>
      </c>
      <c r="ZI55">
        <v>0.35</v>
      </c>
      <c r="ZJ55">
        <v>0.35</v>
      </c>
      <c r="ZK55">
        <v>0.24214083894805474</v>
      </c>
      <c r="ZL55">
        <v>0.35233862203868721</v>
      </c>
      <c r="ZM55">
        <v>0.38287111497500548</v>
      </c>
      <c r="ZN55">
        <v>0.35</v>
      </c>
      <c r="ZO55">
        <v>0.35000000000000003</v>
      </c>
      <c r="ZP55">
        <v>0.35359921756139967</v>
      </c>
      <c r="ZQ55">
        <v>0.32</v>
      </c>
      <c r="ZR55">
        <v>0.32</v>
      </c>
      <c r="ZS55">
        <v>0.32</v>
      </c>
      <c r="ZT55">
        <v>0.32</v>
      </c>
      <c r="ZU55">
        <v>0.32</v>
      </c>
      <c r="ZV55">
        <v>0.32</v>
      </c>
      <c r="ZW55">
        <v>0.32</v>
      </c>
      <c r="ZX55">
        <v>0.32</v>
      </c>
      <c r="ZY55">
        <v>0.32</v>
      </c>
      <c r="ZZ55">
        <v>0.32</v>
      </c>
      <c r="AAA55">
        <v>0.32</v>
      </c>
      <c r="AAB55">
        <v>0.32</v>
      </c>
      <c r="AAC55">
        <v>0.32</v>
      </c>
      <c r="AAD55">
        <v>0.32</v>
      </c>
      <c r="AAE55">
        <v>0.32</v>
      </c>
      <c r="AAF55">
        <v>0.32</v>
      </c>
      <c r="AAG55">
        <v>0.32</v>
      </c>
      <c r="AAH55">
        <v>0.32</v>
      </c>
      <c r="AAI55">
        <v>0.32</v>
      </c>
      <c r="AAJ55">
        <v>0.32</v>
      </c>
      <c r="AAK55">
        <v>0.32</v>
      </c>
      <c r="AAL55">
        <v>0.32</v>
      </c>
      <c r="AAM55">
        <v>0.32</v>
      </c>
      <c r="AAN55">
        <v>0.32</v>
      </c>
      <c r="AAO55">
        <v>0.32</v>
      </c>
      <c r="AAP55">
        <v>0.32</v>
      </c>
      <c r="AAQ55">
        <v>0.32</v>
      </c>
      <c r="AAR55">
        <v>0.32</v>
      </c>
      <c r="AAS55">
        <v>0.32</v>
      </c>
      <c r="AAT55">
        <v>0.32</v>
      </c>
      <c r="AAU55">
        <v>0.32</v>
      </c>
      <c r="AAV55">
        <v>0.32</v>
      </c>
      <c r="AAW55">
        <v>0.32</v>
      </c>
      <c r="AAX55">
        <v>0.32</v>
      </c>
      <c r="AAY55">
        <v>0.35</v>
      </c>
      <c r="AAZ55">
        <v>0.35</v>
      </c>
      <c r="ABA55">
        <v>0.35</v>
      </c>
      <c r="ABB55">
        <v>0.35</v>
      </c>
      <c r="ABC55">
        <v>0.35</v>
      </c>
      <c r="ABD55">
        <v>0.35</v>
      </c>
      <c r="ABE55">
        <v>0.35</v>
      </c>
      <c r="ABF55">
        <v>0.32</v>
      </c>
      <c r="ABG55">
        <v>0.32</v>
      </c>
      <c r="ABH55">
        <v>0.32</v>
      </c>
      <c r="ABI55">
        <v>0.32</v>
      </c>
      <c r="ABJ55">
        <v>0.35</v>
      </c>
      <c r="ABK55">
        <v>0.35</v>
      </c>
      <c r="ABL55">
        <v>0.35</v>
      </c>
      <c r="ABM55">
        <v>0.35</v>
      </c>
      <c r="ABN55">
        <v>0.35</v>
      </c>
      <c r="ABO55">
        <v>0.35</v>
      </c>
      <c r="ABP55">
        <v>0.10170615083677462</v>
      </c>
      <c r="ABQ55">
        <v>0.33229080634644642</v>
      </c>
      <c r="ABR55">
        <v>0.35</v>
      </c>
      <c r="ABS55">
        <v>0.32</v>
      </c>
      <c r="ABT55">
        <v>0.32</v>
      </c>
      <c r="ABU55">
        <v>0.32</v>
      </c>
      <c r="ABV55">
        <v>0.32</v>
      </c>
      <c r="ABW55">
        <v>0.32</v>
      </c>
      <c r="ABX55">
        <v>0.32</v>
      </c>
      <c r="ABY55">
        <v>0.32</v>
      </c>
      <c r="ABZ55">
        <v>0.32</v>
      </c>
      <c r="ACA55">
        <v>0.32</v>
      </c>
      <c r="ACB55">
        <v>0.35</v>
      </c>
      <c r="ACC55">
        <v>0.35</v>
      </c>
      <c r="ACD55">
        <v>0.32</v>
      </c>
      <c r="ACE55">
        <v>0.32</v>
      </c>
      <c r="ACF55">
        <v>0.31792001738752446</v>
      </c>
      <c r="ACG55">
        <v>0.32000000000000006</v>
      </c>
      <c r="ACH55">
        <v>0.33376439904368616</v>
      </c>
      <c r="ACI55">
        <v>0.32293414475114102</v>
      </c>
      <c r="ACJ55">
        <v>0.33623560095631383</v>
      </c>
      <c r="ACK55">
        <v>0.35</v>
      </c>
      <c r="ACL55">
        <v>0.32</v>
      </c>
      <c r="ACM55">
        <v>0.32</v>
      </c>
      <c r="ACN55">
        <v>0.35</v>
      </c>
      <c r="ACO55">
        <v>0.35</v>
      </c>
      <c r="ACP55">
        <v>0.35</v>
      </c>
      <c r="ACQ55">
        <v>0.32</v>
      </c>
      <c r="ACR55">
        <v>0.35</v>
      </c>
      <c r="ACS55">
        <v>0.35</v>
      </c>
      <c r="ACT55">
        <v>0.13973266681156268</v>
      </c>
      <c r="ACU55">
        <v>0.32175396652901544</v>
      </c>
      <c r="ACV55">
        <v>0.35</v>
      </c>
      <c r="ACW55">
        <v>0.32700934579439256</v>
      </c>
      <c r="ACX55">
        <v>0.33714192566833301</v>
      </c>
      <c r="ACY55">
        <v>0.33399913062377745</v>
      </c>
      <c r="ACZ55">
        <v>0.32</v>
      </c>
      <c r="ADA55">
        <v>0.32</v>
      </c>
      <c r="ADB55">
        <v>0.32</v>
      </c>
      <c r="ADC55">
        <v>0.32</v>
      </c>
      <c r="ADD55">
        <v>0.32</v>
      </c>
      <c r="ADE55">
        <v>0.32</v>
      </c>
      <c r="ADF55">
        <v>0.32</v>
      </c>
      <c r="ADG55">
        <v>0.32</v>
      </c>
      <c r="ADH55">
        <v>0.32</v>
      </c>
      <c r="ADI55">
        <v>0.32</v>
      </c>
      <c r="ADJ55">
        <v>0.32</v>
      </c>
      <c r="ADK55">
        <v>0.32</v>
      </c>
      <c r="ADL55">
        <v>0.32</v>
      </c>
      <c r="ADM55">
        <v>0.32</v>
      </c>
      <c r="ADN55">
        <v>0.32</v>
      </c>
      <c r="ADO55">
        <v>0.32</v>
      </c>
      <c r="ADP55">
        <v>0.32</v>
      </c>
      <c r="ADQ55">
        <v>0.32</v>
      </c>
      <c r="ADR55">
        <v>0.32</v>
      </c>
      <c r="ADS55">
        <v>0.32</v>
      </c>
      <c r="ADT55">
        <v>0.32</v>
      </c>
      <c r="ADU55">
        <v>0.32</v>
      </c>
      <c r="ADV55">
        <v>0.32</v>
      </c>
      <c r="ADW55">
        <v>0.32</v>
      </c>
      <c r="ADX55">
        <v>0.32</v>
      </c>
      <c r="ADY55">
        <v>0.32</v>
      </c>
      <c r="ADZ55">
        <v>0.32</v>
      </c>
      <c r="AEA55">
        <v>0.32</v>
      </c>
      <c r="AEB55">
        <v>0.32</v>
      </c>
      <c r="AEC55">
        <v>0.32</v>
      </c>
      <c r="AED55">
        <v>0.32</v>
      </c>
      <c r="AEE55">
        <v>0.32</v>
      </c>
      <c r="AEF55">
        <v>0.32</v>
      </c>
      <c r="AEG55">
        <v>0.32</v>
      </c>
      <c r="AEH55">
        <v>0.35</v>
      </c>
      <c r="AEI55">
        <v>0.35</v>
      </c>
      <c r="AEJ55">
        <v>0.35</v>
      </c>
      <c r="AEK55">
        <v>0.35</v>
      </c>
      <c r="AEL55">
        <v>0.35</v>
      </c>
      <c r="AEM55">
        <v>0.35</v>
      </c>
      <c r="AEN55">
        <v>0.35</v>
      </c>
      <c r="AEO55">
        <v>0.32</v>
      </c>
      <c r="AEP55">
        <v>0.32</v>
      </c>
      <c r="AEQ55">
        <v>0.32</v>
      </c>
      <c r="AER55">
        <v>0.32</v>
      </c>
      <c r="AES55">
        <v>0.35</v>
      </c>
      <c r="AET55">
        <v>0.35</v>
      </c>
      <c r="AEU55">
        <v>0.35</v>
      </c>
      <c r="AEV55">
        <v>0.35</v>
      </c>
      <c r="AEW55">
        <v>0.35</v>
      </c>
      <c r="AEX55">
        <v>0.35</v>
      </c>
      <c r="AEY55">
        <v>0.10170615083677462</v>
      </c>
      <c r="AEZ55">
        <v>0.33229080634644642</v>
      </c>
      <c r="AFA55">
        <v>0.35</v>
      </c>
      <c r="AFB55">
        <v>0.32</v>
      </c>
      <c r="AFC55">
        <v>0.32</v>
      </c>
      <c r="AFD55">
        <v>0.32</v>
      </c>
      <c r="AFE55">
        <v>0.32</v>
      </c>
      <c r="AFF55">
        <v>0.32</v>
      </c>
      <c r="AFG55">
        <v>0.32</v>
      </c>
      <c r="AFH55">
        <v>0.32</v>
      </c>
      <c r="AFI55">
        <v>0.32</v>
      </c>
      <c r="AFJ55">
        <v>0.32</v>
      </c>
      <c r="AFK55">
        <v>0.35</v>
      </c>
      <c r="AFL55">
        <v>0.35</v>
      </c>
      <c r="AFM55">
        <v>0.32</v>
      </c>
      <c r="AFN55">
        <v>0.32</v>
      </c>
      <c r="AFO55">
        <v>0.31792001738752446</v>
      </c>
      <c r="AFP55">
        <v>0.32000000000000006</v>
      </c>
      <c r="AFQ55">
        <v>0.33376439904368616</v>
      </c>
      <c r="AFR55">
        <v>0.32293414475114102</v>
      </c>
      <c r="AFS55">
        <v>0.33623560095631383</v>
      </c>
      <c r="AFT55">
        <v>0.35</v>
      </c>
      <c r="AFU55">
        <v>0.32</v>
      </c>
      <c r="AFV55">
        <v>0.32</v>
      </c>
      <c r="AFW55">
        <v>0.35</v>
      </c>
      <c r="AFX55">
        <v>0.35</v>
      </c>
      <c r="AFY55">
        <v>0.35</v>
      </c>
      <c r="AFZ55">
        <v>0.32</v>
      </c>
      <c r="AGA55">
        <v>0.35</v>
      </c>
      <c r="AGB55">
        <v>0.35</v>
      </c>
      <c r="AGC55">
        <v>0.13973266681156268</v>
      </c>
      <c r="AGD55">
        <v>0.32175396652901544</v>
      </c>
      <c r="AGE55">
        <v>0.35</v>
      </c>
      <c r="AGF55">
        <v>0.32700934579439256</v>
      </c>
      <c r="AGG55">
        <v>0.33714192566833301</v>
      </c>
      <c r="AGH55">
        <v>0.33399913062377745</v>
      </c>
      <c r="AGI55">
        <v>0.32</v>
      </c>
      <c r="AGJ55">
        <v>0.32</v>
      </c>
      <c r="AGK55">
        <v>0.32</v>
      </c>
      <c r="AGL55">
        <v>0.32</v>
      </c>
      <c r="AGM55">
        <v>0.32</v>
      </c>
      <c r="AGN55">
        <v>0.32</v>
      </c>
      <c r="AGO55">
        <v>0.32</v>
      </c>
      <c r="AGP55">
        <v>0.32</v>
      </c>
      <c r="AGQ55">
        <v>0.32</v>
      </c>
      <c r="AGR55">
        <v>0.32</v>
      </c>
      <c r="AGS55">
        <v>0.32</v>
      </c>
      <c r="AGT55">
        <v>0.32</v>
      </c>
      <c r="AGU55">
        <v>0.32</v>
      </c>
      <c r="AGV55">
        <v>0.32</v>
      </c>
      <c r="AGW55">
        <v>0.32</v>
      </c>
      <c r="AGX55">
        <v>0.32</v>
      </c>
      <c r="AGY55">
        <v>0.32</v>
      </c>
      <c r="AGZ55">
        <v>0.32</v>
      </c>
      <c r="AHA55">
        <v>0.32</v>
      </c>
      <c r="AHB55">
        <v>0.32</v>
      </c>
      <c r="AHC55">
        <v>0.32</v>
      </c>
      <c r="AHD55">
        <v>0.32</v>
      </c>
      <c r="AHE55">
        <v>0.32</v>
      </c>
      <c r="AHF55">
        <v>0.32</v>
      </c>
      <c r="AHG55">
        <v>0.32</v>
      </c>
      <c r="AHH55">
        <v>0.32</v>
      </c>
      <c r="AHI55">
        <v>0.32</v>
      </c>
      <c r="AHJ55">
        <v>0.32</v>
      </c>
      <c r="AHK55">
        <v>0.32</v>
      </c>
      <c r="AHL55">
        <v>0.32</v>
      </c>
      <c r="AHM55">
        <v>0.32</v>
      </c>
      <c r="AHN55">
        <v>0.32</v>
      </c>
      <c r="AHO55">
        <v>0.32</v>
      </c>
      <c r="AHP55">
        <v>0.32</v>
      </c>
      <c r="AHQ55">
        <v>0.35</v>
      </c>
      <c r="AHR55">
        <v>0.35</v>
      </c>
      <c r="AHS55">
        <v>0.35</v>
      </c>
      <c r="AHT55">
        <v>0.35</v>
      </c>
      <c r="AHU55">
        <v>0.35</v>
      </c>
      <c r="AHV55">
        <v>0.35</v>
      </c>
      <c r="AHW55">
        <v>0.35</v>
      </c>
      <c r="AHX55">
        <v>0.32</v>
      </c>
      <c r="AHY55">
        <v>0.32</v>
      </c>
      <c r="AHZ55">
        <v>0.32</v>
      </c>
      <c r="AIA55">
        <v>0.32</v>
      </c>
      <c r="AIB55">
        <v>0.35</v>
      </c>
      <c r="AIC55">
        <v>0.35</v>
      </c>
      <c r="AID55">
        <v>0.35</v>
      </c>
      <c r="AIE55">
        <v>0.35</v>
      </c>
      <c r="AIF55">
        <v>0.35</v>
      </c>
      <c r="AIG55">
        <v>0.35</v>
      </c>
      <c r="AIH55">
        <v>0.10170615083677462</v>
      </c>
      <c r="AII55">
        <v>0.33229080634644642</v>
      </c>
      <c r="AIJ55">
        <v>0.35</v>
      </c>
      <c r="AIK55">
        <v>0.32</v>
      </c>
      <c r="AIL55">
        <v>0.32</v>
      </c>
      <c r="AIM55">
        <v>0.32</v>
      </c>
      <c r="AIN55">
        <v>0.32</v>
      </c>
      <c r="AIO55">
        <v>0.32</v>
      </c>
      <c r="AIP55">
        <v>0.32</v>
      </c>
      <c r="AIQ55">
        <v>0.32</v>
      </c>
      <c r="AIR55">
        <v>0.32</v>
      </c>
      <c r="AIS55">
        <v>0.32</v>
      </c>
      <c r="AIT55">
        <v>0.35</v>
      </c>
      <c r="AIU55">
        <v>0.35</v>
      </c>
      <c r="AIV55">
        <v>0.32</v>
      </c>
      <c r="AIW55">
        <v>0.32</v>
      </c>
      <c r="AIX55">
        <v>0.31792001738752446</v>
      </c>
      <c r="AIY55">
        <v>0.32000000000000006</v>
      </c>
      <c r="AIZ55">
        <v>0.33376439904368616</v>
      </c>
      <c r="AJA55">
        <v>0.32293414475114102</v>
      </c>
      <c r="AJB55">
        <v>0.33623560095631383</v>
      </c>
      <c r="AJC55">
        <v>0.35</v>
      </c>
      <c r="AJD55">
        <v>0.32</v>
      </c>
      <c r="AJE55">
        <v>0.32</v>
      </c>
      <c r="AJF55">
        <v>0.35</v>
      </c>
      <c r="AJG55">
        <v>0.35</v>
      </c>
      <c r="AJH55">
        <v>0.35</v>
      </c>
      <c r="AJI55">
        <v>0.32</v>
      </c>
      <c r="AJJ55">
        <v>0.35</v>
      </c>
      <c r="AJK55">
        <v>0.35</v>
      </c>
      <c r="AJL55">
        <v>0.13973266681156268</v>
      </c>
      <c r="AJM55">
        <v>0.32175396652901544</v>
      </c>
      <c r="AJN55">
        <v>0.35</v>
      </c>
      <c r="AJO55">
        <v>0.32700934579439256</v>
      </c>
      <c r="AJP55">
        <v>0.33714192566833301</v>
      </c>
      <c r="AJQ55">
        <v>0.33399913062377745</v>
      </c>
    </row>
    <row r="56" spans="1:985" ht="14.4" customHeight="1" x14ac:dyDescent="0.55000000000000004">
      <c r="A56" t="s">
        <v>504</v>
      </c>
      <c r="B56" t="s">
        <v>505</v>
      </c>
      <c r="C56" s="1" t="s">
        <v>636</v>
      </c>
      <c r="AKH56">
        <v>2.5</v>
      </c>
      <c r="AKI56">
        <v>3</v>
      </c>
    </row>
    <row r="57" spans="1:985" ht="14.4" customHeight="1" x14ac:dyDescent="0.55000000000000004">
      <c r="A57" t="s">
        <v>506</v>
      </c>
      <c r="B57" t="s">
        <v>508</v>
      </c>
      <c r="C57" s="1" t="s">
        <v>637</v>
      </c>
      <c r="AKH57">
        <v>0.23</v>
      </c>
      <c r="AKI57">
        <f>0.00075*365</f>
        <v>0.27374999999999999</v>
      </c>
    </row>
    <row r="58" spans="1:985" ht="14.4" customHeight="1" x14ac:dyDescent="0.55000000000000004">
      <c r="A58" t="s">
        <v>507</v>
      </c>
      <c r="B58" t="s">
        <v>508</v>
      </c>
      <c r="C58" s="1" t="s">
        <v>638</v>
      </c>
      <c r="AKJ58">
        <v>1.49E-3</v>
      </c>
      <c r="AKK58">
        <v>1.4399999999999999E-3</v>
      </c>
      <c r="AKL58">
        <v>1.47E-3</v>
      </c>
      <c r="AKM58">
        <v>1.23E-3</v>
      </c>
    </row>
    <row r="59" spans="1:985" ht="14.4" customHeight="1" x14ac:dyDescent="0.55000000000000004">
      <c r="A59" t="s">
        <v>511</v>
      </c>
      <c r="B59" t="s">
        <v>509</v>
      </c>
      <c r="C59" s="1" t="s">
        <v>639</v>
      </c>
      <c r="AKH59">
        <v>0.9</v>
      </c>
      <c r="AKI59">
        <v>0.9</v>
      </c>
      <c r="AKJ59">
        <v>0.97</v>
      </c>
      <c r="AKK59">
        <v>0.95</v>
      </c>
      <c r="AKL59">
        <v>0.94</v>
      </c>
      <c r="AKM59">
        <v>0.88</v>
      </c>
      <c r="AKN59">
        <v>0.9</v>
      </c>
      <c r="AKO59">
        <v>0.9</v>
      </c>
      <c r="AKP59">
        <v>0.9</v>
      </c>
      <c r="AKQ59">
        <v>0.9</v>
      </c>
      <c r="AKR59">
        <v>0.9</v>
      </c>
      <c r="AKU59">
        <v>0.9</v>
      </c>
      <c r="AKV59">
        <v>0.9</v>
      </c>
      <c r="AKW59">
        <v>0.9</v>
      </c>
    </row>
    <row r="60" spans="1:985" ht="14.4" customHeight="1" x14ac:dyDescent="0.55000000000000004">
      <c r="A60" t="s">
        <v>512</v>
      </c>
      <c r="B60" t="s">
        <v>510</v>
      </c>
      <c r="C60" s="1" t="s">
        <v>640</v>
      </c>
      <c r="AKH60">
        <v>1595798</v>
      </c>
    </row>
    <row r="61" spans="1:985" ht="14.4" customHeight="1" x14ac:dyDescent="0.55000000000000004">
      <c r="A61" t="s">
        <v>513</v>
      </c>
      <c r="B61" t="s">
        <v>644</v>
      </c>
      <c r="C61" s="1" t="s">
        <v>641</v>
      </c>
    </row>
    <row r="62" spans="1:985" ht="14.4" customHeight="1" x14ac:dyDescent="0.55000000000000004">
      <c r="A62" t="s">
        <v>514</v>
      </c>
      <c r="B62" t="s">
        <v>643</v>
      </c>
      <c r="C62" s="1" t="s">
        <v>642</v>
      </c>
    </row>
    <row r="63" spans="1:985" ht="14.4" customHeight="1" x14ac:dyDescent="0.55000000000000004">
      <c r="A63" t="s">
        <v>4</v>
      </c>
      <c r="B63" t="s">
        <v>648</v>
      </c>
      <c r="C63" s="1" t="s">
        <v>645</v>
      </c>
      <c r="CA63">
        <v>4.21041666666666</v>
      </c>
      <c r="CB63">
        <v>4.21041666666666</v>
      </c>
      <c r="CC63">
        <v>4.21041666666666</v>
      </c>
      <c r="CD63">
        <v>4.21041666666666</v>
      </c>
      <c r="CE63">
        <v>4.21041666666666</v>
      </c>
      <c r="CF63">
        <v>4.21041666666666</v>
      </c>
      <c r="CG63">
        <v>4.21041666666666</v>
      </c>
      <c r="CH63">
        <v>4.21041666666666</v>
      </c>
      <c r="CI63">
        <v>4.21041666666666</v>
      </c>
      <c r="CJ63">
        <v>4.21041666666666</v>
      </c>
      <c r="CK63">
        <v>4.21041666666666</v>
      </c>
      <c r="CL63">
        <v>4.21041666666666</v>
      </c>
      <c r="CM63">
        <v>4.21041666666666</v>
      </c>
      <c r="CN63">
        <v>4.21041666666666</v>
      </c>
      <c r="CO63">
        <v>4.21041666666666</v>
      </c>
      <c r="CP63">
        <v>4.21041666666666</v>
      </c>
      <c r="CQ63">
        <v>4.21041666666666</v>
      </c>
      <c r="CR63">
        <v>4.21041666666666</v>
      </c>
      <c r="CS63">
        <v>4.21041666666666</v>
      </c>
      <c r="CT63">
        <v>4.21041666666666</v>
      </c>
      <c r="CU63">
        <v>4.21041666666666</v>
      </c>
      <c r="CV63">
        <v>4.21041666666666</v>
      </c>
      <c r="CW63">
        <v>4.21041666666666</v>
      </c>
      <c r="CX63">
        <v>4.21041666666666</v>
      </c>
      <c r="CY63">
        <v>4.21041666666666</v>
      </c>
      <c r="CZ63">
        <v>4.21041666666666</v>
      </c>
      <c r="DA63">
        <v>4.21041666666666</v>
      </c>
      <c r="DB63">
        <v>4.21041666666666</v>
      </c>
      <c r="DC63">
        <v>4.21041666666666</v>
      </c>
      <c r="DD63">
        <v>4.21041666666666</v>
      </c>
      <c r="DE63">
        <v>4.21041666666666</v>
      </c>
      <c r="DF63">
        <v>4.21041666666666</v>
      </c>
      <c r="DG63">
        <v>4.21041666666666</v>
      </c>
      <c r="DH63">
        <v>4.21041666666666</v>
      </c>
      <c r="DI63">
        <v>4.21041666666666</v>
      </c>
      <c r="DJ63">
        <v>4.21041666666666</v>
      </c>
      <c r="DK63">
        <v>4.21041666666666</v>
      </c>
      <c r="DL63">
        <v>4.21041666666666</v>
      </c>
      <c r="DM63">
        <v>4.21041666666666</v>
      </c>
      <c r="DN63">
        <v>4.21041666666666</v>
      </c>
      <c r="DO63">
        <v>4.21041666666666</v>
      </c>
      <c r="DP63">
        <v>4.21041666666666</v>
      </c>
      <c r="DQ63">
        <v>4.21041666666666</v>
      </c>
      <c r="DR63">
        <v>4.21041666666666</v>
      </c>
      <c r="DS63">
        <v>4.21041666666666</v>
      </c>
      <c r="DT63">
        <v>4.21041666666666</v>
      </c>
      <c r="DU63">
        <v>4.21041666666666</v>
      </c>
      <c r="DV63">
        <v>4.21041666666666</v>
      </c>
      <c r="DW63">
        <v>4.21041666666666</v>
      </c>
      <c r="DX63">
        <v>4.21041666666666</v>
      </c>
      <c r="DY63">
        <v>4.21041666666666</v>
      </c>
      <c r="DZ63">
        <v>4.21041666666666</v>
      </c>
      <c r="EA63">
        <v>4.21041666666666</v>
      </c>
      <c r="EB63">
        <v>4.4239800000000002</v>
      </c>
      <c r="EC63">
        <v>4.4239800000000002</v>
      </c>
      <c r="ED63">
        <v>4.4239800000000002</v>
      </c>
      <c r="EE63">
        <v>4.4239800000000002</v>
      </c>
      <c r="EF63">
        <v>4.4239800000000002</v>
      </c>
      <c r="EG63">
        <v>4.4239800000000002</v>
      </c>
      <c r="EH63">
        <v>4.4239800000000002</v>
      </c>
      <c r="EI63">
        <v>4.4239800000000002</v>
      </c>
      <c r="EJ63">
        <v>4.4239800000000002</v>
      </c>
      <c r="EK63">
        <v>4.4239800000000002</v>
      </c>
      <c r="EL63">
        <v>4.4239800000000002</v>
      </c>
      <c r="EM63">
        <v>4.4239800000000002</v>
      </c>
      <c r="EN63">
        <v>4.4239800000000002</v>
      </c>
      <c r="EO63">
        <v>4.4239800000000002</v>
      </c>
      <c r="EP63">
        <v>4.4239800000000002</v>
      </c>
      <c r="EQ63">
        <v>4.4239800000000002</v>
      </c>
      <c r="ER63">
        <v>4.4239800000000002</v>
      </c>
      <c r="ES63">
        <v>4.4239800000000002</v>
      </c>
      <c r="ET63">
        <v>4.4239800000000002</v>
      </c>
      <c r="EU63">
        <v>4.4239800000000002</v>
      </c>
      <c r="EV63">
        <v>4.4239800000000002</v>
      </c>
      <c r="EW63">
        <v>4.4239800000000002</v>
      </c>
      <c r="EX63">
        <v>4.4239800000000002</v>
      </c>
      <c r="EY63">
        <v>4.4239800000000002</v>
      </c>
      <c r="EZ63">
        <v>4.4239800000000002</v>
      </c>
      <c r="FA63">
        <v>4.4239800000000002</v>
      </c>
      <c r="FB63">
        <v>4.4239800000000002</v>
      </c>
      <c r="FC63">
        <v>4.4239800000000002</v>
      </c>
      <c r="FD63">
        <v>4.4239800000000002</v>
      </c>
      <c r="FE63">
        <v>4.4239800000000002</v>
      </c>
      <c r="FF63">
        <v>4.4239800000000002</v>
      </c>
      <c r="FG63">
        <v>4.4239800000000002</v>
      </c>
      <c r="FH63">
        <v>4.4239800000000002</v>
      </c>
      <c r="FI63">
        <v>4.4239800000000002</v>
      </c>
      <c r="FJ63">
        <v>4.4239800000000002</v>
      </c>
      <c r="FK63">
        <v>4.4239800000000002</v>
      </c>
      <c r="FL63">
        <v>4.4239800000000002</v>
      </c>
      <c r="FM63">
        <v>4.4239800000000002</v>
      </c>
      <c r="FN63">
        <v>4.4239800000000002</v>
      </c>
      <c r="FO63">
        <v>4.4239800000000002</v>
      </c>
      <c r="FP63">
        <v>4.4239800000000002</v>
      </c>
      <c r="FQ63">
        <v>4.4239800000000002</v>
      </c>
      <c r="FR63">
        <v>4.4239800000000002</v>
      </c>
      <c r="FS63">
        <v>4.4239800000000002</v>
      </c>
      <c r="FT63">
        <v>4.4239800000000002</v>
      </c>
      <c r="FU63">
        <v>4.4239800000000002</v>
      </c>
      <c r="FV63">
        <v>4.4239800000000002</v>
      </c>
      <c r="FW63">
        <v>4.4239800000000002</v>
      </c>
      <c r="FX63">
        <v>4.4239800000000002</v>
      </c>
      <c r="FY63">
        <v>4.4239800000000002</v>
      </c>
      <c r="FZ63">
        <v>4.4239800000000002</v>
      </c>
      <c r="GA63">
        <v>4.4239800000000002</v>
      </c>
      <c r="GB63">
        <v>4.4239800000000002</v>
      </c>
      <c r="GC63">
        <v>4.4239800000000002</v>
      </c>
      <c r="GD63">
        <v>4.4239800000000002</v>
      </c>
      <c r="GE63">
        <v>4.4239800000000002</v>
      </c>
      <c r="GF63">
        <v>4.4239800000000002</v>
      </c>
      <c r="GG63">
        <v>4.4239800000000002</v>
      </c>
      <c r="GH63">
        <v>4.4239800000000002</v>
      </c>
      <c r="GI63">
        <v>4.4239800000000002</v>
      </c>
      <c r="GJ63">
        <v>4.4239800000000002</v>
      </c>
      <c r="GK63">
        <v>4.4239800000000002</v>
      </c>
      <c r="GL63">
        <v>4.4239800000000002</v>
      </c>
      <c r="GM63">
        <v>4.4239800000000002</v>
      </c>
      <c r="GN63">
        <v>4.4239800000000002</v>
      </c>
      <c r="GO63">
        <v>4.4239800000000002</v>
      </c>
      <c r="GP63">
        <v>4.4239800000000002</v>
      </c>
      <c r="GQ63">
        <v>4.4239800000000002</v>
      </c>
      <c r="GR63">
        <v>4.4239800000000002</v>
      </c>
      <c r="GS63">
        <v>4.4239800000000002</v>
      </c>
      <c r="GT63">
        <v>4.4239800000000002</v>
      </c>
      <c r="GU63">
        <v>4.4239800000000002</v>
      </c>
      <c r="GV63">
        <v>4.4239800000000002</v>
      </c>
      <c r="GW63">
        <v>4.4239800000000002</v>
      </c>
      <c r="GX63">
        <v>4.4239800000000002</v>
      </c>
      <c r="GY63">
        <v>4.4239800000000002</v>
      </c>
      <c r="GZ63">
        <v>4.4239800000000002</v>
      </c>
      <c r="HA63">
        <v>4.4239800000000002</v>
      </c>
      <c r="HB63">
        <v>4.4239800000000002</v>
      </c>
      <c r="HC63">
        <v>4.4239800000000002</v>
      </c>
      <c r="HD63">
        <v>4.4239800000000002</v>
      </c>
      <c r="HE63">
        <v>4.4239800000000002</v>
      </c>
      <c r="HF63">
        <v>4.4239800000000002</v>
      </c>
      <c r="HG63">
        <v>4.4239800000000002</v>
      </c>
      <c r="HH63">
        <v>4.4239800000000002</v>
      </c>
      <c r="HI63">
        <v>4.4239800000000002</v>
      </c>
      <c r="HJ63">
        <v>4.4239800000000002</v>
      </c>
      <c r="HK63">
        <v>4.4239800000000002</v>
      </c>
      <c r="HL63">
        <v>4.4239800000000002</v>
      </c>
      <c r="HM63">
        <v>4.4239800000000002</v>
      </c>
      <c r="HN63">
        <v>4.4239800000000002</v>
      </c>
      <c r="HO63">
        <v>4.4239800000000002</v>
      </c>
      <c r="HP63">
        <v>4.4239800000000002</v>
      </c>
      <c r="HQ63">
        <v>4.4239800000000002</v>
      </c>
      <c r="HR63">
        <v>4.4239800000000002</v>
      </c>
      <c r="HS63">
        <v>4.4239800000000002</v>
      </c>
      <c r="HT63">
        <v>4.4239800000000002</v>
      </c>
      <c r="HU63">
        <v>4.4239800000000002</v>
      </c>
      <c r="HV63">
        <v>4.4239800000000002</v>
      </c>
      <c r="HW63">
        <v>4.4239800000000002</v>
      </c>
      <c r="HX63">
        <v>4.4239800000000002</v>
      </c>
      <c r="HY63">
        <v>4.4239800000000002</v>
      </c>
      <c r="HZ63">
        <v>4.4239800000000002</v>
      </c>
      <c r="IA63">
        <v>4.4239800000000002</v>
      </c>
      <c r="IB63">
        <v>4.4239800000000002</v>
      </c>
      <c r="IC63">
        <v>4.4239800000000002</v>
      </c>
      <c r="ID63">
        <v>4.4239800000000002</v>
      </c>
      <c r="IE63">
        <v>4.4239800000000002</v>
      </c>
      <c r="IF63">
        <v>4.4239800000000002</v>
      </c>
      <c r="IG63">
        <v>4.4239800000000002</v>
      </c>
      <c r="IH63">
        <v>4.4239800000000002</v>
      </c>
      <c r="II63">
        <v>4.4239800000000002</v>
      </c>
      <c r="IJ63">
        <v>4.4239800000000002</v>
      </c>
      <c r="IK63">
        <v>4.4239800000000002</v>
      </c>
      <c r="IL63">
        <v>4.4239800000000002</v>
      </c>
      <c r="IM63">
        <v>4.4239800000000002</v>
      </c>
      <c r="IN63">
        <v>4.4239800000000002</v>
      </c>
      <c r="IO63">
        <v>4.4239800000000002</v>
      </c>
      <c r="IP63">
        <v>4.4239800000000002</v>
      </c>
      <c r="IQ63">
        <v>4.4239800000000002</v>
      </c>
      <c r="IR63">
        <v>4.4239800000000002</v>
      </c>
      <c r="IS63">
        <v>4.4239800000000002</v>
      </c>
      <c r="IT63">
        <v>4.4239800000000002</v>
      </c>
      <c r="IU63">
        <v>4.4239800000000002</v>
      </c>
      <c r="IV63">
        <v>4.4239800000000002</v>
      </c>
      <c r="IW63">
        <v>4.4239800000000002</v>
      </c>
      <c r="IX63">
        <v>4.3</v>
      </c>
      <c r="IY63">
        <v>4.3</v>
      </c>
      <c r="IZ63">
        <v>4.3</v>
      </c>
      <c r="JA63">
        <v>4.3</v>
      </c>
      <c r="JB63">
        <v>4.3</v>
      </c>
      <c r="JC63">
        <v>4.3</v>
      </c>
      <c r="JD63">
        <v>4.3</v>
      </c>
      <c r="JE63">
        <v>4.3</v>
      </c>
      <c r="JF63">
        <v>4.3</v>
      </c>
      <c r="JG63">
        <v>4.3</v>
      </c>
      <c r="JH63">
        <v>4.3</v>
      </c>
      <c r="JI63">
        <v>4.3</v>
      </c>
      <c r="JJ63">
        <v>4.3</v>
      </c>
      <c r="JK63">
        <v>4.3</v>
      </c>
      <c r="JL63">
        <v>4.3</v>
      </c>
      <c r="JM63">
        <v>4.3</v>
      </c>
      <c r="JN63">
        <v>4.3</v>
      </c>
      <c r="JO63">
        <v>4.3</v>
      </c>
      <c r="JP63">
        <v>4.3</v>
      </c>
      <c r="JQ63">
        <v>4.3</v>
      </c>
      <c r="JR63">
        <v>4.3</v>
      </c>
      <c r="JS63">
        <v>4.3</v>
      </c>
      <c r="JT63">
        <v>4.3</v>
      </c>
      <c r="JU63">
        <v>4.3</v>
      </c>
      <c r="JV63">
        <v>4.3</v>
      </c>
      <c r="JW63">
        <v>4.3</v>
      </c>
      <c r="JX63">
        <v>4.3</v>
      </c>
      <c r="JY63">
        <v>4.3</v>
      </c>
      <c r="JZ63">
        <v>4.3</v>
      </c>
      <c r="KA63">
        <v>4.3</v>
      </c>
      <c r="KB63">
        <v>4.3</v>
      </c>
      <c r="KC63">
        <v>4.3</v>
      </c>
      <c r="KD63">
        <v>4.3</v>
      </c>
      <c r="KE63">
        <v>4.3</v>
      </c>
      <c r="KF63">
        <v>4.3</v>
      </c>
      <c r="KG63">
        <v>4.3</v>
      </c>
      <c r="KH63">
        <v>4.3</v>
      </c>
      <c r="KI63">
        <v>4.3</v>
      </c>
      <c r="KJ63">
        <v>4.3</v>
      </c>
      <c r="KK63">
        <v>4.3</v>
      </c>
      <c r="KL63">
        <v>4.3</v>
      </c>
      <c r="KM63">
        <v>4.3</v>
      </c>
      <c r="KN63">
        <v>4.3</v>
      </c>
      <c r="KO63">
        <v>4.3</v>
      </c>
      <c r="KP63">
        <v>4.3</v>
      </c>
      <c r="KQ63">
        <v>4.3</v>
      </c>
      <c r="KR63">
        <v>4.3</v>
      </c>
      <c r="KS63">
        <v>4.3</v>
      </c>
      <c r="KT63">
        <v>4.3</v>
      </c>
      <c r="KU63">
        <v>4.3</v>
      </c>
      <c r="KV63">
        <v>4.3</v>
      </c>
      <c r="KW63">
        <v>4.3</v>
      </c>
      <c r="KX63">
        <v>4.3</v>
      </c>
      <c r="KY63">
        <v>4.3</v>
      </c>
      <c r="KZ63">
        <v>4.3</v>
      </c>
      <c r="LA63">
        <v>4.3</v>
      </c>
      <c r="LB63">
        <v>4.3</v>
      </c>
      <c r="LC63">
        <v>4.3</v>
      </c>
      <c r="LD63">
        <v>4.3</v>
      </c>
      <c r="LE63">
        <v>4.3</v>
      </c>
      <c r="LF63">
        <v>4.3</v>
      </c>
      <c r="LG63">
        <v>4.3</v>
      </c>
      <c r="LH63">
        <v>4.3</v>
      </c>
      <c r="LI63">
        <v>4.3</v>
      </c>
      <c r="LJ63">
        <v>4.3</v>
      </c>
      <c r="LK63">
        <v>4.3</v>
      </c>
      <c r="LL63">
        <v>4.3</v>
      </c>
      <c r="LM63">
        <v>4.3</v>
      </c>
      <c r="LN63">
        <v>4.3</v>
      </c>
      <c r="LO63">
        <v>4.3</v>
      </c>
      <c r="LP63">
        <v>4.3</v>
      </c>
      <c r="LQ63">
        <v>4.3</v>
      </c>
      <c r="LR63">
        <v>4.3</v>
      </c>
      <c r="LS63">
        <v>4.3</v>
      </c>
      <c r="LT63">
        <v>4.3</v>
      </c>
      <c r="LU63">
        <v>4.3</v>
      </c>
      <c r="LV63">
        <v>4.3</v>
      </c>
      <c r="LW63">
        <v>4.3</v>
      </c>
      <c r="LX63">
        <v>4.3</v>
      </c>
      <c r="LY63">
        <v>4.3</v>
      </c>
      <c r="LZ63">
        <v>4.3</v>
      </c>
      <c r="MA63">
        <v>4.3</v>
      </c>
      <c r="MB63">
        <v>4.3</v>
      </c>
      <c r="MC63">
        <v>4.3</v>
      </c>
      <c r="MD63">
        <v>4.3</v>
      </c>
      <c r="ME63">
        <v>4.3</v>
      </c>
      <c r="MF63">
        <v>4.3</v>
      </c>
      <c r="MG63">
        <v>4.17</v>
      </c>
      <c r="MH63">
        <v>4.17</v>
      </c>
      <c r="MI63">
        <v>4.17</v>
      </c>
      <c r="MJ63">
        <v>4.17</v>
      </c>
      <c r="MK63">
        <v>4.17</v>
      </c>
      <c r="ML63">
        <v>4.17</v>
      </c>
      <c r="MM63">
        <v>4.17</v>
      </c>
      <c r="MN63">
        <v>4.17</v>
      </c>
      <c r="MO63">
        <v>4.17</v>
      </c>
      <c r="MP63">
        <v>4.17</v>
      </c>
      <c r="MQ63">
        <v>4.17</v>
      </c>
      <c r="MR63">
        <v>4.17</v>
      </c>
      <c r="MS63">
        <v>4.17</v>
      </c>
      <c r="MT63">
        <v>4.17</v>
      </c>
      <c r="MU63">
        <v>4.17</v>
      </c>
      <c r="MV63">
        <v>4.17</v>
      </c>
      <c r="MW63">
        <v>4.17</v>
      </c>
      <c r="MX63">
        <v>4.17</v>
      </c>
      <c r="MY63">
        <v>4.17</v>
      </c>
      <c r="MZ63">
        <v>4.17</v>
      </c>
      <c r="NA63">
        <v>4.17</v>
      </c>
      <c r="NB63">
        <v>4.17</v>
      </c>
      <c r="NC63">
        <v>4.17</v>
      </c>
      <c r="ND63">
        <v>4.17</v>
      </c>
      <c r="NE63">
        <v>4.17</v>
      </c>
      <c r="NF63">
        <v>4.17</v>
      </c>
      <c r="NG63">
        <v>4.17</v>
      </c>
      <c r="NH63">
        <v>4.17</v>
      </c>
      <c r="NI63">
        <v>4.17</v>
      </c>
      <c r="NJ63">
        <v>4.17</v>
      </c>
      <c r="NK63">
        <v>4.17</v>
      </c>
      <c r="NL63">
        <v>4.17</v>
      </c>
      <c r="NM63">
        <v>4.17</v>
      </c>
      <c r="NN63">
        <v>4.17</v>
      </c>
      <c r="NO63">
        <v>4.17</v>
      </c>
      <c r="NP63">
        <v>4.17</v>
      </c>
      <c r="NQ63">
        <v>4.17</v>
      </c>
      <c r="NR63">
        <v>4.17</v>
      </c>
      <c r="NS63">
        <v>4.17</v>
      </c>
      <c r="NT63">
        <v>4.17</v>
      </c>
      <c r="NU63">
        <v>4.17</v>
      </c>
      <c r="NV63">
        <v>4.17</v>
      </c>
      <c r="NW63">
        <v>4.17</v>
      </c>
      <c r="NX63">
        <v>4.17</v>
      </c>
      <c r="NY63">
        <v>4.17</v>
      </c>
      <c r="NZ63">
        <v>4.17</v>
      </c>
      <c r="OA63">
        <v>4.17</v>
      </c>
      <c r="OB63">
        <v>4.17</v>
      </c>
      <c r="OC63">
        <v>4.17</v>
      </c>
      <c r="OD63">
        <v>4.17</v>
      </c>
      <c r="OE63">
        <v>4.17</v>
      </c>
      <c r="OF63">
        <v>4.17</v>
      </c>
      <c r="OG63">
        <v>4.17</v>
      </c>
      <c r="OH63">
        <v>4.17</v>
      </c>
      <c r="OI63">
        <v>4.17</v>
      </c>
      <c r="OJ63">
        <v>4.17</v>
      </c>
      <c r="OK63">
        <v>4.17</v>
      </c>
      <c r="OL63">
        <v>4.17</v>
      </c>
      <c r="OM63">
        <v>4.17</v>
      </c>
      <c r="ON63">
        <v>4.17</v>
      </c>
      <c r="OO63">
        <v>4.17</v>
      </c>
      <c r="OP63">
        <v>4.17</v>
      </c>
      <c r="OQ63">
        <v>4.17</v>
      </c>
      <c r="OR63">
        <v>4.17</v>
      </c>
      <c r="OS63">
        <v>4.17</v>
      </c>
      <c r="OT63">
        <v>4.17</v>
      </c>
      <c r="OU63">
        <v>4.17</v>
      </c>
      <c r="OV63">
        <v>4.17</v>
      </c>
      <c r="OW63">
        <v>4.17</v>
      </c>
      <c r="OX63">
        <v>4.17</v>
      </c>
      <c r="OY63">
        <v>4.17</v>
      </c>
      <c r="OZ63">
        <v>4.17</v>
      </c>
      <c r="PA63">
        <v>4.17</v>
      </c>
      <c r="PB63">
        <v>4.17</v>
      </c>
      <c r="PC63">
        <v>4.17</v>
      </c>
      <c r="PD63">
        <v>4.17</v>
      </c>
      <c r="PE63">
        <v>4.17</v>
      </c>
      <c r="PF63">
        <v>4.17</v>
      </c>
      <c r="PG63">
        <v>4.17</v>
      </c>
      <c r="PH63">
        <v>4.17</v>
      </c>
      <c r="PI63">
        <v>4.17</v>
      </c>
      <c r="PJ63">
        <v>4.17</v>
      </c>
      <c r="PK63">
        <v>4.17</v>
      </c>
      <c r="PL63">
        <v>4.17</v>
      </c>
      <c r="PM63">
        <v>4.17</v>
      </c>
      <c r="PN63">
        <v>4.17</v>
      </c>
      <c r="PO63">
        <v>4.17</v>
      </c>
      <c r="PP63">
        <v>4.43</v>
      </c>
      <c r="PQ63">
        <v>4.43</v>
      </c>
      <c r="PR63">
        <v>4.43</v>
      </c>
      <c r="PS63">
        <v>4.43</v>
      </c>
      <c r="PT63">
        <v>4.43</v>
      </c>
      <c r="PU63">
        <v>4.43</v>
      </c>
      <c r="PV63">
        <v>4.43</v>
      </c>
      <c r="PW63">
        <v>4.43</v>
      </c>
      <c r="PX63">
        <v>4.43</v>
      </c>
      <c r="PY63">
        <v>4.43</v>
      </c>
      <c r="PZ63">
        <v>4.43</v>
      </c>
      <c r="QA63">
        <v>4.43</v>
      </c>
      <c r="QB63">
        <v>4.43</v>
      </c>
      <c r="QC63">
        <v>4.43</v>
      </c>
      <c r="QD63">
        <v>4.43</v>
      </c>
      <c r="QE63">
        <v>4.43</v>
      </c>
      <c r="QF63">
        <v>4.43</v>
      </c>
      <c r="QG63">
        <v>4.43</v>
      </c>
      <c r="QH63">
        <v>4.43</v>
      </c>
      <c r="QI63">
        <v>4.43</v>
      </c>
      <c r="QJ63">
        <v>4.43</v>
      </c>
      <c r="QK63">
        <v>4.43</v>
      </c>
      <c r="QL63">
        <v>4.43</v>
      </c>
      <c r="QM63">
        <v>4.43</v>
      </c>
      <c r="QN63">
        <v>4.43</v>
      </c>
      <c r="QO63">
        <v>4.43</v>
      </c>
      <c r="QP63">
        <v>4.43</v>
      </c>
      <c r="QQ63">
        <v>4.43</v>
      </c>
      <c r="QR63">
        <v>4.43</v>
      </c>
      <c r="QS63">
        <v>4.43</v>
      </c>
      <c r="QT63">
        <v>4.43</v>
      </c>
      <c r="QU63">
        <v>4.43</v>
      </c>
      <c r="QV63">
        <v>4.43</v>
      </c>
      <c r="QW63">
        <v>4.43</v>
      </c>
      <c r="QX63">
        <v>4.43</v>
      </c>
      <c r="QY63">
        <v>4.43</v>
      </c>
      <c r="QZ63">
        <v>4.43</v>
      </c>
      <c r="RA63">
        <v>4.43</v>
      </c>
      <c r="RB63">
        <v>4.43</v>
      </c>
      <c r="RC63">
        <v>4.43</v>
      </c>
      <c r="RD63">
        <v>4.43</v>
      </c>
      <c r="RE63">
        <v>4.43</v>
      </c>
      <c r="RF63">
        <v>4.43</v>
      </c>
      <c r="RG63">
        <v>4.43</v>
      </c>
      <c r="RH63">
        <v>4.43</v>
      </c>
      <c r="RI63">
        <v>4.43</v>
      </c>
      <c r="RJ63">
        <v>4.43</v>
      </c>
      <c r="RK63">
        <v>4.43</v>
      </c>
      <c r="RL63">
        <v>4.43</v>
      </c>
      <c r="RM63">
        <v>4.43</v>
      </c>
      <c r="RN63">
        <v>4.43</v>
      </c>
      <c r="RO63">
        <v>4.43</v>
      </c>
      <c r="RP63">
        <v>4.43</v>
      </c>
      <c r="RQ63">
        <v>4.43</v>
      </c>
      <c r="RR63">
        <v>4.43</v>
      </c>
      <c r="RS63">
        <v>4.43</v>
      </c>
      <c r="RT63">
        <v>4.43</v>
      </c>
      <c r="RU63">
        <v>4.43</v>
      </c>
      <c r="RV63">
        <v>4.43</v>
      </c>
      <c r="RW63">
        <v>4.43</v>
      </c>
      <c r="RX63">
        <v>4.43</v>
      </c>
      <c r="RY63">
        <v>4.43</v>
      </c>
      <c r="RZ63">
        <v>4.43</v>
      </c>
      <c r="SA63">
        <v>4.43</v>
      </c>
      <c r="SB63">
        <v>4.43</v>
      </c>
      <c r="SC63">
        <v>4.43</v>
      </c>
      <c r="SD63">
        <v>4.43</v>
      </c>
      <c r="SE63">
        <v>4.43</v>
      </c>
      <c r="SF63">
        <v>4.43</v>
      </c>
      <c r="SG63">
        <v>4.43</v>
      </c>
      <c r="SH63">
        <v>4.43</v>
      </c>
      <c r="SI63">
        <v>4.43</v>
      </c>
      <c r="SJ63">
        <v>4.43</v>
      </c>
      <c r="SK63">
        <v>4.43</v>
      </c>
      <c r="SL63">
        <v>4.43</v>
      </c>
      <c r="SM63">
        <v>4.43</v>
      </c>
      <c r="SN63">
        <v>4.43</v>
      </c>
      <c r="SO63">
        <v>4.43</v>
      </c>
      <c r="SP63">
        <v>4.43</v>
      </c>
      <c r="SQ63">
        <v>4.43</v>
      </c>
      <c r="SR63">
        <v>4.43</v>
      </c>
      <c r="SS63">
        <v>4.43</v>
      </c>
      <c r="ST63">
        <v>4.43</v>
      </c>
      <c r="SU63">
        <v>4.43</v>
      </c>
      <c r="SV63">
        <v>4.43</v>
      </c>
      <c r="SW63">
        <v>4.43</v>
      </c>
      <c r="SX63">
        <v>4.43</v>
      </c>
      <c r="SY63">
        <v>4.43</v>
      </c>
      <c r="SZ63">
        <v>4.43</v>
      </c>
      <c r="TA63">
        <v>4.43</v>
      </c>
      <c r="TB63">
        <v>4.43</v>
      </c>
      <c r="TC63">
        <v>4.43</v>
      </c>
      <c r="TD63">
        <v>4.43</v>
      </c>
      <c r="TE63">
        <v>4.43</v>
      </c>
      <c r="TF63">
        <v>4.43</v>
      </c>
      <c r="TG63">
        <v>4.43</v>
      </c>
      <c r="TH63">
        <v>4.43</v>
      </c>
      <c r="TI63">
        <v>4.43</v>
      </c>
      <c r="TJ63">
        <v>4.43</v>
      </c>
      <c r="TK63">
        <v>4.43</v>
      </c>
      <c r="TL63">
        <v>4.43</v>
      </c>
      <c r="TM63">
        <v>4.43</v>
      </c>
      <c r="TN63">
        <v>4.43</v>
      </c>
      <c r="TO63">
        <v>4.43</v>
      </c>
      <c r="TP63">
        <v>4.43</v>
      </c>
      <c r="TQ63">
        <v>4.43</v>
      </c>
      <c r="TR63">
        <v>4.43</v>
      </c>
      <c r="TS63">
        <v>4.43</v>
      </c>
      <c r="TT63">
        <v>4.43</v>
      </c>
      <c r="TU63">
        <v>4.43</v>
      </c>
      <c r="TV63">
        <v>4.43</v>
      </c>
      <c r="TW63">
        <v>4.43</v>
      </c>
      <c r="TX63">
        <v>4.43</v>
      </c>
      <c r="TY63">
        <v>4.43</v>
      </c>
      <c r="TZ63">
        <v>4.43</v>
      </c>
      <c r="UA63">
        <v>4.43</v>
      </c>
      <c r="UB63">
        <v>4.43</v>
      </c>
      <c r="UC63">
        <v>4.43</v>
      </c>
      <c r="UD63">
        <v>4.43</v>
      </c>
      <c r="UE63">
        <v>4.43</v>
      </c>
      <c r="UF63">
        <v>4.43</v>
      </c>
      <c r="UG63">
        <v>4.43</v>
      </c>
      <c r="UH63">
        <v>4.43</v>
      </c>
      <c r="UI63">
        <v>4.43</v>
      </c>
      <c r="UJ63">
        <v>4.43</v>
      </c>
      <c r="UK63">
        <v>4.43</v>
      </c>
      <c r="UL63">
        <v>4.43</v>
      </c>
      <c r="UM63">
        <v>4.43</v>
      </c>
      <c r="UN63">
        <v>4.43</v>
      </c>
      <c r="UO63">
        <v>4.43</v>
      </c>
      <c r="UP63">
        <v>4.43</v>
      </c>
      <c r="UQ63">
        <v>4.43</v>
      </c>
      <c r="UR63">
        <v>4.43</v>
      </c>
      <c r="US63">
        <v>4.43</v>
      </c>
      <c r="UT63">
        <v>4.43</v>
      </c>
      <c r="UU63">
        <v>4.43</v>
      </c>
      <c r="UV63">
        <v>4.43</v>
      </c>
      <c r="UW63">
        <v>4.43</v>
      </c>
      <c r="UX63">
        <v>4.43</v>
      </c>
      <c r="UY63">
        <v>4.43</v>
      </c>
      <c r="UZ63">
        <v>4.43</v>
      </c>
      <c r="VA63">
        <v>4.43</v>
      </c>
      <c r="VB63">
        <v>4.43</v>
      </c>
      <c r="VC63">
        <v>4.43</v>
      </c>
      <c r="VD63">
        <v>4.43</v>
      </c>
      <c r="VE63">
        <v>4.43</v>
      </c>
      <c r="VF63">
        <v>4.43</v>
      </c>
      <c r="VG63">
        <v>4.43</v>
      </c>
      <c r="VH63">
        <v>4.43</v>
      </c>
      <c r="VI63">
        <v>4.43</v>
      </c>
      <c r="VJ63">
        <v>4.43</v>
      </c>
      <c r="VK63">
        <v>4.43</v>
      </c>
      <c r="VL63">
        <v>4.43</v>
      </c>
      <c r="VM63">
        <v>4.43</v>
      </c>
      <c r="VN63">
        <v>4.43</v>
      </c>
      <c r="VO63">
        <v>4.43</v>
      </c>
      <c r="VP63">
        <v>4.43</v>
      </c>
      <c r="VQ63">
        <v>4.43</v>
      </c>
      <c r="VR63">
        <v>4.43</v>
      </c>
      <c r="VS63">
        <v>4.43</v>
      </c>
      <c r="VT63">
        <v>4.43</v>
      </c>
      <c r="VU63">
        <v>4.43</v>
      </c>
      <c r="VV63">
        <v>4.43</v>
      </c>
      <c r="VW63">
        <v>4.43</v>
      </c>
      <c r="VX63">
        <v>4.43</v>
      </c>
      <c r="VY63">
        <v>4.43</v>
      </c>
      <c r="VZ63">
        <v>4.43</v>
      </c>
      <c r="WA63">
        <v>4.43</v>
      </c>
      <c r="WB63">
        <v>4.43</v>
      </c>
      <c r="WC63">
        <v>4.43</v>
      </c>
      <c r="WD63">
        <v>4.43</v>
      </c>
      <c r="WE63">
        <v>4.43</v>
      </c>
      <c r="WF63">
        <v>4.43</v>
      </c>
      <c r="WG63">
        <v>4.43</v>
      </c>
      <c r="WH63">
        <v>3.05</v>
      </c>
      <c r="WI63">
        <v>3.05</v>
      </c>
      <c r="WJ63">
        <v>3.05</v>
      </c>
      <c r="WK63">
        <v>3.05</v>
      </c>
      <c r="WL63">
        <v>3.05</v>
      </c>
      <c r="WM63">
        <v>3.05</v>
      </c>
      <c r="WN63">
        <v>3.05</v>
      </c>
      <c r="WO63">
        <v>3.05</v>
      </c>
      <c r="WP63">
        <v>3.05</v>
      </c>
      <c r="WQ63">
        <v>3.05</v>
      </c>
      <c r="WR63">
        <v>3.05</v>
      </c>
      <c r="WS63">
        <v>3.05</v>
      </c>
      <c r="WT63">
        <v>3.05</v>
      </c>
      <c r="WU63">
        <v>3.05</v>
      </c>
      <c r="WV63">
        <v>3.05</v>
      </c>
      <c r="WW63">
        <v>3.05</v>
      </c>
      <c r="WX63">
        <v>3.05</v>
      </c>
      <c r="WY63">
        <v>3.05</v>
      </c>
      <c r="WZ63">
        <v>3.05</v>
      </c>
      <c r="XA63">
        <v>3.05</v>
      </c>
      <c r="XB63">
        <v>3.05</v>
      </c>
      <c r="XC63">
        <v>3.05</v>
      </c>
      <c r="XD63">
        <v>3.05</v>
      </c>
      <c r="XE63">
        <v>3.05</v>
      </c>
      <c r="XF63">
        <v>3.05</v>
      </c>
      <c r="XG63">
        <v>3.05</v>
      </c>
      <c r="XH63">
        <v>3.05</v>
      </c>
      <c r="XI63">
        <v>3.05</v>
      </c>
      <c r="XJ63">
        <v>3.05</v>
      </c>
      <c r="XK63">
        <v>3.05</v>
      </c>
      <c r="XL63">
        <v>3.05</v>
      </c>
      <c r="XM63">
        <v>3.05</v>
      </c>
      <c r="XN63">
        <v>3.05</v>
      </c>
      <c r="XO63">
        <v>3.05</v>
      </c>
      <c r="XP63">
        <v>3.05</v>
      </c>
      <c r="XQ63">
        <v>3.05</v>
      </c>
      <c r="XR63">
        <v>3.05</v>
      </c>
      <c r="XS63">
        <v>3.05</v>
      </c>
      <c r="XT63">
        <v>3.05</v>
      </c>
      <c r="XU63">
        <v>3.05</v>
      </c>
      <c r="XV63">
        <v>3.05</v>
      </c>
      <c r="XW63">
        <v>3.05</v>
      </c>
      <c r="XX63">
        <v>3.05</v>
      </c>
      <c r="XY63">
        <v>3.05</v>
      </c>
      <c r="XZ63">
        <v>3.05</v>
      </c>
      <c r="YA63">
        <v>3.05</v>
      </c>
      <c r="YB63">
        <v>3.05</v>
      </c>
      <c r="YC63">
        <v>3.05</v>
      </c>
      <c r="YD63">
        <v>3.05</v>
      </c>
      <c r="YE63">
        <v>3.05</v>
      </c>
      <c r="YF63">
        <v>3.05</v>
      </c>
      <c r="YG63">
        <v>3.05</v>
      </c>
      <c r="YH63">
        <v>3.05</v>
      </c>
      <c r="YI63">
        <v>3.05</v>
      </c>
      <c r="YJ63">
        <v>3.05</v>
      </c>
      <c r="YK63">
        <v>3.05</v>
      </c>
      <c r="YL63">
        <v>3.05</v>
      </c>
      <c r="YM63">
        <v>3.05</v>
      </c>
      <c r="YN63">
        <v>3.05</v>
      </c>
      <c r="YO63">
        <v>3.05</v>
      </c>
      <c r="YP63">
        <v>3.05</v>
      </c>
      <c r="YQ63">
        <v>3.05</v>
      </c>
      <c r="YR63">
        <v>3.05</v>
      </c>
      <c r="YS63">
        <v>3.05</v>
      </c>
      <c r="YT63">
        <v>3.05</v>
      </c>
      <c r="YU63">
        <v>3.05</v>
      </c>
      <c r="YV63">
        <v>3.05</v>
      </c>
      <c r="YW63">
        <v>3.05</v>
      </c>
      <c r="YX63">
        <v>3.05</v>
      </c>
      <c r="YY63">
        <v>3.05</v>
      </c>
      <c r="YZ63">
        <v>3.05</v>
      </c>
      <c r="ZA63">
        <v>3.05</v>
      </c>
      <c r="ZB63">
        <v>3.05</v>
      </c>
      <c r="ZC63">
        <v>3.05</v>
      </c>
      <c r="ZD63">
        <v>3.05</v>
      </c>
      <c r="ZE63">
        <v>3.05</v>
      </c>
      <c r="ZF63">
        <v>3.05</v>
      </c>
      <c r="ZG63">
        <v>3.05</v>
      </c>
      <c r="ZH63">
        <v>3.05</v>
      </c>
      <c r="ZI63">
        <v>3.05</v>
      </c>
      <c r="ZJ63">
        <v>3.05</v>
      </c>
      <c r="ZK63">
        <v>3.05</v>
      </c>
      <c r="ZL63">
        <v>3.05</v>
      </c>
      <c r="ZM63">
        <v>3.05</v>
      </c>
      <c r="ZN63">
        <v>3.05</v>
      </c>
      <c r="ZO63">
        <v>3.05</v>
      </c>
      <c r="ZP63">
        <v>3.05</v>
      </c>
      <c r="ZQ63">
        <v>3.77</v>
      </c>
      <c r="ZR63">
        <v>3.77</v>
      </c>
      <c r="ZS63">
        <v>3.77</v>
      </c>
      <c r="ZT63">
        <v>3.77</v>
      </c>
      <c r="ZU63">
        <v>3.77</v>
      </c>
      <c r="ZV63">
        <v>3.77</v>
      </c>
      <c r="ZW63">
        <v>3.77</v>
      </c>
      <c r="ZX63">
        <v>3.77</v>
      </c>
      <c r="ZY63">
        <v>3.77</v>
      </c>
      <c r="ZZ63">
        <v>3.77</v>
      </c>
      <c r="AAA63">
        <v>3.77</v>
      </c>
      <c r="AAB63">
        <v>3.77</v>
      </c>
      <c r="AAC63">
        <v>3.77</v>
      </c>
      <c r="AAD63">
        <v>3.77</v>
      </c>
      <c r="AAE63">
        <v>3.77</v>
      </c>
      <c r="AAF63">
        <v>3.77</v>
      </c>
      <c r="AAG63">
        <v>3.77</v>
      </c>
      <c r="AAH63">
        <v>3.77</v>
      </c>
      <c r="AAI63">
        <v>3.77</v>
      </c>
      <c r="AAJ63">
        <v>3.77</v>
      </c>
      <c r="AAK63">
        <v>3.77</v>
      </c>
      <c r="AAL63">
        <v>3.77</v>
      </c>
      <c r="AAM63">
        <v>3.77</v>
      </c>
      <c r="AAN63">
        <v>3.77</v>
      </c>
      <c r="AAO63">
        <v>3.77</v>
      </c>
      <c r="AAP63">
        <v>3.77</v>
      </c>
      <c r="AAQ63">
        <v>3.77</v>
      </c>
      <c r="AAR63">
        <v>3.77</v>
      </c>
      <c r="AAS63">
        <v>3.77</v>
      </c>
      <c r="AAT63">
        <v>3.77</v>
      </c>
      <c r="AAU63">
        <v>3.77</v>
      </c>
      <c r="AAV63">
        <v>3.77</v>
      </c>
      <c r="AAW63">
        <v>3.77</v>
      </c>
      <c r="AAX63">
        <v>3.77</v>
      </c>
      <c r="AAY63">
        <v>3.77</v>
      </c>
      <c r="AAZ63">
        <v>3.77</v>
      </c>
      <c r="ABA63">
        <v>3.77</v>
      </c>
      <c r="ABB63">
        <v>3.77</v>
      </c>
      <c r="ABC63">
        <v>3.77</v>
      </c>
      <c r="ABD63">
        <v>3.77</v>
      </c>
      <c r="ABE63">
        <v>3.77</v>
      </c>
      <c r="ABF63">
        <v>3.77</v>
      </c>
      <c r="ABG63">
        <v>3.77</v>
      </c>
      <c r="ABH63">
        <v>3.77</v>
      </c>
      <c r="ABI63">
        <v>3.77</v>
      </c>
      <c r="ABJ63">
        <v>3.77</v>
      </c>
      <c r="ABK63">
        <v>3.77</v>
      </c>
      <c r="ABL63">
        <v>3.77</v>
      </c>
      <c r="ABM63">
        <v>3.77</v>
      </c>
      <c r="ABN63">
        <v>3.77</v>
      </c>
      <c r="ABO63">
        <v>3.77</v>
      </c>
      <c r="ABP63">
        <v>3.77</v>
      </c>
      <c r="ABQ63">
        <v>3.77</v>
      </c>
      <c r="ABR63">
        <v>3.77</v>
      </c>
      <c r="ABS63">
        <v>3.77</v>
      </c>
      <c r="ABT63">
        <v>3.77</v>
      </c>
      <c r="ABU63">
        <v>3.77</v>
      </c>
      <c r="ABV63">
        <v>3.77</v>
      </c>
      <c r="ABW63">
        <v>3.77</v>
      </c>
      <c r="ABX63">
        <v>3.77</v>
      </c>
      <c r="ABY63">
        <v>3.77</v>
      </c>
      <c r="ABZ63">
        <v>3.77</v>
      </c>
      <c r="ACA63">
        <v>3.77</v>
      </c>
      <c r="ACB63">
        <v>3.77</v>
      </c>
      <c r="ACC63">
        <v>3.77</v>
      </c>
      <c r="ACD63">
        <v>3.77</v>
      </c>
      <c r="ACE63">
        <v>3.77</v>
      </c>
      <c r="ACF63">
        <v>3.77</v>
      </c>
      <c r="ACG63">
        <v>3.77</v>
      </c>
      <c r="ACH63">
        <v>3.77</v>
      </c>
      <c r="ACI63">
        <v>3.77</v>
      </c>
      <c r="ACJ63">
        <v>3.77</v>
      </c>
      <c r="ACK63">
        <v>3.77</v>
      </c>
      <c r="ACL63">
        <v>3.77</v>
      </c>
      <c r="ACM63">
        <v>3.77</v>
      </c>
      <c r="ACN63">
        <v>3.77</v>
      </c>
      <c r="ACO63">
        <v>3.77</v>
      </c>
      <c r="ACP63">
        <v>3.77</v>
      </c>
      <c r="ACQ63">
        <v>3.77</v>
      </c>
      <c r="ACR63">
        <v>3.77</v>
      </c>
      <c r="ACS63">
        <v>3.77</v>
      </c>
      <c r="ACT63">
        <v>3.77</v>
      </c>
      <c r="ACU63">
        <v>3.77</v>
      </c>
      <c r="ACV63">
        <v>3.77</v>
      </c>
      <c r="ACW63">
        <v>3.77</v>
      </c>
      <c r="ACX63">
        <v>3.77</v>
      </c>
      <c r="ACY63">
        <v>3.77</v>
      </c>
      <c r="ACZ63">
        <v>3.77</v>
      </c>
      <c r="ADA63">
        <v>3.77</v>
      </c>
      <c r="ADB63">
        <v>3.77</v>
      </c>
      <c r="ADC63">
        <v>3.77</v>
      </c>
      <c r="ADD63">
        <v>3.77</v>
      </c>
      <c r="ADE63">
        <v>3.77</v>
      </c>
      <c r="ADF63">
        <v>3.77</v>
      </c>
      <c r="ADG63">
        <v>3.77</v>
      </c>
      <c r="ADH63">
        <v>3.77</v>
      </c>
      <c r="ADI63">
        <v>3.77</v>
      </c>
      <c r="ADJ63">
        <v>3.77</v>
      </c>
      <c r="ADK63">
        <v>3.77</v>
      </c>
      <c r="ADL63">
        <v>3.77</v>
      </c>
      <c r="ADM63">
        <v>3.77</v>
      </c>
      <c r="ADN63">
        <v>3.77</v>
      </c>
      <c r="ADO63">
        <v>3.77</v>
      </c>
      <c r="ADP63">
        <v>3.77</v>
      </c>
      <c r="ADQ63">
        <v>3.77</v>
      </c>
      <c r="ADR63">
        <v>3.77</v>
      </c>
      <c r="ADS63">
        <v>3.77</v>
      </c>
      <c r="ADT63">
        <v>3.77</v>
      </c>
      <c r="ADU63">
        <v>3.77</v>
      </c>
      <c r="ADV63">
        <v>3.77</v>
      </c>
      <c r="ADW63">
        <v>3.77</v>
      </c>
      <c r="ADX63">
        <v>3.77</v>
      </c>
      <c r="ADY63">
        <v>3.77</v>
      </c>
      <c r="ADZ63">
        <v>3.77</v>
      </c>
      <c r="AEA63">
        <v>3.77</v>
      </c>
      <c r="AEB63">
        <v>3.77</v>
      </c>
      <c r="AEC63">
        <v>3.77</v>
      </c>
      <c r="AED63">
        <v>3.77</v>
      </c>
      <c r="AEE63">
        <v>3.77</v>
      </c>
      <c r="AEF63">
        <v>3.77</v>
      </c>
      <c r="AEG63">
        <v>3.77</v>
      </c>
      <c r="AEH63">
        <v>3.77</v>
      </c>
      <c r="AEI63">
        <v>3.77</v>
      </c>
      <c r="AEJ63">
        <v>3.77</v>
      </c>
      <c r="AEK63">
        <v>3.77</v>
      </c>
      <c r="AEL63">
        <v>3.77</v>
      </c>
      <c r="AEM63">
        <v>3.77</v>
      </c>
      <c r="AEN63">
        <v>3.77</v>
      </c>
      <c r="AEO63">
        <v>3.77</v>
      </c>
      <c r="AEP63">
        <v>3.77</v>
      </c>
      <c r="AEQ63">
        <v>3.77</v>
      </c>
      <c r="AER63">
        <v>3.77</v>
      </c>
      <c r="AES63">
        <v>3.77</v>
      </c>
      <c r="AET63">
        <v>3.77</v>
      </c>
      <c r="AEU63">
        <v>3.77</v>
      </c>
      <c r="AEV63">
        <v>3.77</v>
      </c>
      <c r="AEW63">
        <v>3.77</v>
      </c>
      <c r="AEX63">
        <v>3.77</v>
      </c>
      <c r="AEY63">
        <v>3.77</v>
      </c>
      <c r="AEZ63">
        <v>3.77</v>
      </c>
      <c r="AFA63">
        <v>3.77</v>
      </c>
      <c r="AFB63">
        <v>3.77</v>
      </c>
      <c r="AFC63">
        <v>3.77</v>
      </c>
      <c r="AFD63">
        <v>3.77</v>
      </c>
      <c r="AFE63">
        <v>3.77</v>
      </c>
      <c r="AFF63">
        <v>3.77</v>
      </c>
      <c r="AFG63">
        <v>3.77</v>
      </c>
      <c r="AFH63">
        <v>3.77</v>
      </c>
      <c r="AFI63">
        <v>3.77</v>
      </c>
      <c r="AFJ63">
        <v>3.77</v>
      </c>
      <c r="AFK63">
        <v>3.77</v>
      </c>
      <c r="AFL63">
        <v>3.77</v>
      </c>
      <c r="AFM63">
        <v>3.77</v>
      </c>
      <c r="AFN63">
        <v>3.77</v>
      </c>
      <c r="AFO63">
        <v>3.77</v>
      </c>
      <c r="AFP63">
        <v>3.77</v>
      </c>
      <c r="AFQ63">
        <v>3.77</v>
      </c>
      <c r="AFR63">
        <v>3.77</v>
      </c>
      <c r="AFS63">
        <v>3.77</v>
      </c>
      <c r="AFT63">
        <v>3.77</v>
      </c>
      <c r="AFU63">
        <v>3.77</v>
      </c>
      <c r="AFV63">
        <v>3.77</v>
      </c>
      <c r="AFW63">
        <v>3.77</v>
      </c>
      <c r="AFX63">
        <v>3.77</v>
      </c>
      <c r="AFY63">
        <v>3.77</v>
      </c>
      <c r="AFZ63">
        <v>3.77</v>
      </c>
      <c r="AGA63">
        <v>3.77</v>
      </c>
      <c r="AGB63">
        <v>3.77</v>
      </c>
      <c r="AGC63">
        <v>3.77</v>
      </c>
      <c r="AGD63">
        <v>3.77</v>
      </c>
      <c r="AGE63">
        <v>3.77</v>
      </c>
      <c r="AGF63">
        <v>3.77</v>
      </c>
      <c r="AGG63">
        <v>3.77</v>
      </c>
      <c r="AGH63">
        <v>3.77</v>
      </c>
      <c r="AGI63">
        <v>3.77</v>
      </c>
      <c r="AGJ63">
        <v>3.77</v>
      </c>
      <c r="AGK63">
        <v>3.77</v>
      </c>
      <c r="AGL63">
        <v>3.77</v>
      </c>
      <c r="AGM63">
        <v>3.77</v>
      </c>
      <c r="AGN63">
        <v>3.77</v>
      </c>
      <c r="AGO63">
        <v>3.77</v>
      </c>
      <c r="AGP63">
        <v>3.77</v>
      </c>
      <c r="AGQ63">
        <v>3.77</v>
      </c>
      <c r="AGR63">
        <v>3.77</v>
      </c>
      <c r="AGS63">
        <v>3.77</v>
      </c>
      <c r="AGT63">
        <v>3.77</v>
      </c>
      <c r="AGU63">
        <v>3.77</v>
      </c>
      <c r="AGV63">
        <v>3.77</v>
      </c>
      <c r="AGW63">
        <v>3.77</v>
      </c>
      <c r="AGX63">
        <v>3.77</v>
      </c>
      <c r="AGY63">
        <v>3.77</v>
      </c>
      <c r="AGZ63">
        <v>3.77</v>
      </c>
      <c r="AHA63">
        <v>3.77</v>
      </c>
      <c r="AHB63">
        <v>3.77</v>
      </c>
      <c r="AHC63">
        <v>3.77</v>
      </c>
      <c r="AHD63">
        <v>3.77</v>
      </c>
      <c r="AHE63">
        <v>3.77</v>
      </c>
      <c r="AHF63">
        <v>3.77</v>
      </c>
      <c r="AHG63">
        <v>3.77</v>
      </c>
      <c r="AHH63">
        <v>3.77</v>
      </c>
      <c r="AHI63">
        <v>3.77</v>
      </c>
      <c r="AHJ63">
        <v>3.77</v>
      </c>
      <c r="AHK63">
        <v>3.77</v>
      </c>
      <c r="AHL63">
        <v>3.77</v>
      </c>
      <c r="AHM63">
        <v>3.77</v>
      </c>
      <c r="AHN63">
        <v>3.77</v>
      </c>
      <c r="AHO63">
        <v>3.77</v>
      </c>
      <c r="AHP63">
        <v>3.77</v>
      </c>
      <c r="AHQ63">
        <v>3.77</v>
      </c>
      <c r="AHR63">
        <v>3.77</v>
      </c>
      <c r="AHS63">
        <v>3.77</v>
      </c>
      <c r="AHT63">
        <v>3.77</v>
      </c>
      <c r="AHU63">
        <v>3.77</v>
      </c>
      <c r="AHV63">
        <v>3.77</v>
      </c>
      <c r="AHW63">
        <v>3.77</v>
      </c>
      <c r="AHX63">
        <v>3.77</v>
      </c>
      <c r="AHY63">
        <v>3.77</v>
      </c>
      <c r="AHZ63">
        <v>3.77</v>
      </c>
      <c r="AIA63">
        <v>3.77</v>
      </c>
      <c r="AIB63">
        <v>3.77</v>
      </c>
      <c r="AIC63">
        <v>3.77</v>
      </c>
      <c r="AID63">
        <v>3.77</v>
      </c>
      <c r="AIE63">
        <v>3.77</v>
      </c>
      <c r="AIF63">
        <v>3.77</v>
      </c>
      <c r="AIG63">
        <v>3.77</v>
      </c>
      <c r="AIH63">
        <v>3.77</v>
      </c>
      <c r="AII63">
        <v>3.77</v>
      </c>
      <c r="AIJ63">
        <v>3.77</v>
      </c>
      <c r="AIK63">
        <v>3.77</v>
      </c>
      <c r="AIL63">
        <v>3.77</v>
      </c>
      <c r="AIM63">
        <v>3.77</v>
      </c>
      <c r="AIN63">
        <v>3.77</v>
      </c>
      <c r="AIO63">
        <v>3.77</v>
      </c>
      <c r="AIP63">
        <v>3.77</v>
      </c>
      <c r="AIQ63">
        <v>3.77</v>
      </c>
      <c r="AIR63">
        <v>3.77</v>
      </c>
      <c r="AIS63">
        <v>3.77</v>
      </c>
      <c r="AIT63">
        <v>3.77</v>
      </c>
      <c r="AIU63">
        <v>3.77</v>
      </c>
      <c r="AIV63">
        <v>3.77</v>
      </c>
      <c r="AIW63">
        <v>3.77</v>
      </c>
      <c r="AIX63">
        <v>3.77</v>
      </c>
      <c r="AIY63">
        <v>3.77</v>
      </c>
      <c r="AIZ63">
        <v>3.77</v>
      </c>
      <c r="AJA63">
        <v>3.77</v>
      </c>
      <c r="AJB63">
        <v>3.77</v>
      </c>
      <c r="AJC63">
        <v>3.77</v>
      </c>
      <c r="AJD63">
        <v>3.77</v>
      </c>
      <c r="AJE63">
        <v>3.77</v>
      </c>
      <c r="AJF63">
        <v>3.77</v>
      </c>
      <c r="AJG63">
        <v>3.77</v>
      </c>
      <c r="AJH63">
        <v>3.77</v>
      </c>
      <c r="AJI63">
        <v>3.77</v>
      </c>
      <c r="AJJ63">
        <v>3.77</v>
      </c>
      <c r="AJK63">
        <v>3.77</v>
      </c>
      <c r="AJL63">
        <v>3.77</v>
      </c>
      <c r="AJM63">
        <v>3.77</v>
      </c>
      <c r="AJN63">
        <v>3.77</v>
      </c>
      <c r="AJO63">
        <v>3.77</v>
      </c>
      <c r="AJP63">
        <v>3.77</v>
      </c>
      <c r="AJQ63">
        <v>3.77</v>
      </c>
      <c r="AJR63">
        <f t="shared" ref="AJR63:AKA63" si="56">SUM(AJR64:AJR66)</f>
        <v>3.0303856842463661</v>
      </c>
      <c r="AJS63">
        <f t="shared" si="56"/>
        <v>3.0303856842463661</v>
      </c>
      <c r="AJT63">
        <f t="shared" si="56"/>
        <v>3.3353846153846156</v>
      </c>
      <c r="AJU63">
        <f t="shared" si="56"/>
        <v>3.1014492753623184</v>
      </c>
      <c r="AJV63">
        <f t="shared" si="56"/>
        <v>3.333333333333333</v>
      </c>
      <c r="AJW63">
        <f t="shared" si="56"/>
        <v>2.602731681142354</v>
      </c>
      <c r="AJX63">
        <f t="shared" si="56"/>
        <v>2.7294576856406136</v>
      </c>
      <c r="AJY63">
        <f t="shared" si="56"/>
        <v>2.5547350377121205</v>
      </c>
      <c r="AJZ63">
        <f t="shared" si="56"/>
        <v>2.7041696583944108</v>
      </c>
      <c r="AKA63">
        <f t="shared" si="56"/>
        <v>3.9074605084690628</v>
      </c>
      <c r="AKB63">
        <f t="shared" ref="AKB63" si="57">SUM(AKB64:AKB66)</f>
        <v>3.9074605084690628</v>
      </c>
      <c r="AKC63">
        <f t="shared" ref="AKC63" si="58">SUM(AKC64:AKC66)</f>
        <v>3.9074605084690557</v>
      </c>
      <c r="AKD63">
        <f t="shared" ref="AKD63" si="59">SUM(AKD64:AKD66)</f>
        <v>3.9074605084690557</v>
      </c>
      <c r="AKE63">
        <f t="shared" ref="AKE63" si="60">SUM(AKE64:AKE66)</f>
        <v>3.9074605084690557</v>
      </c>
      <c r="AKF63">
        <f t="shared" ref="AKF63" si="61">SUM(AKF64:AKF66)</f>
        <v>3.9074605084690557</v>
      </c>
      <c r="AKG63">
        <f t="shared" ref="AKG63" si="62">SUM(AKG64:AKG66)</f>
        <v>3.9074605084690557</v>
      </c>
      <c r="AKN63">
        <f>AKN64+AKN65+AKN66</f>
        <v>4.5533333333333328</v>
      </c>
      <c r="AKO63">
        <f>AKO64+AKO65+AKO66</f>
        <v>3.7409217649831965</v>
      </c>
      <c r="AKP63">
        <f>AKP64+AKP65+AKP66</f>
        <v>4.7724137931034489</v>
      </c>
      <c r="AKQ63">
        <f>AKQ64+AKQ65+AKQ66</f>
        <v>4.7706487695749447</v>
      </c>
      <c r="AKR63">
        <f>AKR64+AKR65+AKR66</f>
        <v>4.5271118721461185</v>
      </c>
      <c r="AKU63">
        <v>21.327000000000002</v>
      </c>
      <c r="AKV63">
        <v>21.327000000000002</v>
      </c>
      <c r="AKW63">
        <v>21.327000000000002</v>
      </c>
    </row>
    <row r="64" spans="1:985" ht="14.4" customHeight="1" x14ac:dyDescent="0.55000000000000004">
      <c r="A64" t="s">
        <v>455</v>
      </c>
      <c r="B64" t="s">
        <v>649</v>
      </c>
      <c r="C64" s="1" t="s">
        <v>649</v>
      </c>
      <c r="AJR64">
        <v>2.2214179917087105</v>
      </c>
      <c r="AJS64">
        <v>2.2214179917087105</v>
      </c>
      <c r="AJT64">
        <v>2.5923076923076924</v>
      </c>
      <c r="AJU64">
        <v>2.5489130434782608</v>
      </c>
      <c r="AJV64">
        <v>2.4907407407407409</v>
      </c>
      <c r="AJW64">
        <v>2.3409893992932864</v>
      </c>
      <c r="AJX64">
        <v>2.6115241635687734</v>
      </c>
      <c r="AJY64">
        <v>2.4255319148936172</v>
      </c>
      <c r="AJZ64">
        <v>2.5773584905660378</v>
      </c>
      <c r="AKA64">
        <v>2.4453032154527743</v>
      </c>
      <c r="AKB64">
        <v>2.4453032154527743</v>
      </c>
      <c r="AKC64">
        <v>2.4453032154527699</v>
      </c>
      <c r="AKD64">
        <v>2.4453032154527699</v>
      </c>
      <c r="AKE64">
        <v>2.4453032154527699</v>
      </c>
      <c r="AKF64">
        <v>2.4453032154527699</v>
      </c>
      <c r="AKG64">
        <v>2.4453032154527699</v>
      </c>
      <c r="AKN64">
        <v>2.3666666666666667</v>
      </c>
      <c r="AKO64">
        <v>0.79636865106079768</v>
      </c>
      <c r="AKP64">
        <v>3.5379310344827588</v>
      </c>
      <c r="AKQ64">
        <v>3.4973154362416108</v>
      </c>
      <c r="AKR64">
        <v>3.2876712328767121</v>
      </c>
    </row>
    <row r="65" spans="1:985" ht="14.4" customHeight="1" x14ac:dyDescent="0.55000000000000004">
      <c r="A65" t="s">
        <v>456</v>
      </c>
      <c r="B65" t="s">
        <v>650</v>
      </c>
      <c r="C65" s="1" t="s">
        <v>650</v>
      </c>
      <c r="AJR65">
        <v>0.36702506310236704</v>
      </c>
      <c r="AJS65">
        <v>0.36702506310236704</v>
      </c>
      <c r="AJT65">
        <v>0.50923076923076926</v>
      </c>
      <c r="AJU65">
        <v>0.35326086956521741</v>
      </c>
      <c r="AJV65">
        <v>0.38194444444444442</v>
      </c>
      <c r="AJW65">
        <v>0.12640339785376317</v>
      </c>
      <c r="AJX65">
        <v>7.8147943242032475E-2</v>
      </c>
      <c r="AJY65">
        <v>9.129829458529834E-2</v>
      </c>
      <c r="AJZ65">
        <v>1.3725379197877415E-2</v>
      </c>
      <c r="AKA65">
        <v>1.0902756775657829</v>
      </c>
      <c r="AKB65">
        <v>1.0902756775657829</v>
      </c>
      <c r="AKC65">
        <v>1.09027567756578</v>
      </c>
      <c r="AKD65">
        <v>1.09027567756578</v>
      </c>
      <c r="AKE65">
        <v>1.09027567756578</v>
      </c>
      <c r="AKF65">
        <v>1.09027567756578</v>
      </c>
      <c r="AKG65">
        <v>1.09027567756578</v>
      </c>
      <c r="AKN65">
        <v>1.1599999999999999</v>
      </c>
      <c r="AKO65">
        <v>1.5039685323343197</v>
      </c>
      <c r="AKP65">
        <v>0.44827586206896552</v>
      </c>
      <c r="AKQ65">
        <v>0.52666666666666662</v>
      </c>
      <c r="AKR65">
        <v>0.47916666666666669</v>
      </c>
    </row>
    <row r="66" spans="1:985" ht="14.4" customHeight="1" x14ac:dyDescent="0.55000000000000004">
      <c r="A66" t="s">
        <v>457</v>
      </c>
      <c r="B66" t="s">
        <v>651</v>
      </c>
      <c r="C66" s="1" t="s">
        <v>651</v>
      </c>
      <c r="AJR66">
        <v>0.44194262943528878</v>
      </c>
      <c r="AJS66">
        <v>0.44194262943528878</v>
      </c>
      <c r="AJT66">
        <v>0.23384615384615384</v>
      </c>
      <c r="AJU66">
        <v>0.19927536231884058</v>
      </c>
      <c r="AJV66">
        <v>0.46064814814814814</v>
      </c>
      <c r="AJW66">
        <v>0.13533888399530447</v>
      </c>
      <c r="AJX66">
        <v>3.9785578829807842E-2</v>
      </c>
      <c r="AJY66">
        <v>3.7904828233205054E-2</v>
      </c>
      <c r="AJZ66">
        <v>0.11308578863049538</v>
      </c>
      <c r="AKA66">
        <v>0.3718816154505058</v>
      </c>
      <c r="AKB66">
        <v>0.3718816154505058</v>
      </c>
      <c r="AKC66">
        <v>0.37188161545050602</v>
      </c>
      <c r="AKD66">
        <v>0.37188161545050602</v>
      </c>
      <c r="AKE66">
        <v>0.37188161545050602</v>
      </c>
      <c r="AKF66">
        <v>0.37188161545050602</v>
      </c>
      <c r="AKG66">
        <v>0.37188161545050602</v>
      </c>
      <c r="AKN66">
        <v>1.0266666666666666</v>
      </c>
      <c r="AKO66">
        <v>1.4405845815880789</v>
      </c>
      <c r="AKP66">
        <v>0.78620689655172415</v>
      </c>
      <c r="AKQ66">
        <v>0.7466666666666667</v>
      </c>
      <c r="AKR66">
        <v>0.76027397260273977</v>
      </c>
    </row>
    <row r="67" spans="1:985" ht="14.4" customHeight="1" x14ac:dyDescent="0.55000000000000004">
      <c r="A67" t="s">
        <v>655</v>
      </c>
      <c r="B67" t="s">
        <v>652</v>
      </c>
      <c r="C67" s="1" t="s">
        <v>654</v>
      </c>
      <c r="CA67">
        <v>1006</v>
      </c>
      <c r="CB67">
        <v>4456.4799999999996</v>
      </c>
      <c r="CC67">
        <v>4456.4799999999996</v>
      </c>
      <c r="CD67">
        <v>4456.4799999999996</v>
      </c>
      <c r="CE67">
        <v>4456.4799999999996</v>
      </c>
      <c r="CF67">
        <v>4456.4799999999996</v>
      </c>
      <c r="CG67">
        <v>4456.4799999999996</v>
      </c>
      <c r="CH67">
        <v>4456.4799999999996</v>
      </c>
      <c r="CI67">
        <v>4456.4799999999996</v>
      </c>
      <c r="CJ67">
        <v>4456.4799999999996</v>
      </c>
      <c r="CK67">
        <v>4456.4799999999996</v>
      </c>
      <c r="CL67">
        <v>4456.4799999999996</v>
      </c>
      <c r="CM67">
        <v>4456.4799999999996</v>
      </c>
      <c r="CN67">
        <v>4456.4799999999996</v>
      </c>
      <c r="CO67">
        <v>4456.4799999999996</v>
      </c>
      <c r="CP67">
        <v>4456.4799999999996</v>
      </c>
      <c r="CQ67">
        <v>4456.4799999999996</v>
      </c>
      <c r="CR67">
        <v>4456.4799999999996</v>
      </c>
      <c r="CS67">
        <v>4456.4799999999996</v>
      </c>
      <c r="CT67">
        <v>4456.4799999999996</v>
      </c>
      <c r="CU67">
        <v>4456.4799999999996</v>
      </c>
      <c r="CV67">
        <v>4456.4799999999996</v>
      </c>
      <c r="CW67">
        <v>4456.4799999999996</v>
      </c>
      <c r="CX67">
        <v>4456.4799999999996</v>
      </c>
      <c r="CY67">
        <v>4456.4799999999996</v>
      </c>
      <c r="CZ67">
        <v>4456.4799999999996</v>
      </c>
      <c r="DA67">
        <v>4456.4799999999996</v>
      </c>
      <c r="DB67">
        <v>4456.4799999999996</v>
      </c>
      <c r="DC67">
        <v>4456.4799999999996</v>
      </c>
      <c r="DD67">
        <v>4456.4799999999996</v>
      </c>
      <c r="DE67">
        <v>4456.4799999999996</v>
      </c>
      <c r="DF67">
        <v>4456.4799999999996</v>
      </c>
      <c r="DG67">
        <v>4456.4799999999996</v>
      </c>
      <c r="DH67">
        <v>4456.4799999999996</v>
      </c>
      <c r="DI67">
        <v>4456.4799999999996</v>
      </c>
      <c r="DJ67">
        <v>4456.4799999999996</v>
      </c>
      <c r="DK67">
        <v>4456.4799999999996</v>
      </c>
      <c r="DL67">
        <v>4456.4799999999996</v>
      </c>
      <c r="DM67">
        <v>4456.4799999999996</v>
      </c>
      <c r="DN67">
        <v>4456.4799999999996</v>
      </c>
      <c r="DO67">
        <v>4456.4799999999996</v>
      </c>
      <c r="DP67">
        <v>4456.4799999999996</v>
      </c>
      <c r="DQ67">
        <v>4456.4799999999996</v>
      </c>
      <c r="DR67">
        <v>4456.4799999999996</v>
      </c>
      <c r="DS67">
        <v>4456.4799999999996</v>
      </c>
      <c r="DT67">
        <v>4456.4799999999996</v>
      </c>
      <c r="DU67">
        <v>4456.4799999999996</v>
      </c>
      <c r="DV67">
        <v>4456.4799999999996</v>
      </c>
      <c r="DW67">
        <v>4456.4799999999996</v>
      </c>
      <c r="DX67">
        <v>4456.4799999999996</v>
      </c>
      <c r="DY67">
        <v>4456.4799999999996</v>
      </c>
      <c r="DZ67">
        <v>4456.4799999999996</v>
      </c>
      <c r="EA67">
        <v>4456.4799999999996</v>
      </c>
      <c r="EB67">
        <v>1006</v>
      </c>
      <c r="EC67">
        <v>4456.4799999999996</v>
      </c>
      <c r="ED67">
        <v>4456.4799999999996</v>
      </c>
      <c r="EE67">
        <v>4456.4799999999996</v>
      </c>
      <c r="EF67">
        <v>4456.4799999999996</v>
      </c>
      <c r="EG67">
        <v>4456.4799999999996</v>
      </c>
      <c r="EH67">
        <v>4456.4799999999996</v>
      </c>
      <c r="EI67">
        <v>4456.4799999999996</v>
      </c>
      <c r="EJ67">
        <v>4456.4799999999996</v>
      </c>
      <c r="EK67">
        <v>4456.4799999999996</v>
      </c>
      <c r="EL67">
        <v>4456.4799999999996</v>
      </c>
      <c r="EM67">
        <v>4456.4799999999996</v>
      </c>
      <c r="EN67">
        <v>4456.4799999999996</v>
      </c>
      <c r="EO67">
        <v>4456.4799999999996</v>
      </c>
      <c r="EP67">
        <v>4456.4799999999996</v>
      </c>
      <c r="EQ67">
        <v>4456.4799999999996</v>
      </c>
      <c r="ER67">
        <v>4456.4799999999996</v>
      </c>
      <c r="ES67">
        <v>4456.4799999999996</v>
      </c>
      <c r="ET67">
        <v>4456.4799999999996</v>
      </c>
      <c r="EU67">
        <v>4456.4799999999996</v>
      </c>
      <c r="EV67">
        <v>4456.4799999999996</v>
      </c>
      <c r="EW67">
        <v>4456.4799999999996</v>
      </c>
      <c r="EX67">
        <v>4456.4799999999996</v>
      </c>
      <c r="EY67">
        <v>4456.4799999999996</v>
      </c>
      <c r="EZ67">
        <v>4456.4799999999996</v>
      </c>
      <c r="FA67">
        <v>4456.4799999999996</v>
      </c>
      <c r="FB67">
        <v>4456.4799999999996</v>
      </c>
      <c r="FC67">
        <v>4456.4799999999996</v>
      </c>
      <c r="FD67">
        <v>4456.4799999999996</v>
      </c>
      <c r="FE67">
        <v>4456.4799999999996</v>
      </c>
      <c r="FF67">
        <v>4456.4799999999996</v>
      </c>
      <c r="FG67">
        <v>4456.4799999999996</v>
      </c>
      <c r="FH67">
        <v>4456.4799999999996</v>
      </c>
      <c r="FI67">
        <v>4456.4799999999996</v>
      </c>
      <c r="FJ67">
        <v>4456.4799999999996</v>
      </c>
      <c r="FK67">
        <v>4456.4799999999996</v>
      </c>
      <c r="FL67">
        <v>4456.4799999999996</v>
      </c>
      <c r="FM67">
        <v>4456.4799999999996</v>
      </c>
      <c r="FN67">
        <v>4456.4799999999996</v>
      </c>
      <c r="FO67">
        <v>4456.4799999999996</v>
      </c>
      <c r="FP67">
        <v>4456.4799999999996</v>
      </c>
      <c r="FQ67">
        <v>4456.4799999999996</v>
      </c>
      <c r="FR67">
        <v>4456.4799999999996</v>
      </c>
      <c r="FS67">
        <v>4456.4799999999996</v>
      </c>
      <c r="FT67">
        <v>4456.4799999999996</v>
      </c>
      <c r="FU67">
        <v>4456.4799999999996</v>
      </c>
      <c r="FV67">
        <v>4456.4799999999996</v>
      </c>
      <c r="FW67">
        <v>4456.4799999999996</v>
      </c>
      <c r="FX67">
        <v>4456.4799999999996</v>
      </c>
      <c r="FY67">
        <v>4456.4799999999996</v>
      </c>
      <c r="FZ67">
        <v>4456.4799999999996</v>
      </c>
      <c r="GA67">
        <v>4456.4799999999996</v>
      </c>
      <c r="GB67">
        <v>4456.4799999999996</v>
      </c>
      <c r="GC67">
        <v>1006</v>
      </c>
      <c r="GD67">
        <v>4456.4799999999996</v>
      </c>
      <c r="GE67">
        <v>4456.4799999999996</v>
      </c>
      <c r="GF67">
        <v>4456.4799999999996</v>
      </c>
      <c r="GG67">
        <v>4456.4799999999996</v>
      </c>
      <c r="GH67">
        <v>4456.4799999999996</v>
      </c>
      <c r="GI67">
        <v>4456.4799999999996</v>
      </c>
      <c r="GJ67">
        <v>4456.4799999999996</v>
      </c>
      <c r="GK67">
        <v>4456.4799999999996</v>
      </c>
      <c r="GL67">
        <v>4456.4799999999996</v>
      </c>
      <c r="GM67">
        <v>4456.4799999999996</v>
      </c>
      <c r="GN67">
        <v>4456.4799999999996</v>
      </c>
      <c r="GO67">
        <v>4456.4799999999996</v>
      </c>
      <c r="GP67">
        <v>4456.4799999999996</v>
      </c>
      <c r="GQ67">
        <v>4456.4799999999996</v>
      </c>
      <c r="GR67">
        <v>4456.4799999999996</v>
      </c>
      <c r="GS67">
        <v>4456.4799999999996</v>
      </c>
      <c r="GT67">
        <v>4456.4799999999996</v>
      </c>
      <c r="GU67">
        <v>4456.4799999999996</v>
      </c>
      <c r="GV67">
        <v>4456.4799999999996</v>
      </c>
      <c r="GW67">
        <v>4456.4799999999996</v>
      </c>
      <c r="GX67">
        <v>4456.4799999999996</v>
      </c>
      <c r="GY67">
        <v>4456.4799999999996</v>
      </c>
      <c r="GZ67">
        <v>4456.4799999999996</v>
      </c>
      <c r="HA67">
        <v>4456.4799999999996</v>
      </c>
      <c r="HB67">
        <v>4456.4799999999996</v>
      </c>
      <c r="HC67">
        <v>4456.4799999999996</v>
      </c>
      <c r="HD67">
        <v>4456.4799999999996</v>
      </c>
      <c r="HE67">
        <v>4456.4799999999996</v>
      </c>
      <c r="HF67">
        <v>4456.4799999999996</v>
      </c>
      <c r="HG67">
        <v>4456.4799999999996</v>
      </c>
      <c r="HH67">
        <v>4456.4799999999996</v>
      </c>
      <c r="HI67">
        <v>4456.4799999999996</v>
      </c>
      <c r="HJ67">
        <v>4456.4799999999996</v>
      </c>
      <c r="HK67">
        <v>4456.4799999999996</v>
      </c>
      <c r="HL67">
        <v>4456.4799999999996</v>
      </c>
      <c r="HM67">
        <v>4456.4799999999996</v>
      </c>
      <c r="HN67">
        <v>4456.4799999999996</v>
      </c>
      <c r="HO67">
        <v>4456.4799999999996</v>
      </c>
      <c r="HP67">
        <v>4456.4799999999996</v>
      </c>
      <c r="HQ67">
        <v>4456.4799999999996</v>
      </c>
      <c r="HR67">
        <v>4456.4799999999996</v>
      </c>
      <c r="HS67">
        <v>4456.4799999999996</v>
      </c>
      <c r="HT67">
        <v>4456.4799999999996</v>
      </c>
      <c r="HU67">
        <v>4456.4799999999996</v>
      </c>
      <c r="HV67">
        <v>4456.4799999999996</v>
      </c>
      <c r="HW67">
        <v>4456.4799999999996</v>
      </c>
      <c r="HX67">
        <v>4456.4799999999996</v>
      </c>
      <c r="HY67">
        <v>4456.4799999999996</v>
      </c>
      <c r="HZ67">
        <v>4456.4799999999996</v>
      </c>
      <c r="IA67">
        <v>4456.4799999999996</v>
      </c>
      <c r="IB67">
        <v>4456.4799999999996</v>
      </c>
      <c r="IC67">
        <v>4456.4799999999996</v>
      </c>
      <c r="ID67">
        <v>4456.4799999999996</v>
      </c>
      <c r="IE67">
        <v>4456.4799999999996</v>
      </c>
      <c r="IF67">
        <v>4456.4799999999996</v>
      </c>
      <c r="IG67">
        <v>4456.4799999999996</v>
      </c>
      <c r="IH67">
        <v>4456.4799999999996</v>
      </c>
      <c r="II67">
        <v>4456.4799999999996</v>
      </c>
      <c r="IJ67">
        <v>4456.4799999999996</v>
      </c>
      <c r="IK67">
        <v>4456.4799999999996</v>
      </c>
      <c r="IL67">
        <v>4456.4799999999996</v>
      </c>
      <c r="IM67">
        <v>4456.4799999999996</v>
      </c>
      <c r="IN67">
        <v>4456.4799999999996</v>
      </c>
      <c r="IO67">
        <v>4456.4799999999996</v>
      </c>
      <c r="IP67">
        <v>4456.4799999999996</v>
      </c>
      <c r="IQ67">
        <v>4456.4799999999996</v>
      </c>
      <c r="IR67">
        <v>4456.4799999999996</v>
      </c>
      <c r="IS67">
        <v>4456.4799999999996</v>
      </c>
      <c r="IT67">
        <v>4456.4799999999996</v>
      </c>
      <c r="IU67">
        <v>4456.4799999999996</v>
      </c>
      <c r="IV67">
        <v>4456.4799999999996</v>
      </c>
      <c r="IW67">
        <v>4456.4799999999996</v>
      </c>
      <c r="IX67">
        <v>878.43000000000006</v>
      </c>
      <c r="IY67">
        <v>4041.65643</v>
      </c>
      <c r="IZ67">
        <v>4041.65643</v>
      </c>
      <c r="JA67">
        <v>4041.65643</v>
      </c>
      <c r="JB67">
        <v>4041.65643</v>
      </c>
      <c r="JC67">
        <v>4041.65643</v>
      </c>
      <c r="JD67">
        <v>4041.65643</v>
      </c>
      <c r="JE67">
        <v>4041.65643</v>
      </c>
      <c r="JF67">
        <v>4041.65643</v>
      </c>
      <c r="JG67">
        <v>4041.65643</v>
      </c>
      <c r="JH67">
        <v>4041.65643</v>
      </c>
      <c r="JI67">
        <v>4041.65643</v>
      </c>
      <c r="JJ67">
        <v>4041.65643</v>
      </c>
      <c r="JK67">
        <v>4041.65643</v>
      </c>
      <c r="JL67">
        <v>4041.65643</v>
      </c>
      <c r="JM67">
        <v>4041.65643</v>
      </c>
      <c r="JN67">
        <v>4041.65643</v>
      </c>
      <c r="JO67">
        <v>4041.65643</v>
      </c>
      <c r="JP67">
        <v>4041.65643</v>
      </c>
      <c r="JQ67">
        <v>4041.65643</v>
      </c>
      <c r="JR67">
        <v>4041.65643</v>
      </c>
      <c r="JS67">
        <v>4041.65643</v>
      </c>
      <c r="JT67">
        <v>4041.65643</v>
      </c>
      <c r="JU67">
        <v>4041.65643</v>
      </c>
      <c r="JV67">
        <v>4041.65643</v>
      </c>
      <c r="JW67">
        <v>4041.65643</v>
      </c>
      <c r="JX67">
        <v>4041.65643</v>
      </c>
      <c r="JY67">
        <v>4041.65643</v>
      </c>
      <c r="JZ67">
        <v>4041.65643</v>
      </c>
      <c r="KA67">
        <v>4041.65643</v>
      </c>
      <c r="KB67">
        <v>4041.65643</v>
      </c>
      <c r="KC67">
        <v>4041.65643</v>
      </c>
      <c r="KD67">
        <v>4041.65643</v>
      </c>
      <c r="KE67">
        <v>4041.65643</v>
      </c>
      <c r="KF67">
        <v>4041.65643</v>
      </c>
      <c r="KG67">
        <v>4041.65643</v>
      </c>
      <c r="KH67">
        <v>4041.65643</v>
      </c>
      <c r="KI67">
        <v>4041.65643</v>
      </c>
      <c r="KJ67">
        <v>4041.65643</v>
      </c>
      <c r="KK67">
        <v>4041.65643</v>
      </c>
      <c r="KL67">
        <v>4041.65643</v>
      </c>
      <c r="KM67">
        <v>4041.65643</v>
      </c>
      <c r="KN67">
        <v>4041.65643</v>
      </c>
      <c r="KO67">
        <v>4041.65643</v>
      </c>
      <c r="KP67">
        <v>4041.65643</v>
      </c>
      <c r="KQ67">
        <v>4041.65643</v>
      </c>
      <c r="KR67">
        <v>4041.65643</v>
      </c>
      <c r="KS67">
        <v>4041.65643</v>
      </c>
      <c r="KT67">
        <v>4041.65643</v>
      </c>
      <c r="KU67">
        <v>4041.65643</v>
      </c>
      <c r="KV67">
        <v>4041.65643</v>
      </c>
      <c r="KW67">
        <v>4041.65643</v>
      </c>
      <c r="KX67">
        <v>4041.65643</v>
      </c>
      <c r="KY67">
        <v>4041.65643</v>
      </c>
      <c r="KZ67">
        <v>4041.65643</v>
      </c>
      <c r="LA67">
        <v>4041.65643</v>
      </c>
      <c r="LB67">
        <v>4041.65643</v>
      </c>
      <c r="LC67">
        <v>4041.65643</v>
      </c>
      <c r="LD67">
        <v>4041.65643</v>
      </c>
      <c r="LE67">
        <v>4041.65643</v>
      </c>
      <c r="LF67">
        <v>4041.65643</v>
      </c>
      <c r="LG67">
        <v>4041.65643</v>
      </c>
      <c r="LH67">
        <v>4041.65643</v>
      </c>
      <c r="LI67">
        <v>4041.65643</v>
      </c>
      <c r="LJ67">
        <v>4041.65643</v>
      </c>
      <c r="LK67">
        <v>4041.65643</v>
      </c>
      <c r="LL67">
        <v>4041.65643</v>
      </c>
      <c r="LM67">
        <v>4041.65643</v>
      </c>
      <c r="LN67">
        <v>4041.65643</v>
      </c>
      <c r="LO67">
        <v>4041.65643</v>
      </c>
      <c r="LP67">
        <v>4041.65643</v>
      </c>
      <c r="LQ67">
        <v>4041.65643</v>
      </c>
      <c r="LR67">
        <v>2942.7405000000003</v>
      </c>
      <c r="LS67">
        <v>4041.65643</v>
      </c>
      <c r="LT67">
        <v>4041.65643</v>
      </c>
      <c r="LU67">
        <v>4041.65643</v>
      </c>
      <c r="LV67">
        <v>4041.65643</v>
      </c>
      <c r="LW67">
        <v>4041.65643</v>
      </c>
      <c r="LX67">
        <v>4041.65643</v>
      </c>
      <c r="LY67">
        <v>4041.65643</v>
      </c>
      <c r="LZ67">
        <v>4041.65643</v>
      </c>
      <c r="MA67">
        <v>4041.65643</v>
      </c>
      <c r="MB67">
        <v>4041.65643</v>
      </c>
      <c r="MC67">
        <v>4041.65643</v>
      </c>
      <c r="MD67">
        <v>4041.65643</v>
      </c>
      <c r="ME67">
        <v>4041.65643</v>
      </c>
      <c r="MF67">
        <v>4041.65643</v>
      </c>
      <c r="MG67">
        <v>874.03785000000005</v>
      </c>
      <c r="MH67">
        <v>4021.4481478500002</v>
      </c>
      <c r="MI67">
        <v>4021.4481478500002</v>
      </c>
      <c r="MJ67">
        <v>4021.4481478500002</v>
      </c>
      <c r="MK67">
        <v>4021.4481478500002</v>
      </c>
      <c r="ML67">
        <v>4021.4481478500002</v>
      </c>
      <c r="MM67">
        <v>4021.4481478500002</v>
      </c>
      <c r="MN67">
        <v>4021.4481478500002</v>
      </c>
      <c r="MO67">
        <v>4021.4481478500002</v>
      </c>
      <c r="MP67">
        <v>4021.4481478500002</v>
      </c>
      <c r="MQ67">
        <v>4021.4481478500002</v>
      </c>
      <c r="MR67">
        <v>4021.4481478500002</v>
      </c>
      <c r="MS67">
        <v>4021.4481478500002</v>
      </c>
      <c r="MT67">
        <v>4021.4481478500002</v>
      </c>
      <c r="MU67">
        <v>4021.4481478500002</v>
      </c>
      <c r="MV67">
        <v>4021.4481478500002</v>
      </c>
      <c r="MW67">
        <v>4021.4481478500002</v>
      </c>
      <c r="MX67">
        <v>4021.4481478500002</v>
      </c>
      <c r="MY67">
        <v>4021.4481478500002</v>
      </c>
      <c r="MZ67">
        <v>4021.4481478500002</v>
      </c>
      <c r="NA67">
        <v>4021.4481478500002</v>
      </c>
      <c r="NB67">
        <v>4021.4481478500002</v>
      </c>
      <c r="NC67">
        <v>4021.4481478500002</v>
      </c>
      <c r="ND67">
        <v>4021.4481478500002</v>
      </c>
      <c r="NE67">
        <v>4021.4481478500002</v>
      </c>
      <c r="NF67">
        <v>4021.4481478500002</v>
      </c>
      <c r="NG67">
        <v>4021.4481478500002</v>
      </c>
      <c r="NH67">
        <v>4021.4481478500002</v>
      </c>
      <c r="NI67">
        <v>4021.4481478500002</v>
      </c>
      <c r="NJ67">
        <v>4021.4481478500002</v>
      </c>
      <c r="NK67">
        <v>4021.4481478500002</v>
      </c>
      <c r="NL67">
        <v>4021.4481478500002</v>
      </c>
      <c r="NM67">
        <v>4021.4481478500002</v>
      </c>
      <c r="NN67">
        <v>4021.4481478500002</v>
      </c>
      <c r="NO67">
        <v>4021.4481478500002</v>
      </c>
      <c r="NP67">
        <v>4021.4481478500002</v>
      </c>
      <c r="NQ67">
        <v>4021.4481478500002</v>
      </c>
      <c r="NR67">
        <v>4021.4481478500002</v>
      </c>
      <c r="NS67">
        <v>4021.4481478500002</v>
      </c>
      <c r="NT67">
        <v>4021.4481478500002</v>
      </c>
      <c r="NU67">
        <v>4021.4481478500002</v>
      </c>
      <c r="NV67">
        <v>4021.4481478500002</v>
      </c>
      <c r="NW67">
        <v>4021.4481478500002</v>
      </c>
      <c r="NX67">
        <v>4021.4481478500002</v>
      </c>
      <c r="NY67">
        <v>4021.4481478500002</v>
      </c>
      <c r="NZ67">
        <v>4021.4481478500002</v>
      </c>
      <c r="OA67">
        <v>4021.4481478500002</v>
      </c>
      <c r="OB67">
        <v>4021.4481478500002</v>
      </c>
      <c r="OC67">
        <v>4021.4481478500002</v>
      </c>
      <c r="OD67">
        <v>4021.4481478500002</v>
      </c>
      <c r="OE67">
        <v>4021.4481478500002</v>
      </c>
      <c r="OF67">
        <v>4021.4481478500002</v>
      </c>
      <c r="OG67">
        <v>4021.4481478500002</v>
      </c>
      <c r="OH67">
        <v>4021.4481478500002</v>
      </c>
      <c r="OI67">
        <v>4021.4481478500002</v>
      </c>
      <c r="OJ67">
        <v>4021.4481478500002</v>
      </c>
      <c r="OK67">
        <v>4021.4481478500002</v>
      </c>
      <c r="OL67">
        <v>4021.4481478500002</v>
      </c>
      <c r="OM67">
        <v>4021.4481478500002</v>
      </c>
      <c r="ON67">
        <v>4021.4481478500002</v>
      </c>
      <c r="OO67">
        <v>4021.4481478500002</v>
      </c>
      <c r="OP67">
        <v>4021.4481478500002</v>
      </c>
      <c r="OQ67">
        <v>4021.4481478500002</v>
      </c>
      <c r="OR67">
        <v>4021.4481478500002</v>
      </c>
      <c r="OS67">
        <v>4021.4481478500002</v>
      </c>
      <c r="OT67">
        <v>4021.4481478500002</v>
      </c>
      <c r="OU67">
        <v>4021.4481478500002</v>
      </c>
      <c r="OV67">
        <v>4021.4481478500002</v>
      </c>
      <c r="OW67">
        <v>4021.4481478500002</v>
      </c>
      <c r="OX67">
        <v>4021.4481478500002</v>
      </c>
      <c r="OY67">
        <v>4021.4481478500002</v>
      </c>
      <c r="OZ67">
        <v>4021.4481478500002</v>
      </c>
      <c r="PA67">
        <v>2928.0267975000002</v>
      </c>
      <c r="PB67">
        <v>4021.4481478500002</v>
      </c>
      <c r="PC67">
        <v>4021.4481478500002</v>
      </c>
      <c r="PD67">
        <v>4021.4481478500002</v>
      </c>
      <c r="PE67">
        <v>4021.4481478500002</v>
      </c>
      <c r="PF67">
        <v>4021.4481478500002</v>
      </c>
      <c r="PG67">
        <v>4021.4481478500002</v>
      </c>
      <c r="PH67">
        <v>4021.4481478500002</v>
      </c>
      <c r="PI67">
        <v>4021.4481478500002</v>
      </c>
      <c r="PJ67">
        <v>4021.4481478500002</v>
      </c>
      <c r="PK67">
        <v>4021.4481478500002</v>
      </c>
      <c r="PL67">
        <v>4021.4481478500002</v>
      </c>
      <c r="PM67">
        <v>4021.4481478500002</v>
      </c>
      <c r="PN67">
        <v>4021.4481478500002</v>
      </c>
      <c r="PO67">
        <v>4021.4481478500002</v>
      </c>
      <c r="PP67">
        <v>874.03785000000005</v>
      </c>
      <c r="PQ67">
        <v>4021.4481478500002</v>
      </c>
      <c r="PR67">
        <v>4021.4481478500002</v>
      </c>
      <c r="PS67">
        <v>4021.4481478500002</v>
      </c>
      <c r="PT67">
        <v>4021.4481478500002</v>
      </c>
      <c r="PU67">
        <v>4021.4481478500002</v>
      </c>
      <c r="PV67">
        <v>4021.4481478500002</v>
      </c>
      <c r="PW67">
        <v>4021.4481478500002</v>
      </c>
      <c r="PX67">
        <v>4021.4481478500002</v>
      </c>
      <c r="PY67">
        <v>4021.4481478500002</v>
      </c>
      <c r="PZ67">
        <v>4021.4481478500002</v>
      </c>
      <c r="QA67">
        <v>4021.4481478500002</v>
      </c>
      <c r="QB67">
        <v>4021.4481478500002</v>
      </c>
      <c r="QC67">
        <v>4021.4481478500002</v>
      </c>
      <c r="QD67">
        <v>4021.4481478500002</v>
      </c>
      <c r="QE67">
        <v>4021.4481478500002</v>
      </c>
      <c r="QF67">
        <v>4021.4481478500002</v>
      </c>
      <c r="QG67">
        <v>4021.4481478500002</v>
      </c>
      <c r="QH67">
        <v>4021.4481478500002</v>
      </c>
      <c r="QI67">
        <v>4021.4481478500002</v>
      </c>
      <c r="QJ67">
        <v>4021.4481478500002</v>
      </c>
      <c r="QK67">
        <v>4021.4481478500002</v>
      </c>
      <c r="QL67">
        <v>4021.4481478500002</v>
      </c>
      <c r="QM67">
        <v>4021.4481478500002</v>
      </c>
      <c r="QN67">
        <v>4021.4481478500002</v>
      </c>
      <c r="QO67">
        <v>4021.4481478500002</v>
      </c>
      <c r="QP67">
        <v>4021.4481478500002</v>
      </c>
      <c r="QQ67">
        <v>4021.4481478500002</v>
      </c>
      <c r="QR67">
        <v>4021.4481478500002</v>
      </c>
      <c r="QS67">
        <v>4021.4481478500002</v>
      </c>
      <c r="QT67">
        <v>4021.4481478500002</v>
      </c>
      <c r="QU67">
        <v>4021.4481478500002</v>
      </c>
      <c r="QV67">
        <v>4021.4481478500002</v>
      </c>
      <c r="QW67">
        <v>4021.4481478500002</v>
      </c>
      <c r="QX67">
        <v>4021.4481478500002</v>
      </c>
      <c r="QY67">
        <v>4021.4481478500002</v>
      </c>
      <c r="QZ67">
        <v>4021.4481478500002</v>
      </c>
      <c r="RA67">
        <v>4021.4481478500002</v>
      </c>
      <c r="RB67">
        <v>4021.4481478500002</v>
      </c>
      <c r="RC67">
        <v>4021.4481478500002</v>
      </c>
      <c r="RD67">
        <v>4021.4481478500002</v>
      </c>
      <c r="RE67">
        <v>4021.4481478500002</v>
      </c>
      <c r="RF67">
        <v>4021.4481478500002</v>
      </c>
      <c r="RG67">
        <v>4021.4481478500002</v>
      </c>
      <c r="RH67">
        <v>4021.4481478500002</v>
      </c>
      <c r="RI67">
        <v>4021.4481478500002</v>
      </c>
      <c r="RJ67">
        <v>4021.4481478500002</v>
      </c>
      <c r="RK67">
        <v>4021.4481478500002</v>
      </c>
      <c r="RL67">
        <v>4021.4481478500002</v>
      </c>
      <c r="RM67">
        <v>4021.4481478500002</v>
      </c>
      <c r="RN67">
        <v>4021.4481478500002</v>
      </c>
      <c r="RO67">
        <v>4021.4481478500002</v>
      </c>
      <c r="RP67">
        <v>4021.4481478500002</v>
      </c>
      <c r="RQ67">
        <v>4021.4481478500002</v>
      </c>
      <c r="RR67">
        <v>4021.4481478500002</v>
      </c>
      <c r="RS67">
        <v>4021.4481478500002</v>
      </c>
      <c r="RT67">
        <v>4021.4481478500002</v>
      </c>
      <c r="RU67">
        <v>4021.4481478500002</v>
      </c>
      <c r="RV67">
        <v>4021.4481478500002</v>
      </c>
      <c r="RW67">
        <v>4021.4481478500002</v>
      </c>
      <c r="RX67">
        <v>4021.4481478500002</v>
      </c>
      <c r="RY67">
        <v>4021.4481478500002</v>
      </c>
      <c r="RZ67">
        <v>4021.4481478500002</v>
      </c>
      <c r="SA67">
        <v>4021.4481478500002</v>
      </c>
      <c r="SB67">
        <v>4021.4481478500002</v>
      </c>
      <c r="SC67">
        <v>4021.4481478500002</v>
      </c>
      <c r="SD67">
        <v>4021.4481478500002</v>
      </c>
      <c r="SE67">
        <v>4021.4481478500002</v>
      </c>
      <c r="SF67">
        <v>4021.4481478500002</v>
      </c>
      <c r="SG67">
        <v>4021.4481478500002</v>
      </c>
      <c r="SH67">
        <v>4021.4481478500002</v>
      </c>
      <c r="SI67">
        <v>4021.4481478500002</v>
      </c>
      <c r="SJ67">
        <v>2928.0267975000002</v>
      </c>
      <c r="SK67">
        <v>4021.4481478500002</v>
      </c>
      <c r="SL67">
        <v>4021.4481478500002</v>
      </c>
      <c r="SM67">
        <v>4021.4481478500002</v>
      </c>
      <c r="SN67">
        <v>4021.4481478500002</v>
      </c>
      <c r="SO67">
        <v>4021.4481478500002</v>
      </c>
      <c r="SP67">
        <v>4021.4481478500002</v>
      </c>
      <c r="SQ67">
        <v>4021.4481478500002</v>
      </c>
      <c r="SR67">
        <v>4021.4481478500002</v>
      </c>
      <c r="SS67">
        <v>4021.4481478500002</v>
      </c>
      <c r="ST67">
        <v>4021.4481478500002</v>
      </c>
      <c r="SU67">
        <v>4021.4481478500002</v>
      </c>
      <c r="SV67">
        <v>4021.4481478500002</v>
      </c>
      <c r="SW67">
        <v>4021.4481478500002</v>
      </c>
      <c r="SX67">
        <v>4021.4481478500002</v>
      </c>
      <c r="SY67">
        <v>869.64570000000003</v>
      </c>
      <c r="SZ67">
        <v>4001.2398656999999</v>
      </c>
      <c r="TA67">
        <v>4001.2398656999999</v>
      </c>
      <c r="TB67">
        <v>4001.2398656999999</v>
      </c>
      <c r="TC67">
        <v>4001.2398656999999</v>
      </c>
      <c r="TD67">
        <v>4001.2398656999999</v>
      </c>
      <c r="TE67">
        <v>4001.2398656999999</v>
      </c>
      <c r="TF67">
        <v>4001.2398656999999</v>
      </c>
      <c r="TG67">
        <v>4001.2398656999999</v>
      </c>
      <c r="TH67">
        <v>4001.2398656999999</v>
      </c>
      <c r="TI67">
        <v>4001.2398656999999</v>
      </c>
      <c r="TJ67">
        <v>4001.2398656999999</v>
      </c>
      <c r="TK67">
        <v>4001.2398656999999</v>
      </c>
      <c r="TL67">
        <v>4001.2398656999999</v>
      </c>
      <c r="TM67">
        <v>4001.2398656999999</v>
      </c>
      <c r="TN67">
        <v>4001.2398656999999</v>
      </c>
      <c r="TO67">
        <v>4001.2398656999999</v>
      </c>
      <c r="TP67">
        <v>4001.2398656999999</v>
      </c>
      <c r="TQ67">
        <v>4001.2398656999999</v>
      </c>
      <c r="TR67">
        <v>4001.2398656999999</v>
      </c>
      <c r="TS67">
        <v>4001.2398656999999</v>
      </c>
      <c r="TT67">
        <v>4001.2398656999999</v>
      </c>
      <c r="TU67">
        <v>4001.2398656999999</v>
      </c>
      <c r="TV67">
        <v>4001.2398656999999</v>
      </c>
      <c r="TW67">
        <v>4001.2398656999999</v>
      </c>
      <c r="TX67">
        <v>4001.2398656999999</v>
      </c>
      <c r="TY67">
        <v>4001.2398656999999</v>
      </c>
      <c r="TZ67">
        <v>4001.2398656999999</v>
      </c>
      <c r="UA67">
        <v>4001.2398656999999</v>
      </c>
      <c r="UB67">
        <v>4001.2398656999999</v>
      </c>
      <c r="UC67">
        <v>4001.2398656999999</v>
      </c>
      <c r="UD67">
        <v>4001.2398656999999</v>
      </c>
      <c r="UE67">
        <v>4001.2398656999999</v>
      </c>
      <c r="UF67">
        <v>4001.2398656999999</v>
      </c>
      <c r="UG67">
        <v>4001.2398656999999</v>
      </c>
      <c r="UH67">
        <v>4001.2398656999999</v>
      </c>
      <c r="UI67">
        <v>4001.2398656999999</v>
      </c>
      <c r="UJ67">
        <v>4001.2398656999999</v>
      </c>
      <c r="UK67">
        <v>4001.2398656999999</v>
      </c>
      <c r="UL67">
        <v>4001.2398656999999</v>
      </c>
      <c r="UM67">
        <v>4001.2398656999999</v>
      </c>
      <c r="UN67">
        <v>4001.2398656999999</v>
      </c>
      <c r="UO67">
        <v>4001.2398656999999</v>
      </c>
      <c r="UP67">
        <v>4001.2398656999999</v>
      </c>
      <c r="UQ67">
        <v>4001.2398656999999</v>
      </c>
      <c r="UR67">
        <v>4001.2398656999999</v>
      </c>
      <c r="US67">
        <v>4001.2398656999999</v>
      </c>
      <c r="UT67">
        <v>4001.2398656999999</v>
      </c>
      <c r="UU67">
        <v>4001.2398656999999</v>
      </c>
      <c r="UV67">
        <v>4001.2398656999999</v>
      </c>
      <c r="UW67">
        <v>4001.2398656999999</v>
      </c>
      <c r="UX67">
        <v>4001.2398656999999</v>
      </c>
      <c r="UY67">
        <v>4001.2398656999999</v>
      </c>
      <c r="UZ67">
        <v>4001.2398656999999</v>
      </c>
      <c r="VA67">
        <v>4001.2398656999999</v>
      </c>
      <c r="VB67">
        <v>4001.2398656999999</v>
      </c>
      <c r="VC67">
        <v>4001.2398656999999</v>
      </c>
      <c r="VD67">
        <v>4001.2398656999999</v>
      </c>
      <c r="VE67">
        <v>4001.2398656999999</v>
      </c>
      <c r="VF67">
        <v>4001.2398656999999</v>
      </c>
      <c r="VG67">
        <v>4001.2398656999999</v>
      </c>
      <c r="VH67">
        <v>4001.2398656999999</v>
      </c>
      <c r="VI67">
        <v>4001.2398656999999</v>
      </c>
      <c r="VJ67">
        <v>4001.2398656999999</v>
      </c>
      <c r="VK67">
        <v>4001.2398656999999</v>
      </c>
      <c r="VL67">
        <v>4001.2398656999999</v>
      </c>
      <c r="VM67">
        <v>4001.2398656999999</v>
      </c>
      <c r="VN67">
        <v>4001.2398656999999</v>
      </c>
      <c r="VO67">
        <v>4001.2398656999999</v>
      </c>
      <c r="VP67">
        <v>4001.2398656999999</v>
      </c>
      <c r="VQ67">
        <v>4001.2398656999999</v>
      </c>
      <c r="VR67">
        <v>4001.2398656999999</v>
      </c>
      <c r="VS67">
        <v>2913.313095</v>
      </c>
      <c r="VT67">
        <v>4001.2398656999999</v>
      </c>
      <c r="VU67">
        <v>4001.2398656999999</v>
      </c>
      <c r="VV67">
        <v>4001.2398656999999</v>
      </c>
      <c r="VW67">
        <v>4001.2398656999999</v>
      </c>
      <c r="VX67">
        <v>4001.2398656999999</v>
      </c>
      <c r="VY67">
        <v>4001.2398656999999</v>
      </c>
      <c r="VZ67">
        <v>4001.2398656999999</v>
      </c>
      <c r="WA67">
        <v>4001.2398656999999</v>
      </c>
      <c r="WB67">
        <v>4001.2398656999999</v>
      </c>
      <c r="WC67">
        <v>4001.2398656999999</v>
      </c>
      <c r="WD67">
        <v>4001.2398656999999</v>
      </c>
      <c r="WE67">
        <v>4001.2398656999999</v>
      </c>
      <c r="WF67">
        <v>4001.2398656999999</v>
      </c>
      <c r="WG67">
        <v>4001.2398656999999</v>
      </c>
      <c r="WH67">
        <v>790.58699999999999</v>
      </c>
      <c r="WI67">
        <v>3637.4907870000006</v>
      </c>
      <c r="WJ67">
        <v>3637.4907870000006</v>
      </c>
      <c r="WK67">
        <v>3637.4907870000006</v>
      </c>
      <c r="WL67">
        <v>3637.4907870000006</v>
      </c>
      <c r="WM67">
        <v>3637.4907870000006</v>
      </c>
      <c r="WN67">
        <v>3637.4907870000006</v>
      </c>
      <c r="WO67">
        <v>3637.4907870000006</v>
      </c>
      <c r="WP67">
        <v>3637.4907870000006</v>
      </c>
      <c r="WQ67">
        <v>3637.4907870000006</v>
      </c>
      <c r="WR67">
        <v>3637.4907870000006</v>
      </c>
      <c r="WS67">
        <v>3637.4907870000006</v>
      </c>
      <c r="WT67">
        <v>3637.4907870000006</v>
      </c>
      <c r="WU67">
        <v>3637.4907870000006</v>
      </c>
      <c r="WV67">
        <v>3637.4907870000006</v>
      </c>
      <c r="WW67">
        <v>3637.4907870000006</v>
      </c>
      <c r="WX67">
        <v>3637.4907870000006</v>
      </c>
      <c r="WY67">
        <v>3637.4907870000006</v>
      </c>
      <c r="WZ67">
        <v>3637.4907870000006</v>
      </c>
      <c r="XA67">
        <v>3637.4907870000006</v>
      </c>
      <c r="XB67">
        <v>3637.4907870000006</v>
      </c>
      <c r="XC67">
        <v>3637.4907870000006</v>
      </c>
      <c r="XD67">
        <v>3637.4907870000006</v>
      </c>
      <c r="XE67">
        <v>3637.4907870000006</v>
      </c>
      <c r="XF67">
        <v>3637.4907870000006</v>
      </c>
      <c r="XG67">
        <v>3637.4907870000006</v>
      </c>
      <c r="XH67">
        <v>3637.4907870000006</v>
      </c>
      <c r="XI67">
        <v>3637.4907870000006</v>
      </c>
      <c r="XJ67">
        <v>3637.4907870000006</v>
      </c>
      <c r="XK67">
        <v>3637.4907870000006</v>
      </c>
      <c r="XL67">
        <v>3637.4907870000006</v>
      </c>
      <c r="XM67">
        <v>3637.4907870000006</v>
      </c>
      <c r="XN67">
        <v>3637.4907870000006</v>
      </c>
      <c r="XO67">
        <v>3637.4907870000006</v>
      </c>
      <c r="XP67">
        <v>3637.4907870000006</v>
      </c>
      <c r="XQ67">
        <v>3637.4907870000006</v>
      </c>
      <c r="XR67">
        <v>3637.4907870000006</v>
      </c>
      <c r="XS67">
        <v>3637.4907870000006</v>
      </c>
      <c r="XT67">
        <v>3637.4907870000006</v>
      </c>
      <c r="XU67">
        <v>3637.4907870000006</v>
      </c>
      <c r="XV67">
        <v>3637.4907870000006</v>
      </c>
      <c r="XW67">
        <v>3637.4907870000006</v>
      </c>
      <c r="XX67">
        <v>3637.4907870000006</v>
      </c>
      <c r="XY67">
        <v>3637.4907870000006</v>
      </c>
      <c r="XZ67">
        <v>3637.4907870000006</v>
      </c>
      <c r="YA67">
        <v>3637.4907870000006</v>
      </c>
      <c r="YB67">
        <v>3637.4907870000006</v>
      </c>
      <c r="YC67">
        <v>3637.4907870000006</v>
      </c>
      <c r="YD67">
        <v>3637.4907870000006</v>
      </c>
      <c r="YE67">
        <v>3637.4907870000006</v>
      </c>
      <c r="YF67">
        <v>3637.4907870000006</v>
      </c>
      <c r="YG67">
        <v>3637.4907870000006</v>
      </c>
      <c r="YH67">
        <v>3637.4907870000006</v>
      </c>
      <c r="YI67">
        <v>3637.4907870000006</v>
      </c>
      <c r="YJ67">
        <v>3637.4907870000006</v>
      </c>
      <c r="YK67">
        <v>3637.4907870000006</v>
      </c>
      <c r="YL67">
        <v>3637.4907870000006</v>
      </c>
      <c r="YM67">
        <v>3637.4907870000006</v>
      </c>
      <c r="YN67">
        <v>3637.4907870000006</v>
      </c>
      <c r="YO67">
        <v>3637.4907870000006</v>
      </c>
      <c r="YP67">
        <v>3637.4907870000006</v>
      </c>
      <c r="YQ67">
        <v>3637.4907870000006</v>
      </c>
      <c r="YR67">
        <v>3637.4907870000006</v>
      </c>
      <c r="YS67">
        <v>3637.4907870000006</v>
      </c>
      <c r="YT67">
        <v>3637.4907870000006</v>
      </c>
      <c r="YU67">
        <v>3637.4907870000006</v>
      </c>
      <c r="YV67">
        <v>3637.4907870000006</v>
      </c>
      <c r="YW67">
        <v>3637.4907870000006</v>
      </c>
      <c r="YX67">
        <v>3637.4907870000006</v>
      </c>
      <c r="YY67">
        <v>3637.4907870000006</v>
      </c>
      <c r="YZ67">
        <v>3637.4907870000006</v>
      </c>
      <c r="ZA67">
        <v>3637.4907870000006</v>
      </c>
      <c r="ZB67">
        <v>2648.4664500000003</v>
      </c>
      <c r="ZC67">
        <v>3637.4907870000006</v>
      </c>
      <c r="ZD67">
        <v>3637.4907870000006</v>
      </c>
      <c r="ZE67">
        <v>3637.4907870000006</v>
      </c>
      <c r="ZF67">
        <v>3637.4907870000006</v>
      </c>
      <c r="ZG67">
        <v>3637.4907870000006</v>
      </c>
      <c r="ZH67">
        <v>3637.4907870000006</v>
      </c>
      <c r="ZI67">
        <v>3637.4907870000006</v>
      </c>
      <c r="ZJ67">
        <v>3637.4907870000006</v>
      </c>
      <c r="ZK67">
        <v>3637.4907870000006</v>
      </c>
      <c r="ZL67">
        <v>3637.4907870000006</v>
      </c>
      <c r="ZM67">
        <v>3637.4907870000006</v>
      </c>
      <c r="ZN67">
        <v>3637.4907870000006</v>
      </c>
      <c r="ZO67">
        <v>3637.4907870000006</v>
      </c>
      <c r="ZP67">
        <v>3637.4907870000006</v>
      </c>
      <c r="ZQ67">
        <v>812.54775000000006</v>
      </c>
      <c r="ZR67">
        <v>3738.5321977500003</v>
      </c>
      <c r="ZS67">
        <v>3738.5321977500003</v>
      </c>
      <c r="ZT67">
        <v>3738.5321977500003</v>
      </c>
      <c r="ZU67">
        <v>3738.5321977500003</v>
      </c>
      <c r="ZV67">
        <v>3738.5321977500003</v>
      </c>
      <c r="ZW67">
        <v>3738.5321977500003</v>
      </c>
      <c r="ZX67">
        <v>3738.5321977500003</v>
      </c>
      <c r="ZY67">
        <v>3738.5321977500003</v>
      </c>
      <c r="ZZ67">
        <v>3738.5321977500003</v>
      </c>
      <c r="AAA67">
        <v>3738.5321977500003</v>
      </c>
      <c r="AAB67">
        <v>3738.5321977500003</v>
      </c>
      <c r="AAC67">
        <v>3738.5321977500003</v>
      </c>
      <c r="AAD67">
        <v>3738.5321977500003</v>
      </c>
      <c r="AAE67">
        <v>3738.5321977500003</v>
      </c>
      <c r="AAF67">
        <v>3738.5321977500003</v>
      </c>
      <c r="AAG67">
        <v>3738.5321977500003</v>
      </c>
      <c r="AAH67">
        <v>3738.5321977500003</v>
      </c>
      <c r="AAI67">
        <v>3738.5321977500003</v>
      </c>
      <c r="AAJ67">
        <v>3738.5321977500003</v>
      </c>
      <c r="AAK67">
        <v>3738.5321977500003</v>
      </c>
      <c r="AAL67">
        <v>3738.5321977500003</v>
      </c>
      <c r="AAM67">
        <v>3738.5321977500003</v>
      </c>
      <c r="AAN67">
        <v>3738.5321977500003</v>
      </c>
      <c r="AAO67">
        <v>3738.5321977500003</v>
      </c>
      <c r="AAP67">
        <v>3738.5321977500003</v>
      </c>
      <c r="AAQ67">
        <v>3738.5321977500003</v>
      </c>
      <c r="AAR67">
        <v>3738.5321977500003</v>
      </c>
      <c r="AAS67">
        <v>3738.5321977500003</v>
      </c>
      <c r="AAT67">
        <v>3738.5321977500003</v>
      </c>
      <c r="AAU67">
        <v>3738.5321977500003</v>
      </c>
      <c r="AAV67">
        <v>3738.5321977500003</v>
      </c>
      <c r="AAW67">
        <v>3738.5321977500003</v>
      </c>
      <c r="AAX67">
        <v>3738.5321977500003</v>
      </c>
      <c r="AAY67">
        <v>3738.5321977500003</v>
      </c>
      <c r="AAZ67">
        <v>3738.5321977500003</v>
      </c>
      <c r="ABA67">
        <v>3738.5321977500003</v>
      </c>
      <c r="ABB67">
        <v>3738.5321977500003</v>
      </c>
      <c r="ABC67">
        <v>3738.5321977500003</v>
      </c>
      <c r="ABD67">
        <v>3738.5321977500003</v>
      </c>
      <c r="ABE67">
        <v>3738.5321977500003</v>
      </c>
      <c r="ABF67">
        <v>3738.5321977500003</v>
      </c>
      <c r="ABG67">
        <v>3738.5321977500003</v>
      </c>
      <c r="ABH67">
        <v>3738.5321977500003</v>
      </c>
      <c r="ABI67">
        <v>3738.5321977500003</v>
      </c>
      <c r="ABJ67">
        <v>3738.5321977500003</v>
      </c>
      <c r="ABK67">
        <v>3738.5321977500003</v>
      </c>
      <c r="ABL67">
        <v>3738.5321977500003</v>
      </c>
      <c r="ABM67">
        <v>3738.5321977500003</v>
      </c>
      <c r="ABN67">
        <v>3738.5321977500003</v>
      </c>
      <c r="ABO67">
        <v>3738.5321977500003</v>
      </c>
      <c r="ABP67">
        <v>3738.5321977500003</v>
      </c>
      <c r="ABQ67">
        <v>3738.5321977500003</v>
      </c>
      <c r="ABR67">
        <v>3738.5321977500003</v>
      </c>
      <c r="ABS67">
        <v>3738.5321977500003</v>
      </c>
      <c r="ABT67">
        <v>3738.5321977500003</v>
      </c>
      <c r="ABU67">
        <v>3738.5321977500003</v>
      </c>
      <c r="ABV67">
        <v>3738.5321977500003</v>
      </c>
      <c r="ABW67">
        <v>3738.5321977500003</v>
      </c>
      <c r="ABX67">
        <v>3738.5321977500003</v>
      </c>
      <c r="ABY67">
        <v>3738.5321977500003</v>
      </c>
      <c r="ABZ67">
        <v>3738.5321977500003</v>
      </c>
      <c r="ACA67">
        <v>3738.5321977500003</v>
      </c>
      <c r="ACB67">
        <v>3738.5321977500003</v>
      </c>
      <c r="ACC67">
        <v>3738.5321977500003</v>
      </c>
      <c r="ACD67">
        <v>3738.5321977500003</v>
      </c>
      <c r="ACE67">
        <v>3738.5321977500003</v>
      </c>
      <c r="ACF67">
        <v>3738.5321977500003</v>
      </c>
      <c r="ACG67">
        <v>3738.5321977500003</v>
      </c>
      <c r="ACH67">
        <v>3738.5321977500003</v>
      </c>
      <c r="ACI67">
        <v>3738.5321977500003</v>
      </c>
      <c r="ACJ67">
        <v>3738.5321977500003</v>
      </c>
      <c r="ACK67">
        <v>2722.0349625000003</v>
      </c>
      <c r="ACL67">
        <v>3738.5321977500003</v>
      </c>
      <c r="ACM67">
        <v>3738.5321977500003</v>
      </c>
      <c r="ACN67">
        <v>3738.5321977500003</v>
      </c>
      <c r="ACO67">
        <v>3738.5321977500003</v>
      </c>
      <c r="ACP67">
        <v>3738.5321977500003</v>
      </c>
      <c r="ACQ67">
        <v>3738.5321977500003</v>
      </c>
      <c r="ACR67">
        <v>3738.5321977500003</v>
      </c>
      <c r="ACS67">
        <v>3738.5321977500003</v>
      </c>
      <c r="ACT67">
        <v>3738.5321977500003</v>
      </c>
      <c r="ACU67">
        <v>3738.5321977500003</v>
      </c>
      <c r="ACV67">
        <v>3738.5321977500003</v>
      </c>
      <c r="ACW67">
        <v>3738.5321977500003</v>
      </c>
      <c r="ACX67">
        <v>3738.5321977500003</v>
      </c>
      <c r="ACY67">
        <v>3738.5321977500003</v>
      </c>
      <c r="ACZ67">
        <v>812.54775000000006</v>
      </c>
      <c r="ADA67">
        <v>3738.5321977500003</v>
      </c>
      <c r="ADB67">
        <v>3738.5321977500003</v>
      </c>
      <c r="ADC67">
        <v>3738.5321977500003</v>
      </c>
      <c r="ADD67">
        <v>3738.5321977500003</v>
      </c>
      <c r="ADE67">
        <v>3738.5321977500003</v>
      </c>
      <c r="ADF67">
        <v>3738.5321977500003</v>
      </c>
      <c r="ADG67">
        <v>3738.5321977500003</v>
      </c>
      <c r="ADH67">
        <v>3738.5321977500003</v>
      </c>
      <c r="ADI67">
        <v>3738.5321977500003</v>
      </c>
      <c r="ADJ67">
        <v>3738.5321977500003</v>
      </c>
      <c r="ADK67">
        <v>3738.5321977500003</v>
      </c>
      <c r="ADL67">
        <v>3738.5321977500003</v>
      </c>
      <c r="ADM67">
        <v>3738.5321977500003</v>
      </c>
      <c r="ADN67">
        <v>3738.5321977500003</v>
      </c>
      <c r="ADO67">
        <v>3738.5321977500003</v>
      </c>
      <c r="ADP67">
        <v>3738.5321977500003</v>
      </c>
      <c r="ADQ67">
        <v>3738.5321977500003</v>
      </c>
      <c r="ADR67">
        <v>3738.5321977500003</v>
      </c>
      <c r="ADS67">
        <v>3738.5321977500003</v>
      </c>
      <c r="ADT67">
        <v>3738.5321977500003</v>
      </c>
      <c r="ADU67">
        <v>3738.5321977500003</v>
      </c>
      <c r="ADV67">
        <v>3738.5321977500003</v>
      </c>
      <c r="ADW67">
        <v>3738.5321977500003</v>
      </c>
      <c r="ADX67">
        <v>3738.5321977500003</v>
      </c>
      <c r="ADY67">
        <v>3738.5321977500003</v>
      </c>
      <c r="ADZ67">
        <v>3738.5321977500003</v>
      </c>
      <c r="AEA67">
        <v>3738.5321977500003</v>
      </c>
      <c r="AEB67">
        <v>3738.5321977500003</v>
      </c>
      <c r="AEC67">
        <v>3738.5321977500003</v>
      </c>
      <c r="AED67">
        <v>3738.5321977500003</v>
      </c>
      <c r="AEE67">
        <v>3738.5321977500003</v>
      </c>
      <c r="AEF67">
        <v>3738.5321977500003</v>
      </c>
      <c r="AEG67">
        <v>3738.5321977500003</v>
      </c>
      <c r="AEH67">
        <v>3738.5321977500003</v>
      </c>
      <c r="AEI67">
        <v>3738.5321977500003</v>
      </c>
      <c r="AEJ67">
        <v>3738.5321977500003</v>
      </c>
      <c r="AEK67">
        <v>3738.5321977500003</v>
      </c>
      <c r="AEL67">
        <v>3738.5321977500003</v>
      </c>
      <c r="AEM67">
        <v>3738.5321977500003</v>
      </c>
      <c r="AEN67">
        <v>3738.5321977500003</v>
      </c>
      <c r="AEO67">
        <v>3738.5321977500003</v>
      </c>
      <c r="AEP67">
        <v>3738.5321977500003</v>
      </c>
      <c r="AEQ67">
        <v>3738.5321977500003</v>
      </c>
      <c r="AER67">
        <v>3738.5321977500003</v>
      </c>
      <c r="AES67">
        <v>3738.5321977500003</v>
      </c>
      <c r="AET67">
        <v>3738.5321977500003</v>
      </c>
      <c r="AEU67">
        <v>3738.5321977500003</v>
      </c>
      <c r="AEV67">
        <v>3738.5321977500003</v>
      </c>
      <c r="AEW67">
        <v>3738.5321977500003</v>
      </c>
      <c r="AEX67">
        <v>3738.5321977500003</v>
      </c>
      <c r="AEY67">
        <v>3738.5321977500003</v>
      </c>
      <c r="AEZ67">
        <v>3738.5321977500003</v>
      </c>
      <c r="AFA67">
        <v>3738.5321977500003</v>
      </c>
      <c r="AFB67">
        <v>3738.5321977500003</v>
      </c>
      <c r="AFC67">
        <v>3738.5321977500003</v>
      </c>
      <c r="AFD67">
        <v>3738.5321977500003</v>
      </c>
      <c r="AFE67">
        <v>3738.5321977500003</v>
      </c>
      <c r="AFF67">
        <v>3738.5321977500003</v>
      </c>
      <c r="AFG67">
        <v>3738.5321977500003</v>
      </c>
      <c r="AFH67">
        <v>3738.5321977500003</v>
      </c>
      <c r="AFI67">
        <v>3738.5321977500003</v>
      </c>
      <c r="AFJ67">
        <v>3738.5321977500003</v>
      </c>
      <c r="AFK67">
        <v>3738.5321977500003</v>
      </c>
      <c r="AFL67">
        <v>3738.5321977500003</v>
      </c>
      <c r="AFM67">
        <v>3738.5321977500003</v>
      </c>
      <c r="AFN67">
        <v>3738.5321977500003</v>
      </c>
      <c r="AFO67">
        <v>3738.5321977500003</v>
      </c>
      <c r="AFP67">
        <v>3738.5321977500003</v>
      </c>
      <c r="AFQ67">
        <v>3738.5321977500003</v>
      </c>
      <c r="AFR67">
        <v>3738.5321977500003</v>
      </c>
      <c r="AFS67">
        <v>3738.5321977500003</v>
      </c>
      <c r="AFT67">
        <v>2722.0349625000003</v>
      </c>
      <c r="AFU67">
        <v>3738.5321977500003</v>
      </c>
      <c r="AFV67">
        <v>3738.5321977500003</v>
      </c>
      <c r="AFW67">
        <v>3738.5321977500003</v>
      </c>
      <c r="AFX67">
        <v>3738.5321977500003</v>
      </c>
      <c r="AFY67">
        <v>3738.5321977500003</v>
      </c>
      <c r="AFZ67">
        <v>3738.5321977500003</v>
      </c>
      <c r="AGA67">
        <v>3738.5321977500003</v>
      </c>
      <c r="AGB67">
        <v>3738.5321977500003</v>
      </c>
      <c r="AGC67">
        <v>3738.5321977500003</v>
      </c>
      <c r="AGD67">
        <v>3738.5321977500003</v>
      </c>
      <c r="AGE67">
        <v>3738.5321977500003</v>
      </c>
      <c r="AGF67">
        <v>3738.5321977500003</v>
      </c>
      <c r="AGG67">
        <v>3738.5321977500003</v>
      </c>
      <c r="AGH67">
        <v>3738.5321977500003</v>
      </c>
      <c r="AGI67">
        <v>812.54775000000006</v>
      </c>
      <c r="AGJ67">
        <v>3738.5321977500003</v>
      </c>
      <c r="AGK67">
        <v>3738.5321977500003</v>
      </c>
      <c r="AGL67">
        <v>3738.5321977500003</v>
      </c>
      <c r="AGM67">
        <v>3738.5321977500003</v>
      </c>
      <c r="AGN67">
        <v>3738.5321977500003</v>
      </c>
      <c r="AGO67">
        <v>3738.5321977500003</v>
      </c>
      <c r="AGP67">
        <v>3738.5321977500003</v>
      </c>
      <c r="AGQ67">
        <v>3738.5321977500003</v>
      </c>
      <c r="AGR67">
        <v>3738.5321977500003</v>
      </c>
      <c r="AGS67">
        <v>3738.5321977500003</v>
      </c>
      <c r="AGT67">
        <v>3738.5321977500003</v>
      </c>
      <c r="AGU67">
        <v>3738.5321977500003</v>
      </c>
      <c r="AGV67">
        <v>3738.5321977500003</v>
      </c>
      <c r="AGW67">
        <v>3738.5321977500003</v>
      </c>
      <c r="AGX67">
        <v>3738.5321977500003</v>
      </c>
      <c r="AGY67">
        <v>3738.5321977500003</v>
      </c>
      <c r="AGZ67">
        <v>3738.5321977500003</v>
      </c>
      <c r="AHA67">
        <v>3738.5321977500003</v>
      </c>
      <c r="AHB67">
        <v>3738.5321977500003</v>
      </c>
      <c r="AHC67">
        <v>3738.5321977500003</v>
      </c>
      <c r="AHD67">
        <v>3738.5321977500003</v>
      </c>
      <c r="AHE67">
        <v>3738.5321977500003</v>
      </c>
      <c r="AHF67">
        <v>3738.5321977500003</v>
      </c>
      <c r="AHG67">
        <v>3738.5321977500003</v>
      </c>
      <c r="AHH67">
        <v>3738.5321977500003</v>
      </c>
      <c r="AHI67">
        <v>3738.5321977500003</v>
      </c>
      <c r="AHJ67">
        <v>3738.5321977500003</v>
      </c>
      <c r="AHK67">
        <v>3738.5321977500003</v>
      </c>
      <c r="AHL67">
        <v>3738.5321977500003</v>
      </c>
      <c r="AHM67">
        <v>3738.5321977500003</v>
      </c>
      <c r="AHN67">
        <v>3738.5321977500003</v>
      </c>
      <c r="AHO67">
        <v>3738.5321977500003</v>
      </c>
      <c r="AHP67">
        <v>3738.5321977500003</v>
      </c>
      <c r="AHQ67">
        <v>3738.5321977500003</v>
      </c>
      <c r="AHR67">
        <v>3738.5321977500003</v>
      </c>
      <c r="AHS67">
        <v>3738.5321977500003</v>
      </c>
      <c r="AHT67">
        <v>3738.5321977500003</v>
      </c>
      <c r="AHU67">
        <v>3738.5321977500003</v>
      </c>
      <c r="AHV67">
        <v>3738.5321977500003</v>
      </c>
      <c r="AHW67">
        <v>3738.5321977500003</v>
      </c>
      <c r="AHX67">
        <v>3738.5321977500003</v>
      </c>
      <c r="AHY67">
        <v>3738.5321977500003</v>
      </c>
      <c r="AHZ67">
        <v>3738.5321977500003</v>
      </c>
      <c r="AIA67">
        <v>3738.5321977500003</v>
      </c>
      <c r="AIB67">
        <v>3738.5321977500003</v>
      </c>
      <c r="AIC67">
        <v>3738.5321977500003</v>
      </c>
      <c r="AID67">
        <v>3738.5321977500003</v>
      </c>
      <c r="AIE67">
        <v>3738.5321977500003</v>
      </c>
      <c r="AIF67">
        <v>3738.5321977500003</v>
      </c>
      <c r="AIG67">
        <v>3738.5321977500003</v>
      </c>
      <c r="AIH67">
        <v>3738.5321977500003</v>
      </c>
      <c r="AII67">
        <v>3738.5321977500003</v>
      </c>
      <c r="AIJ67">
        <v>3738.5321977500003</v>
      </c>
      <c r="AIK67">
        <v>3738.5321977500003</v>
      </c>
      <c r="AIL67">
        <v>3738.5321977500003</v>
      </c>
      <c r="AIM67">
        <v>3738.5321977500003</v>
      </c>
      <c r="AIN67">
        <v>3738.5321977500003</v>
      </c>
      <c r="AIO67">
        <v>3738.5321977500003</v>
      </c>
      <c r="AIP67">
        <v>3738.5321977500003</v>
      </c>
      <c r="AIQ67">
        <v>3738.5321977500003</v>
      </c>
      <c r="AIR67">
        <v>3738.5321977500003</v>
      </c>
      <c r="AIS67">
        <v>3738.5321977500003</v>
      </c>
      <c r="AIT67">
        <v>3738.5321977500003</v>
      </c>
      <c r="AIU67">
        <v>3738.5321977500003</v>
      </c>
      <c r="AIV67">
        <v>3738.5321977500003</v>
      </c>
      <c r="AIW67">
        <v>3738.5321977500003</v>
      </c>
      <c r="AIX67">
        <v>3738.5321977500003</v>
      </c>
      <c r="AIY67">
        <v>3738.5321977500003</v>
      </c>
      <c r="AIZ67">
        <v>3738.5321977500003</v>
      </c>
      <c r="AJA67">
        <v>3738.5321977500003</v>
      </c>
      <c r="AJB67">
        <v>3738.5321977500003</v>
      </c>
      <c r="AJC67">
        <v>2722.0349625000003</v>
      </c>
      <c r="AJD67">
        <v>3738.5321977500003</v>
      </c>
      <c r="AJE67">
        <v>3738.5321977500003</v>
      </c>
      <c r="AJF67">
        <v>3738.5321977500003</v>
      </c>
      <c r="AJG67">
        <v>3738.5321977500003</v>
      </c>
      <c r="AJH67">
        <v>3738.5321977500003</v>
      </c>
      <c r="AJI67">
        <v>3738.5321977500003</v>
      </c>
      <c r="AJJ67">
        <v>3738.5321977500003</v>
      </c>
      <c r="AJK67">
        <v>3738.5321977500003</v>
      </c>
      <c r="AJL67">
        <v>3738.5321977500003</v>
      </c>
      <c r="AJM67">
        <v>3738.5321977500003</v>
      </c>
      <c r="AJN67">
        <v>3738.5321977500003</v>
      </c>
      <c r="AJO67">
        <v>3738.5321977500003</v>
      </c>
      <c r="AJP67">
        <v>3738.5321977500003</v>
      </c>
      <c r="AJQ67">
        <v>3738.5321977500003</v>
      </c>
    </row>
    <row r="68" spans="1:985" ht="14.4" customHeight="1" x14ac:dyDescent="0.55000000000000004">
      <c r="A68" t="s">
        <v>656</v>
      </c>
      <c r="B68" t="s">
        <v>652</v>
      </c>
      <c r="C68" s="1" t="s">
        <v>653</v>
      </c>
      <c r="CA68">
        <v>47</v>
      </c>
      <c r="CB68">
        <v>125.7</v>
      </c>
      <c r="CC68">
        <v>125.7</v>
      </c>
      <c r="CD68">
        <v>125.7</v>
      </c>
      <c r="CE68">
        <v>125.7</v>
      </c>
      <c r="CF68">
        <v>125.7</v>
      </c>
      <c r="CG68">
        <v>125.7</v>
      </c>
      <c r="CH68">
        <v>125.7</v>
      </c>
      <c r="CI68">
        <v>125.7</v>
      </c>
      <c r="CJ68">
        <v>125.7</v>
      </c>
      <c r="CK68">
        <v>125.7</v>
      </c>
      <c r="CL68">
        <v>125.7</v>
      </c>
      <c r="CM68">
        <v>125.7</v>
      </c>
      <c r="CN68">
        <v>125.7</v>
      </c>
      <c r="CO68">
        <v>125.7</v>
      </c>
      <c r="CP68">
        <v>125.7</v>
      </c>
      <c r="CQ68">
        <v>125.7</v>
      </c>
      <c r="CR68">
        <v>125.7</v>
      </c>
      <c r="CS68">
        <v>125.7</v>
      </c>
      <c r="CT68">
        <v>125.7</v>
      </c>
      <c r="CU68">
        <v>125.7</v>
      </c>
      <c r="CV68">
        <v>125.7</v>
      </c>
      <c r="CW68">
        <v>125.7</v>
      </c>
      <c r="CX68">
        <v>125.7</v>
      </c>
      <c r="CY68">
        <v>125.7</v>
      </c>
      <c r="CZ68">
        <v>125.7</v>
      </c>
      <c r="DA68">
        <v>125.7</v>
      </c>
      <c r="DB68">
        <v>125.7</v>
      </c>
      <c r="DC68">
        <v>125.7</v>
      </c>
      <c r="DD68">
        <v>125.7</v>
      </c>
      <c r="DE68">
        <v>125.7</v>
      </c>
      <c r="DF68">
        <v>125.7</v>
      </c>
      <c r="DG68">
        <v>125.7</v>
      </c>
      <c r="DH68">
        <v>125.7</v>
      </c>
      <c r="DI68">
        <v>125.7</v>
      </c>
      <c r="DJ68">
        <v>125.7</v>
      </c>
      <c r="DK68">
        <v>125.7</v>
      </c>
      <c r="DL68">
        <v>125.7</v>
      </c>
      <c r="DM68">
        <v>125.7</v>
      </c>
      <c r="DN68">
        <v>125.7</v>
      </c>
      <c r="DO68">
        <v>125.7</v>
      </c>
      <c r="DP68">
        <v>125.7</v>
      </c>
      <c r="DQ68">
        <v>125.7</v>
      </c>
      <c r="DR68">
        <v>125.7</v>
      </c>
      <c r="DS68">
        <v>125.7</v>
      </c>
      <c r="DT68">
        <v>125.7</v>
      </c>
      <c r="DU68">
        <v>125.7</v>
      </c>
      <c r="DV68">
        <v>125.7</v>
      </c>
      <c r="DW68">
        <v>125.7</v>
      </c>
      <c r="DX68">
        <v>125.7</v>
      </c>
      <c r="DY68">
        <v>125.7</v>
      </c>
      <c r="DZ68">
        <v>125.7</v>
      </c>
      <c r="EA68">
        <v>125.7</v>
      </c>
      <c r="EB68">
        <v>47</v>
      </c>
      <c r="EC68">
        <v>125.7</v>
      </c>
      <c r="ED68">
        <v>125.7</v>
      </c>
      <c r="EE68">
        <v>125.7</v>
      </c>
      <c r="EF68">
        <v>125.7</v>
      </c>
      <c r="EG68">
        <v>125.7</v>
      </c>
      <c r="EH68">
        <v>125.7</v>
      </c>
      <c r="EI68">
        <v>125.7</v>
      </c>
      <c r="EJ68">
        <v>125.7</v>
      </c>
      <c r="EK68">
        <v>125.7</v>
      </c>
      <c r="EL68">
        <v>125.7</v>
      </c>
      <c r="EM68">
        <v>125.7</v>
      </c>
      <c r="EN68">
        <v>125.7</v>
      </c>
      <c r="EO68">
        <v>125.7</v>
      </c>
      <c r="EP68">
        <v>125.7</v>
      </c>
      <c r="EQ68">
        <v>125.7</v>
      </c>
      <c r="ER68">
        <v>125.7</v>
      </c>
      <c r="ES68">
        <v>125.7</v>
      </c>
      <c r="ET68">
        <v>125.7</v>
      </c>
      <c r="EU68">
        <v>125.7</v>
      </c>
      <c r="EV68">
        <v>125.7</v>
      </c>
      <c r="EW68">
        <v>125.7</v>
      </c>
      <c r="EX68">
        <v>125.7</v>
      </c>
      <c r="EY68">
        <v>125.7</v>
      </c>
      <c r="EZ68">
        <v>125.7</v>
      </c>
      <c r="FA68">
        <v>125.7</v>
      </c>
      <c r="FB68">
        <v>125.7</v>
      </c>
      <c r="FC68">
        <v>125.7</v>
      </c>
      <c r="FD68">
        <v>125.7</v>
      </c>
      <c r="FE68">
        <v>125.7</v>
      </c>
      <c r="FF68">
        <v>125.7</v>
      </c>
      <c r="FG68">
        <v>125.7</v>
      </c>
      <c r="FH68">
        <v>125.7</v>
      </c>
      <c r="FI68">
        <v>125.7</v>
      </c>
      <c r="FJ68">
        <v>125.7</v>
      </c>
      <c r="FK68">
        <v>125.7</v>
      </c>
      <c r="FL68">
        <v>125.7</v>
      </c>
      <c r="FM68">
        <v>125.7</v>
      </c>
      <c r="FN68">
        <v>125.7</v>
      </c>
      <c r="FO68">
        <v>125.7</v>
      </c>
      <c r="FP68">
        <v>125.7</v>
      </c>
      <c r="FQ68">
        <v>125.7</v>
      </c>
      <c r="FR68">
        <v>125.7</v>
      </c>
      <c r="FS68">
        <v>125.7</v>
      </c>
      <c r="FT68">
        <v>125.7</v>
      </c>
      <c r="FU68">
        <v>125.7</v>
      </c>
      <c r="FV68">
        <v>125.7</v>
      </c>
      <c r="FW68">
        <v>125.7</v>
      </c>
      <c r="FX68">
        <v>125.7</v>
      </c>
      <c r="FY68">
        <v>125.7</v>
      </c>
      <c r="FZ68">
        <v>125.7</v>
      </c>
      <c r="GA68">
        <v>125.7</v>
      </c>
      <c r="GB68">
        <v>125.7</v>
      </c>
      <c r="GC68">
        <v>47</v>
      </c>
      <c r="GD68">
        <v>125.7</v>
      </c>
      <c r="GE68">
        <v>125.7</v>
      </c>
      <c r="GF68">
        <v>125.7</v>
      </c>
      <c r="GG68">
        <v>125.7</v>
      </c>
      <c r="GH68">
        <v>125.7</v>
      </c>
      <c r="GI68">
        <v>125.7</v>
      </c>
      <c r="GJ68">
        <v>125.7</v>
      </c>
      <c r="GK68">
        <v>125.7</v>
      </c>
      <c r="GL68">
        <v>125.7</v>
      </c>
      <c r="GM68">
        <v>125.7</v>
      </c>
      <c r="GN68">
        <v>125.7</v>
      </c>
      <c r="GO68">
        <v>125.7</v>
      </c>
      <c r="GP68">
        <v>125.7</v>
      </c>
      <c r="GQ68">
        <v>125.7</v>
      </c>
      <c r="GR68">
        <v>125.7</v>
      </c>
      <c r="GS68">
        <v>125.7</v>
      </c>
      <c r="GT68">
        <v>125.7</v>
      </c>
      <c r="GU68">
        <v>125.7</v>
      </c>
      <c r="GV68">
        <v>125.7</v>
      </c>
      <c r="GW68">
        <v>125.7</v>
      </c>
      <c r="GX68">
        <v>125.7</v>
      </c>
      <c r="GY68">
        <v>125.7</v>
      </c>
      <c r="GZ68">
        <v>125.7</v>
      </c>
      <c r="HA68">
        <v>125.7</v>
      </c>
      <c r="HB68">
        <v>125.7</v>
      </c>
      <c r="HC68">
        <v>125.7</v>
      </c>
      <c r="HD68">
        <v>125.7</v>
      </c>
      <c r="HE68">
        <v>125.7</v>
      </c>
      <c r="HF68">
        <v>125.7</v>
      </c>
      <c r="HG68">
        <v>125.7</v>
      </c>
      <c r="HH68">
        <v>125.7</v>
      </c>
      <c r="HI68">
        <v>125.7</v>
      </c>
      <c r="HJ68">
        <v>125.7</v>
      </c>
      <c r="HK68">
        <v>125.7</v>
      </c>
      <c r="HL68">
        <v>125.7</v>
      </c>
      <c r="HM68">
        <v>125.7</v>
      </c>
      <c r="HN68">
        <v>125.7</v>
      </c>
      <c r="HO68">
        <v>125.7</v>
      </c>
      <c r="HP68">
        <v>125.7</v>
      </c>
      <c r="HQ68">
        <v>125.7</v>
      </c>
      <c r="HR68">
        <v>125.7</v>
      </c>
      <c r="HS68">
        <v>125.7</v>
      </c>
      <c r="HT68">
        <v>125.7</v>
      </c>
      <c r="HU68">
        <v>125.7</v>
      </c>
      <c r="HV68">
        <v>125.7</v>
      </c>
      <c r="HW68">
        <v>125.7</v>
      </c>
      <c r="HX68">
        <v>125.7</v>
      </c>
      <c r="HY68">
        <v>125.7</v>
      </c>
      <c r="HZ68">
        <v>125.7</v>
      </c>
      <c r="IA68">
        <v>125.7</v>
      </c>
      <c r="IB68">
        <v>125.7</v>
      </c>
      <c r="IC68">
        <v>125.7</v>
      </c>
      <c r="ID68">
        <v>125.7</v>
      </c>
      <c r="IE68">
        <v>125.7</v>
      </c>
      <c r="IF68">
        <v>125.7</v>
      </c>
      <c r="IG68">
        <v>125.7</v>
      </c>
      <c r="IH68">
        <v>125.7</v>
      </c>
      <c r="II68">
        <v>125.7</v>
      </c>
      <c r="IJ68">
        <v>125.7</v>
      </c>
      <c r="IK68">
        <v>125.7</v>
      </c>
      <c r="IL68">
        <v>125.7</v>
      </c>
      <c r="IM68">
        <v>125.7</v>
      </c>
      <c r="IN68">
        <v>125.7</v>
      </c>
      <c r="IO68">
        <v>125.7</v>
      </c>
      <c r="IP68">
        <v>125.7</v>
      </c>
      <c r="IQ68">
        <v>125.7</v>
      </c>
      <c r="IR68">
        <v>125.7</v>
      </c>
      <c r="IS68">
        <v>125.7</v>
      </c>
      <c r="IT68">
        <v>125.7</v>
      </c>
      <c r="IU68">
        <v>125.7</v>
      </c>
      <c r="IV68">
        <v>125.7</v>
      </c>
      <c r="IW68">
        <v>125.7</v>
      </c>
      <c r="IX68">
        <v>28.000000000000004</v>
      </c>
      <c r="IY68">
        <v>128.82800000000003</v>
      </c>
      <c r="IZ68">
        <v>128.82800000000003</v>
      </c>
      <c r="JA68">
        <v>128.82800000000003</v>
      </c>
      <c r="JB68">
        <v>128.82800000000003</v>
      </c>
      <c r="JC68">
        <v>128.82800000000003</v>
      </c>
      <c r="JD68">
        <v>128.82800000000003</v>
      </c>
      <c r="JE68">
        <v>128.82800000000003</v>
      </c>
      <c r="JF68">
        <v>128.82800000000003</v>
      </c>
      <c r="JG68">
        <v>128.82800000000003</v>
      </c>
      <c r="JH68">
        <v>128.82800000000003</v>
      </c>
      <c r="JI68">
        <v>128.82800000000003</v>
      </c>
      <c r="JJ68">
        <v>128.82800000000003</v>
      </c>
      <c r="JK68">
        <v>128.82800000000003</v>
      </c>
      <c r="JL68">
        <v>128.82800000000003</v>
      </c>
      <c r="JM68">
        <v>128.82800000000003</v>
      </c>
      <c r="JN68">
        <v>128.82800000000003</v>
      </c>
      <c r="JO68">
        <v>128.82800000000003</v>
      </c>
      <c r="JP68">
        <v>128.82800000000003</v>
      </c>
      <c r="JQ68">
        <v>128.82800000000003</v>
      </c>
      <c r="JR68">
        <v>128.82800000000003</v>
      </c>
      <c r="JS68">
        <v>128.82800000000003</v>
      </c>
      <c r="JT68">
        <v>128.82800000000003</v>
      </c>
      <c r="JU68">
        <v>128.82800000000003</v>
      </c>
      <c r="JV68">
        <v>128.82800000000003</v>
      </c>
      <c r="JW68">
        <v>128.82800000000003</v>
      </c>
      <c r="JX68">
        <v>128.82800000000003</v>
      </c>
      <c r="JY68">
        <v>128.82800000000003</v>
      </c>
      <c r="JZ68">
        <v>128.82800000000003</v>
      </c>
      <c r="KA68">
        <v>128.82800000000003</v>
      </c>
      <c r="KB68">
        <v>128.82800000000003</v>
      </c>
      <c r="KC68">
        <v>128.82800000000003</v>
      </c>
      <c r="KD68">
        <v>128.82800000000003</v>
      </c>
      <c r="KE68">
        <v>128.82800000000003</v>
      </c>
      <c r="KF68">
        <v>128.82800000000003</v>
      </c>
      <c r="KG68">
        <v>128.82800000000003</v>
      </c>
      <c r="KH68">
        <v>128.82800000000003</v>
      </c>
      <c r="KI68">
        <v>128.82800000000003</v>
      </c>
      <c r="KJ68">
        <v>128.82800000000003</v>
      </c>
      <c r="KK68">
        <v>128.82800000000003</v>
      </c>
      <c r="KL68">
        <v>128.82800000000003</v>
      </c>
      <c r="KM68">
        <v>128.82800000000003</v>
      </c>
      <c r="KN68">
        <v>128.82800000000003</v>
      </c>
      <c r="KO68">
        <v>128.82800000000003</v>
      </c>
      <c r="KP68">
        <v>128.82800000000003</v>
      </c>
      <c r="KQ68">
        <v>128.82800000000003</v>
      </c>
      <c r="KR68">
        <v>128.82800000000003</v>
      </c>
      <c r="KS68">
        <v>128.82800000000003</v>
      </c>
      <c r="KT68">
        <v>128.82800000000003</v>
      </c>
      <c r="KU68">
        <v>128.82800000000003</v>
      </c>
      <c r="KV68">
        <v>128.82800000000003</v>
      </c>
      <c r="KW68">
        <v>128.82800000000003</v>
      </c>
      <c r="KX68">
        <v>128.82800000000003</v>
      </c>
      <c r="KY68">
        <v>128.82800000000003</v>
      </c>
      <c r="KZ68">
        <v>128.82800000000003</v>
      </c>
      <c r="LA68">
        <v>128.82800000000003</v>
      </c>
      <c r="LB68">
        <v>128.82800000000003</v>
      </c>
      <c r="LC68">
        <v>128.82800000000003</v>
      </c>
      <c r="LD68">
        <v>128.82800000000003</v>
      </c>
      <c r="LE68">
        <v>128.82800000000003</v>
      </c>
      <c r="LF68">
        <v>128.82800000000003</v>
      </c>
      <c r="LG68">
        <v>128.82800000000003</v>
      </c>
      <c r="LH68">
        <v>128.82800000000003</v>
      </c>
      <c r="LI68">
        <v>128.82800000000003</v>
      </c>
      <c r="LJ68">
        <v>128.82800000000003</v>
      </c>
      <c r="LK68">
        <v>128.82800000000003</v>
      </c>
      <c r="LL68">
        <v>128.82800000000003</v>
      </c>
      <c r="LM68">
        <v>128.82800000000003</v>
      </c>
      <c r="LN68">
        <v>128.82800000000003</v>
      </c>
      <c r="LO68">
        <v>128.82800000000003</v>
      </c>
      <c r="LP68">
        <v>128.82800000000003</v>
      </c>
      <c r="LQ68">
        <v>128.82800000000003</v>
      </c>
      <c r="LR68">
        <v>93.800000000000011</v>
      </c>
      <c r="LS68">
        <v>128.82800000000003</v>
      </c>
      <c r="LT68">
        <v>128.82800000000003</v>
      </c>
      <c r="LU68">
        <v>128.82800000000003</v>
      </c>
      <c r="LV68">
        <v>128.82800000000003</v>
      </c>
      <c r="LW68">
        <v>128.82800000000003</v>
      </c>
      <c r="LX68">
        <v>128.82800000000003</v>
      </c>
      <c r="LY68">
        <v>128.82800000000003</v>
      </c>
      <c r="LZ68">
        <v>128.82800000000003</v>
      </c>
      <c r="MA68">
        <v>128.82800000000003</v>
      </c>
      <c r="MB68">
        <v>128.82800000000003</v>
      </c>
      <c r="MC68">
        <v>128.82800000000003</v>
      </c>
      <c r="MD68">
        <v>128.82800000000003</v>
      </c>
      <c r="ME68">
        <v>128.82800000000003</v>
      </c>
      <c r="MF68">
        <v>128.82800000000003</v>
      </c>
      <c r="MG68">
        <v>28.004872000000002</v>
      </c>
      <c r="MH68">
        <v>128.850416072</v>
      </c>
      <c r="MI68">
        <v>128.850416072</v>
      </c>
      <c r="MJ68">
        <v>128.850416072</v>
      </c>
      <c r="MK68">
        <v>128.850416072</v>
      </c>
      <c r="ML68">
        <v>128.850416072</v>
      </c>
      <c r="MM68">
        <v>128.850416072</v>
      </c>
      <c r="MN68">
        <v>128.850416072</v>
      </c>
      <c r="MO68">
        <v>128.850416072</v>
      </c>
      <c r="MP68">
        <v>128.850416072</v>
      </c>
      <c r="MQ68">
        <v>128.850416072</v>
      </c>
      <c r="MR68">
        <v>128.850416072</v>
      </c>
      <c r="MS68">
        <v>128.850416072</v>
      </c>
      <c r="MT68">
        <v>128.850416072</v>
      </c>
      <c r="MU68">
        <v>128.850416072</v>
      </c>
      <c r="MV68">
        <v>128.850416072</v>
      </c>
      <c r="MW68">
        <v>128.850416072</v>
      </c>
      <c r="MX68">
        <v>128.850416072</v>
      </c>
      <c r="MY68">
        <v>128.850416072</v>
      </c>
      <c r="MZ68">
        <v>128.850416072</v>
      </c>
      <c r="NA68">
        <v>128.850416072</v>
      </c>
      <c r="NB68">
        <v>128.850416072</v>
      </c>
      <c r="NC68">
        <v>128.850416072</v>
      </c>
      <c r="ND68">
        <v>128.850416072</v>
      </c>
      <c r="NE68">
        <v>128.850416072</v>
      </c>
      <c r="NF68">
        <v>128.850416072</v>
      </c>
      <c r="NG68">
        <v>128.850416072</v>
      </c>
      <c r="NH68">
        <v>128.850416072</v>
      </c>
      <c r="NI68">
        <v>128.850416072</v>
      </c>
      <c r="NJ68">
        <v>128.850416072</v>
      </c>
      <c r="NK68">
        <v>128.850416072</v>
      </c>
      <c r="NL68">
        <v>128.850416072</v>
      </c>
      <c r="NM68">
        <v>128.850416072</v>
      </c>
      <c r="NN68">
        <v>128.850416072</v>
      </c>
      <c r="NO68">
        <v>128.850416072</v>
      </c>
      <c r="NP68">
        <v>128.850416072</v>
      </c>
      <c r="NQ68">
        <v>128.850416072</v>
      </c>
      <c r="NR68">
        <v>128.850416072</v>
      </c>
      <c r="NS68">
        <v>128.850416072</v>
      </c>
      <c r="NT68">
        <v>128.850416072</v>
      </c>
      <c r="NU68">
        <v>128.850416072</v>
      </c>
      <c r="NV68">
        <v>128.850416072</v>
      </c>
      <c r="NW68">
        <v>128.850416072</v>
      </c>
      <c r="NX68">
        <v>128.850416072</v>
      </c>
      <c r="NY68">
        <v>128.850416072</v>
      </c>
      <c r="NZ68">
        <v>128.850416072</v>
      </c>
      <c r="OA68">
        <v>128.850416072</v>
      </c>
      <c r="OB68">
        <v>128.850416072</v>
      </c>
      <c r="OC68">
        <v>128.850416072</v>
      </c>
      <c r="OD68">
        <v>128.850416072</v>
      </c>
      <c r="OE68">
        <v>128.850416072</v>
      </c>
      <c r="OF68">
        <v>128.850416072</v>
      </c>
      <c r="OG68">
        <v>128.850416072</v>
      </c>
      <c r="OH68">
        <v>128.850416072</v>
      </c>
      <c r="OI68">
        <v>128.850416072</v>
      </c>
      <c r="OJ68">
        <v>128.850416072</v>
      </c>
      <c r="OK68">
        <v>128.850416072</v>
      </c>
      <c r="OL68">
        <v>128.850416072</v>
      </c>
      <c r="OM68">
        <v>128.850416072</v>
      </c>
      <c r="ON68">
        <v>128.850416072</v>
      </c>
      <c r="OO68">
        <v>128.850416072</v>
      </c>
      <c r="OP68">
        <v>128.850416072</v>
      </c>
      <c r="OQ68">
        <v>128.850416072</v>
      </c>
      <c r="OR68">
        <v>128.850416072</v>
      </c>
      <c r="OS68">
        <v>128.850416072</v>
      </c>
      <c r="OT68">
        <v>128.850416072</v>
      </c>
      <c r="OU68">
        <v>128.850416072</v>
      </c>
      <c r="OV68">
        <v>128.850416072</v>
      </c>
      <c r="OW68">
        <v>128.850416072</v>
      </c>
      <c r="OX68">
        <v>128.850416072</v>
      </c>
      <c r="OY68">
        <v>128.850416072</v>
      </c>
      <c r="OZ68">
        <v>128.850416072</v>
      </c>
      <c r="PA68">
        <v>93.816321200000004</v>
      </c>
      <c r="PB68">
        <v>128.850416072</v>
      </c>
      <c r="PC68">
        <v>128.850416072</v>
      </c>
      <c r="PD68">
        <v>128.850416072</v>
      </c>
      <c r="PE68">
        <v>128.850416072</v>
      </c>
      <c r="PF68">
        <v>128.850416072</v>
      </c>
      <c r="PG68">
        <v>128.850416072</v>
      </c>
      <c r="PH68">
        <v>128.850416072</v>
      </c>
      <c r="PI68">
        <v>128.850416072</v>
      </c>
      <c r="PJ68">
        <v>128.850416072</v>
      </c>
      <c r="PK68">
        <v>128.850416072</v>
      </c>
      <c r="PL68">
        <v>128.850416072</v>
      </c>
      <c r="PM68">
        <v>128.850416072</v>
      </c>
      <c r="PN68">
        <v>128.850416072</v>
      </c>
      <c r="PO68">
        <v>128.850416072</v>
      </c>
      <c r="PP68">
        <v>28.450632000000002</v>
      </c>
      <c r="PQ68">
        <v>130.901357832</v>
      </c>
      <c r="PR68">
        <v>130.901357832</v>
      </c>
      <c r="PS68">
        <v>130.901357832</v>
      </c>
      <c r="PT68">
        <v>130.901357832</v>
      </c>
      <c r="PU68">
        <v>130.901357832</v>
      </c>
      <c r="PV68">
        <v>130.901357832</v>
      </c>
      <c r="PW68">
        <v>130.901357832</v>
      </c>
      <c r="PX68">
        <v>130.901357832</v>
      </c>
      <c r="PY68">
        <v>130.901357832</v>
      </c>
      <c r="PZ68">
        <v>130.901357832</v>
      </c>
      <c r="QA68">
        <v>130.901357832</v>
      </c>
      <c r="QB68">
        <v>130.901357832</v>
      </c>
      <c r="QC68">
        <v>130.901357832</v>
      </c>
      <c r="QD68">
        <v>130.901357832</v>
      </c>
      <c r="QE68">
        <v>130.901357832</v>
      </c>
      <c r="QF68">
        <v>130.901357832</v>
      </c>
      <c r="QG68">
        <v>130.901357832</v>
      </c>
      <c r="QH68">
        <v>130.901357832</v>
      </c>
      <c r="QI68">
        <v>130.901357832</v>
      </c>
      <c r="QJ68">
        <v>130.901357832</v>
      </c>
      <c r="QK68">
        <v>130.901357832</v>
      </c>
      <c r="QL68">
        <v>130.901357832</v>
      </c>
      <c r="QM68">
        <v>130.901357832</v>
      </c>
      <c r="QN68">
        <v>130.901357832</v>
      </c>
      <c r="QO68">
        <v>130.901357832</v>
      </c>
      <c r="QP68">
        <v>130.901357832</v>
      </c>
      <c r="QQ68">
        <v>130.901357832</v>
      </c>
      <c r="QR68">
        <v>130.901357832</v>
      </c>
      <c r="QS68">
        <v>130.901357832</v>
      </c>
      <c r="QT68">
        <v>130.901357832</v>
      </c>
      <c r="QU68">
        <v>130.901357832</v>
      </c>
      <c r="QV68">
        <v>130.901357832</v>
      </c>
      <c r="QW68">
        <v>130.901357832</v>
      </c>
      <c r="QX68">
        <v>130.901357832</v>
      </c>
      <c r="QY68">
        <v>130.901357832</v>
      </c>
      <c r="QZ68">
        <v>130.901357832</v>
      </c>
      <c r="RA68">
        <v>130.901357832</v>
      </c>
      <c r="RB68">
        <v>130.901357832</v>
      </c>
      <c r="RC68">
        <v>130.901357832</v>
      </c>
      <c r="RD68">
        <v>130.901357832</v>
      </c>
      <c r="RE68">
        <v>130.901357832</v>
      </c>
      <c r="RF68">
        <v>130.901357832</v>
      </c>
      <c r="RG68">
        <v>130.901357832</v>
      </c>
      <c r="RH68">
        <v>130.901357832</v>
      </c>
      <c r="RI68">
        <v>130.901357832</v>
      </c>
      <c r="RJ68">
        <v>130.901357832</v>
      </c>
      <c r="RK68">
        <v>130.901357832</v>
      </c>
      <c r="RL68">
        <v>130.901357832</v>
      </c>
      <c r="RM68">
        <v>130.901357832</v>
      </c>
      <c r="RN68">
        <v>130.901357832</v>
      </c>
      <c r="RO68">
        <v>130.901357832</v>
      </c>
      <c r="RP68">
        <v>130.901357832</v>
      </c>
      <c r="RQ68">
        <v>130.901357832</v>
      </c>
      <c r="RR68">
        <v>130.901357832</v>
      </c>
      <c r="RS68">
        <v>130.901357832</v>
      </c>
      <c r="RT68">
        <v>130.901357832</v>
      </c>
      <c r="RU68">
        <v>130.901357832</v>
      </c>
      <c r="RV68">
        <v>130.901357832</v>
      </c>
      <c r="RW68">
        <v>130.901357832</v>
      </c>
      <c r="RX68">
        <v>130.901357832</v>
      </c>
      <c r="RY68">
        <v>130.901357832</v>
      </c>
      <c r="RZ68">
        <v>130.901357832</v>
      </c>
      <c r="SA68">
        <v>130.901357832</v>
      </c>
      <c r="SB68">
        <v>130.901357832</v>
      </c>
      <c r="SC68">
        <v>130.901357832</v>
      </c>
      <c r="SD68">
        <v>130.901357832</v>
      </c>
      <c r="SE68">
        <v>130.901357832</v>
      </c>
      <c r="SF68">
        <v>130.901357832</v>
      </c>
      <c r="SG68">
        <v>130.901357832</v>
      </c>
      <c r="SH68">
        <v>130.901357832</v>
      </c>
      <c r="SI68">
        <v>130.901357832</v>
      </c>
      <c r="SJ68">
        <v>95.309617200000019</v>
      </c>
      <c r="SK68">
        <v>130.901357832</v>
      </c>
      <c r="SL68">
        <v>130.901357832</v>
      </c>
      <c r="SM68">
        <v>130.901357832</v>
      </c>
      <c r="SN68">
        <v>130.901357832</v>
      </c>
      <c r="SO68">
        <v>130.901357832</v>
      </c>
      <c r="SP68">
        <v>130.901357832</v>
      </c>
      <c r="SQ68">
        <v>130.901357832</v>
      </c>
      <c r="SR68">
        <v>130.901357832</v>
      </c>
      <c r="SS68">
        <v>130.901357832</v>
      </c>
      <c r="ST68">
        <v>130.901357832</v>
      </c>
      <c r="SU68">
        <v>130.901357832</v>
      </c>
      <c r="SV68">
        <v>130.901357832</v>
      </c>
      <c r="SW68">
        <v>130.901357832</v>
      </c>
      <c r="SX68">
        <v>130.901357832</v>
      </c>
      <c r="SY68">
        <v>29.305584000000003</v>
      </c>
      <c r="SZ68">
        <v>134.834991984</v>
      </c>
      <c r="TA68">
        <v>134.834991984</v>
      </c>
      <c r="TB68">
        <v>134.834991984</v>
      </c>
      <c r="TC68">
        <v>134.834991984</v>
      </c>
      <c r="TD68">
        <v>134.834991984</v>
      </c>
      <c r="TE68">
        <v>134.834991984</v>
      </c>
      <c r="TF68">
        <v>134.834991984</v>
      </c>
      <c r="TG68">
        <v>134.834991984</v>
      </c>
      <c r="TH68">
        <v>134.834991984</v>
      </c>
      <c r="TI68">
        <v>134.834991984</v>
      </c>
      <c r="TJ68">
        <v>134.834991984</v>
      </c>
      <c r="TK68">
        <v>134.834991984</v>
      </c>
      <c r="TL68">
        <v>134.834991984</v>
      </c>
      <c r="TM68">
        <v>134.834991984</v>
      </c>
      <c r="TN68">
        <v>134.834991984</v>
      </c>
      <c r="TO68">
        <v>134.834991984</v>
      </c>
      <c r="TP68">
        <v>134.834991984</v>
      </c>
      <c r="TQ68">
        <v>134.834991984</v>
      </c>
      <c r="TR68">
        <v>134.834991984</v>
      </c>
      <c r="TS68">
        <v>134.834991984</v>
      </c>
      <c r="TT68">
        <v>134.834991984</v>
      </c>
      <c r="TU68">
        <v>134.834991984</v>
      </c>
      <c r="TV68">
        <v>134.834991984</v>
      </c>
      <c r="TW68">
        <v>134.834991984</v>
      </c>
      <c r="TX68">
        <v>134.834991984</v>
      </c>
      <c r="TY68">
        <v>134.834991984</v>
      </c>
      <c r="TZ68">
        <v>134.834991984</v>
      </c>
      <c r="UA68">
        <v>134.834991984</v>
      </c>
      <c r="UB68">
        <v>134.834991984</v>
      </c>
      <c r="UC68">
        <v>134.834991984</v>
      </c>
      <c r="UD68">
        <v>134.834991984</v>
      </c>
      <c r="UE68">
        <v>134.834991984</v>
      </c>
      <c r="UF68">
        <v>134.834991984</v>
      </c>
      <c r="UG68">
        <v>134.834991984</v>
      </c>
      <c r="UH68">
        <v>134.834991984</v>
      </c>
      <c r="UI68">
        <v>134.834991984</v>
      </c>
      <c r="UJ68">
        <v>134.834991984</v>
      </c>
      <c r="UK68">
        <v>134.834991984</v>
      </c>
      <c r="UL68">
        <v>134.834991984</v>
      </c>
      <c r="UM68">
        <v>134.834991984</v>
      </c>
      <c r="UN68">
        <v>134.834991984</v>
      </c>
      <c r="UO68">
        <v>134.834991984</v>
      </c>
      <c r="UP68">
        <v>134.834991984</v>
      </c>
      <c r="UQ68">
        <v>134.834991984</v>
      </c>
      <c r="UR68">
        <v>134.834991984</v>
      </c>
      <c r="US68">
        <v>134.834991984</v>
      </c>
      <c r="UT68">
        <v>134.834991984</v>
      </c>
      <c r="UU68">
        <v>134.834991984</v>
      </c>
      <c r="UV68">
        <v>134.834991984</v>
      </c>
      <c r="UW68">
        <v>134.834991984</v>
      </c>
      <c r="UX68">
        <v>134.834991984</v>
      </c>
      <c r="UY68">
        <v>134.834991984</v>
      </c>
      <c r="UZ68">
        <v>134.834991984</v>
      </c>
      <c r="VA68">
        <v>134.834991984</v>
      </c>
      <c r="VB68">
        <v>134.834991984</v>
      </c>
      <c r="VC68">
        <v>134.834991984</v>
      </c>
      <c r="VD68">
        <v>134.834991984</v>
      </c>
      <c r="VE68">
        <v>134.834991984</v>
      </c>
      <c r="VF68">
        <v>134.834991984</v>
      </c>
      <c r="VG68">
        <v>134.834991984</v>
      </c>
      <c r="VH68">
        <v>134.834991984</v>
      </c>
      <c r="VI68">
        <v>134.834991984</v>
      </c>
      <c r="VJ68">
        <v>134.834991984</v>
      </c>
      <c r="VK68">
        <v>134.834991984</v>
      </c>
      <c r="VL68">
        <v>134.834991984</v>
      </c>
      <c r="VM68">
        <v>134.834991984</v>
      </c>
      <c r="VN68">
        <v>134.834991984</v>
      </c>
      <c r="VO68">
        <v>134.834991984</v>
      </c>
      <c r="VP68">
        <v>134.834991984</v>
      </c>
      <c r="VQ68">
        <v>134.834991984</v>
      </c>
      <c r="VR68">
        <v>134.834991984</v>
      </c>
      <c r="VS68">
        <v>98.1737064</v>
      </c>
      <c r="VT68">
        <v>134.834991984</v>
      </c>
      <c r="VU68">
        <v>134.834991984</v>
      </c>
      <c r="VV68">
        <v>134.834991984</v>
      </c>
      <c r="VW68">
        <v>134.834991984</v>
      </c>
      <c r="VX68">
        <v>134.834991984</v>
      </c>
      <c r="VY68">
        <v>134.834991984</v>
      </c>
      <c r="VZ68">
        <v>134.834991984</v>
      </c>
      <c r="WA68">
        <v>134.834991984</v>
      </c>
      <c r="WB68">
        <v>134.834991984</v>
      </c>
      <c r="WC68">
        <v>134.834991984</v>
      </c>
      <c r="WD68">
        <v>134.834991984</v>
      </c>
      <c r="WE68">
        <v>134.834991984</v>
      </c>
      <c r="WF68">
        <v>134.834991984</v>
      </c>
      <c r="WG68">
        <v>134.834991984</v>
      </c>
      <c r="WH68">
        <v>21.37968</v>
      </c>
      <c r="WI68">
        <v>98.367907680000016</v>
      </c>
      <c r="WJ68">
        <v>98.367907680000016</v>
      </c>
      <c r="WK68">
        <v>98.367907680000016</v>
      </c>
      <c r="WL68">
        <v>98.367907680000016</v>
      </c>
      <c r="WM68">
        <v>98.367907680000016</v>
      </c>
      <c r="WN68">
        <v>98.367907680000016</v>
      </c>
      <c r="WO68">
        <v>98.367907680000016</v>
      </c>
      <c r="WP68">
        <v>98.367907680000016</v>
      </c>
      <c r="WQ68">
        <v>98.367907680000016</v>
      </c>
      <c r="WR68">
        <v>98.367907680000016</v>
      </c>
      <c r="WS68">
        <v>98.367907680000016</v>
      </c>
      <c r="WT68">
        <v>98.367907680000016</v>
      </c>
      <c r="WU68">
        <v>98.367907680000016</v>
      </c>
      <c r="WV68">
        <v>98.367907680000016</v>
      </c>
      <c r="WW68">
        <v>98.367907680000016</v>
      </c>
      <c r="WX68">
        <v>98.367907680000016</v>
      </c>
      <c r="WY68">
        <v>98.367907680000016</v>
      </c>
      <c r="WZ68">
        <v>98.367907680000016</v>
      </c>
      <c r="XA68">
        <v>98.367907680000016</v>
      </c>
      <c r="XB68">
        <v>98.367907680000016</v>
      </c>
      <c r="XC68">
        <v>98.367907680000016</v>
      </c>
      <c r="XD68">
        <v>98.367907680000016</v>
      </c>
      <c r="XE68">
        <v>98.367907680000016</v>
      </c>
      <c r="XF68">
        <v>98.367907680000016</v>
      </c>
      <c r="XG68">
        <v>98.367907680000016</v>
      </c>
      <c r="XH68">
        <v>98.367907680000016</v>
      </c>
      <c r="XI68">
        <v>98.367907680000016</v>
      </c>
      <c r="XJ68">
        <v>98.367907680000016</v>
      </c>
      <c r="XK68">
        <v>98.367907680000016</v>
      </c>
      <c r="XL68">
        <v>98.367907680000016</v>
      </c>
      <c r="XM68">
        <v>98.367907680000016</v>
      </c>
      <c r="XN68">
        <v>98.367907680000016</v>
      </c>
      <c r="XO68">
        <v>98.367907680000016</v>
      </c>
      <c r="XP68">
        <v>98.367907680000016</v>
      </c>
      <c r="XQ68">
        <v>98.367907680000016</v>
      </c>
      <c r="XR68">
        <v>98.367907680000016</v>
      </c>
      <c r="XS68">
        <v>98.367907680000016</v>
      </c>
      <c r="XT68">
        <v>98.367907680000016</v>
      </c>
      <c r="XU68">
        <v>98.367907680000016</v>
      </c>
      <c r="XV68">
        <v>98.367907680000016</v>
      </c>
      <c r="XW68">
        <v>98.367907680000016</v>
      </c>
      <c r="XX68">
        <v>98.367907680000016</v>
      </c>
      <c r="XY68">
        <v>98.367907680000016</v>
      </c>
      <c r="XZ68">
        <v>98.367907680000016</v>
      </c>
      <c r="YA68">
        <v>98.367907680000016</v>
      </c>
      <c r="YB68">
        <v>98.367907680000016</v>
      </c>
      <c r="YC68">
        <v>98.367907680000016</v>
      </c>
      <c r="YD68">
        <v>98.367907680000016</v>
      </c>
      <c r="YE68">
        <v>98.367907680000016</v>
      </c>
      <c r="YF68">
        <v>98.367907680000016</v>
      </c>
      <c r="YG68">
        <v>98.367907680000016</v>
      </c>
      <c r="YH68">
        <v>98.367907680000016</v>
      </c>
      <c r="YI68">
        <v>98.367907680000016</v>
      </c>
      <c r="YJ68">
        <v>98.367907680000016</v>
      </c>
      <c r="YK68">
        <v>98.367907680000016</v>
      </c>
      <c r="YL68">
        <v>98.367907680000016</v>
      </c>
      <c r="YM68">
        <v>98.367907680000016</v>
      </c>
      <c r="YN68">
        <v>98.367907680000016</v>
      </c>
      <c r="YO68">
        <v>98.367907680000016</v>
      </c>
      <c r="YP68">
        <v>98.367907680000016</v>
      </c>
      <c r="YQ68">
        <v>98.367907680000016</v>
      </c>
      <c r="YR68">
        <v>98.367907680000016</v>
      </c>
      <c r="YS68">
        <v>98.367907680000016</v>
      </c>
      <c r="YT68">
        <v>98.367907680000016</v>
      </c>
      <c r="YU68">
        <v>98.367907680000016</v>
      </c>
      <c r="YV68">
        <v>98.367907680000016</v>
      </c>
      <c r="YW68">
        <v>98.367907680000016</v>
      </c>
      <c r="YX68">
        <v>98.367907680000016</v>
      </c>
      <c r="YY68">
        <v>98.367907680000016</v>
      </c>
      <c r="YZ68">
        <v>98.367907680000016</v>
      </c>
      <c r="ZA68">
        <v>98.367907680000016</v>
      </c>
      <c r="ZB68">
        <v>71.621927999999997</v>
      </c>
      <c r="ZC68">
        <v>98.367907680000016</v>
      </c>
      <c r="ZD68">
        <v>98.367907680000016</v>
      </c>
      <c r="ZE68">
        <v>98.367907680000016</v>
      </c>
      <c r="ZF68">
        <v>98.367907680000016</v>
      </c>
      <c r="ZG68">
        <v>98.367907680000016</v>
      </c>
      <c r="ZH68">
        <v>98.367907680000016</v>
      </c>
      <c r="ZI68">
        <v>98.367907680000016</v>
      </c>
      <c r="ZJ68">
        <v>98.367907680000016</v>
      </c>
      <c r="ZK68">
        <v>98.367907680000016</v>
      </c>
      <c r="ZL68">
        <v>98.367907680000016</v>
      </c>
      <c r="ZM68">
        <v>98.367907680000016</v>
      </c>
      <c r="ZN68">
        <v>98.367907680000016</v>
      </c>
      <c r="ZO68">
        <v>98.367907680000016</v>
      </c>
      <c r="ZP68">
        <v>98.367907680000016</v>
      </c>
      <c r="ZQ68">
        <v>18.6998</v>
      </c>
      <c r="ZR68">
        <v>86.03777980000001</v>
      </c>
      <c r="ZS68">
        <v>86.03777980000001</v>
      </c>
      <c r="ZT68">
        <v>86.03777980000001</v>
      </c>
      <c r="ZU68">
        <v>86.03777980000001</v>
      </c>
      <c r="ZV68">
        <v>86.03777980000001</v>
      </c>
      <c r="ZW68">
        <v>86.03777980000001</v>
      </c>
      <c r="ZX68">
        <v>86.03777980000001</v>
      </c>
      <c r="ZY68">
        <v>86.03777980000001</v>
      </c>
      <c r="ZZ68">
        <v>86.03777980000001</v>
      </c>
      <c r="AAA68">
        <v>86.03777980000001</v>
      </c>
      <c r="AAB68">
        <v>86.03777980000001</v>
      </c>
      <c r="AAC68">
        <v>86.03777980000001</v>
      </c>
      <c r="AAD68">
        <v>86.03777980000001</v>
      </c>
      <c r="AAE68">
        <v>86.03777980000001</v>
      </c>
      <c r="AAF68">
        <v>86.03777980000001</v>
      </c>
      <c r="AAG68">
        <v>86.03777980000001</v>
      </c>
      <c r="AAH68">
        <v>86.03777980000001</v>
      </c>
      <c r="AAI68">
        <v>86.03777980000001</v>
      </c>
      <c r="AAJ68">
        <v>86.03777980000001</v>
      </c>
      <c r="AAK68">
        <v>86.03777980000001</v>
      </c>
      <c r="AAL68">
        <v>86.03777980000001</v>
      </c>
      <c r="AAM68">
        <v>86.03777980000001</v>
      </c>
      <c r="AAN68">
        <v>86.03777980000001</v>
      </c>
      <c r="AAO68">
        <v>86.03777980000001</v>
      </c>
      <c r="AAP68">
        <v>86.03777980000001</v>
      </c>
      <c r="AAQ68">
        <v>86.03777980000001</v>
      </c>
      <c r="AAR68">
        <v>86.03777980000001</v>
      </c>
      <c r="AAS68">
        <v>86.03777980000001</v>
      </c>
      <c r="AAT68">
        <v>86.03777980000001</v>
      </c>
      <c r="AAU68">
        <v>86.03777980000001</v>
      </c>
      <c r="AAV68">
        <v>86.03777980000001</v>
      </c>
      <c r="AAW68">
        <v>86.03777980000001</v>
      </c>
      <c r="AAX68">
        <v>86.03777980000001</v>
      </c>
      <c r="AAY68">
        <v>86.03777980000001</v>
      </c>
      <c r="AAZ68">
        <v>86.03777980000001</v>
      </c>
      <c r="ABA68">
        <v>86.03777980000001</v>
      </c>
      <c r="ABB68">
        <v>86.03777980000001</v>
      </c>
      <c r="ABC68">
        <v>86.03777980000001</v>
      </c>
      <c r="ABD68">
        <v>86.03777980000001</v>
      </c>
      <c r="ABE68">
        <v>86.03777980000001</v>
      </c>
      <c r="ABF68">
        <v>86.03777980000001</v>
      </c>
      <c r="ABG68">
        <v>86.03777980000001</v>
      </c>
      <c r="ABH68">
        <v>86.03777980000001</v>
      </c>
      <c r="ABI68">
        <v>86.03777980000001</v>
      </c>
      <c r="ABJ68">
        <v>86.03777980000001</v>
      </c>
      <c r="ABK68">
        <v>86.03777980000001</v>
      </c>
      <c r="ABL68">
        <v>86.03777980000001</v>
      </c>
      <c r="ABM68">
        <v>86.03777980000001</v>
      </c>
      <c r="ABN68">
        <v>86.03777980000001</v>
      </c>
      <c r="ABO68">
        <v>86.03777980000001</v>
      </c>
      <c r="ABP68">
        <v>86.03777980000001</v>
      </c>
      <c r="ABQ68">
        <v>86.03777980000001</v>
      </c>
      <c r="ABR68">
        <v>86.03777980000001</v>
      </c>
      <c r="ABS68">
        <v>86.03777980000001</v>
      </c>
      <c r="ABT68">
        <v>86.03777980000001</v>
      </c>
      <c r="ABU68">
        <v>86.03777980000001</v>
      </c>
      <c r="ABV68">
        <v>86.03777980000001</v>
      </c>
      <c r="ABW68">
        <v>86.03777980000001</v>
      </c>
      <c r="ABX68">
        <v>86.03777980000001</v>
      </c>
      <c r="ABY68">
        <v>86.03777980000001</v>
      </c>
      <c r="ABZ68">
        <v>86.03777980000001</v>
      </c>
      <c r="ACA68">
        <v>86.03777980000001</v>
      </c>
      <c r="ACB68">
        <v>86.03777980000001</v>
      </c>
      <c r="ACC68">
        <v>86.03777980000001</v>
      </c>
      <c r="ACD68">
        <v>86.03777980000001</v>
      </c>
      <c r="ACE68">
        <v>86.03777980000001</v>
      </c>
      <c r="ACF68">
        <v>86.03777980000001</v>
      </c>
      <c r="ACG68">
        <v>86.03777980000001</v>
      </c>
      <c r="ACH68">
        <v>86.03777980000001</v>
      </c>
      <c r="ACI68">
        <v>86.03777980000001</v>
      </c>
      <c r="ACJ68">
        <v>86.03777980000001</v>
      </c>
      <c r="ACK68">
        <v>62.644330000000004</v>
      </c>
      <c r="ACL68">
        <v>86.03777980000001</v>
      </c>
      <c r="ACM68">
        <v>86.03777980000001</v>
      </c>
      <c r="ACN68">
        <v>86.03777980000001</v>
      </c>
      <c r="ACO68">
        <v>86.03777980000001</v>
      </c>
      <c r="ACP68">
        <v>86.03777980000001</v>
      </c>
      <c r="ACQ68">
        <v>86.03777980000001</v>
      </c>
      <c r="ACR68">
        <v>86.03777980000001</v>
      </c>
      <c r="ACS68">
        <v>86.03777980000001</v>
      </c>
      <c r="ACT68">
        <v>86.03777980000001</v>
      </c>
      <c r="ACU68">
        <v>86.03777980000001</v>
      </c>
      <c r="ACV68">
        <v>86.03777980000001</v>
      </c>
      <c r="ACW68">
        <v>86.03777980000001</v>
      </c>
      <c r="ACX68">
        <v>86.03777980000001</v>
      </c>
      <c r="ACY68">
        <v>86.03777980000001</v>
      </c>
      <c r="ACZ68">
        <v>18.6998</v>
      </c>
      <c r="ADA68">
        <v>86.03777980000001</v>
      </c>
      <c r="ADB68">
        <v>86.03777980000001</v>
      </c>
      <c r="ADC68">
        <v>86.03777980000001</v>
      </c>
      <c r="ADD68">
        <v>86.03777980000001</v>
      </c>
      <c r="ADE68">
        <v>86.03777980000001</v>
      </c>
      <c r="ADF68">
        <v>86.03777980000001</v>
      </c>
      <c r="ADG68">
        <v>86.03777980000001</v>
      </c>
      <c r="ADH68">
        <v>86.03777980000001</v>
      </c>
      <c r="ADI68">
        <v>86.03777980000001</v>
      </c>
      <c r="ADJ68">
        <v>86.03777980000001</v>
      </c>
      <c r="ADK68">
        <v>86.03777980000001</v>
      </c>
      <c r="ADL68">
        <v>86.03777980000001</v>
      </c>
      <c r="ADM68">
        <v>86.03777980000001</v>
      </c>
      <c r="ADN68">
        <v>86.03777980000001</v>
      </c>
      <c r="ADO68">
        <v>86.03777980000001</v>
      </c>
      <c r="ADP68">
        <v>86.03777980000001</v>
      </c>
      <c r="ADQ68">
        <v>86.03777980000001</v>
      </c>
      <c r="ADR68">
        <v>86.03777980000001</v>
      </c>
      <c r="ADS68">
        <v>86.03777980000001</v>
      </c>
      <c r="ADT68">
        <v>86.03777980000001</v>
      </c>
      <c r="ADU68">
        <v>86.03777980000001</v>
      </c>
      <c r="ADV68">
        <v>86.03777980000001</v>
      </c>
      <c r="ADW68">
        <v>86.03777980000001</v>
      </c>
      <c r="ADX68">
        <v>86.03777980000001</v>
      </c>
      <c r="ADY68">
        <v>86.03777980000001</v>
      </c>
      <c r="ADZ68">
        <v>86.03777980000001</v>
      </c>
      <c r="AEA68">
        <v>86.03777980000001</v>
      </c>
      <c r="AEB68">
        <v>86.03777980000001</v>
      </c>
      <c r="AEC68">
        <v>86.03777980000001</v>
      </c>
      <c r="AED68">
        <v>86.03777980000001</v>
      </c>
      <c r="AEE68">
        <v>86.03777980000001</v>
      </c>
      <c r="AEF68">
        <v>86.03777980000001</v>
      </c>
      <c r="AEG68">
        <v>86.03777980000001</v>
      </c>
      <c r="AEH68">
        <v>86.03777980000001</v>
      </c>
      <c r="AEI68">
        <v>86.03777980000001</v>
      </c>
      <c r="AEJ68">
        <v>86.03777980000001</v>
      </c>
      <c r="AEK68">
        <v>86.03777980000001</v>
      </c>
      <c r="AEL68">
        <v>86.03777980000001</v>
      </c>
      <c r="AEM68">
        <v>86.03777980000001</v>
      </c>
      <c r="AEN68">
        <v>86.03777980000001</v>
      </c>
      <c r="AEO68">
        <v>86.03777980000001</v>
      </c>
      <c r="AEP68">
        <v>86.03777980000001</v>
      </c>
      <c r="AEQ68">
        <v>86.03777980000001</v>
      </c>
      <c r="AER68">
        <v>86.03777980000001</v>
      </c>
      <c r="AES68">
        <v>86.03777980000001</v>
      </c>
      <c r="AET68">
        <v>86.03777980000001</v>
      </c>
      <c r="AEU68">
        <v>86.03777980000001</v>
      </c>
      <c r="AEV68">
        <v>86.03777980000001</v>
      </c>
      <c r="AEW68">
        <v>86.03777980000001</v>
      </c>
      <c r="AEX68">
        <v>86.03777980000001</v>
      </c>
      <c r="AEY68">
        <v>86.03777980000001</v>
      </c>
      <c r="AEZ68">
        <v>86.03777980000001</v>
      </c>
      <c r="AFA68">
        <v>86.03777980000001</v>
      </c>
      <c r="AFB68">
        <v>86.03777980000001</v>
      </c>
      <c r="AFC68">
        <v>86.03777980000001</v>
      </c>
      <c r="AFD68">
        <v>86.03777980000001</v>
      </c>
      <c r="AFE68">
        <v>86.03777980000001</v>
      </c>
      <c r="AFF68">
        <v>86.03777980000001</v>
      </c>
      <c r="AFG68">
        <v>86.03777980000001</v>
      </c>
      <c r="AFH68">
        <v>86.03777980000001</v>
      </c>
      <c r="AFI68">
        <v>86.03777980000001</v>
      </c>
      <c r="AFJ68">
        <v>86.03777980000001</v>
      </c>
      <c r="AFK68">
        <v>86.03777980000001</v>
      </c>
      <c r="AFL68">
        <v>86.03777980000001</v>
      </c>
      <c r="AFM68">
        <v>86.03777980000001</v>
      </c>
      <c r="AFN68">
        <v>86.03777980000001</v>
      </c>
      <c r="AFO68">
        <v>86.03777980000001</v>
      </c>
      <c r="AFP68">
        <v>86.03777980000001</v>
      </c>
      <c r="AFQ68">
        <v>86.03777980000001</v>
      </c>
      <c r="AFR68">
        <v>86.03777980000001</v>
      </c>
      <c r="AFS68">
        <v>86.03777980000001</v>
      </c>
      <c r="AFT68">
        <v>62.644330000000004</v>
      </c>
      <c r="AFU68">
        <v>86.03777980000001</v>
      </c>
      <c r="AFV68">
        <v>86.03777980000001</v>
      </c>
      <c r="AFW68">
        <v>86.03777980000001</v>
      </c>
      <c r="AFX68">
        <v>86.03777980000001</v>
      </c>
      <c r="AFY68">
        <v>86.03777980000001</v>
      </c>
      <c r="AFZ68">
        <v>86.03777980000001</v>
      </c>
      <c r="AGA68">
        <v>86.03777980000001</v>
      </c>
      <c r="AGB68">
        <v>86.03777980000001</v>
      </c>
      <c r="AGC68">
        <v>86.03777980000001</v>
      </c>
      <c r="AGD68">
        <v>86.03777980000001</v>
      </c>
      <c r="AGE68">
        <v>86.03777980000001</v>
      </c>
      <c r="AGF68">
        <v>86.03777980000001</v>
      </c>
      <c r="AGG68">
        <v>86.03777980000001</v>
      </c>
      <c r="AGH68">
        <v>86.03777980000001</v>
      </c>
      <c r="AGI68">
        <v>18.6998</v>
      </c>
      <c r="AGJ68">
        <v>86.03777980000001</v>
      </c>
      <c r="AGK68">
        <v>86.03777980000001</v>
      </c>
      <c r="AGL68">
        <v>86.03777980000001</v>
      </c>
      <c r="AGM68">
        <v>86.03777980000001</v>
      </c>
      <c r="AGN68">
        <v>86.03777980000001</v>
      </c>
      <c r="AGO68">
        <v>86.03777980000001</v>
      </c>
      <c r="AGP68">
        <v>86.03777980000001</v>
      </c>
      <c r="AGQ68">
        <v>86.03777980000001</v>
      </c>
      <c r="AGR68">
        <v>86.03777980000001</v>
      </c>
      <c r="AGS68">
        <v>86.03777980000001</v>
      </c>
      <c r="AGT68">
        <v>86.03777980000001</v>
      </c>
      <c r="AGU68">
        <v>86.03777980000001</v>
      </c>
      <c r="AGV68">
        <v>86.03777980000001</v>
      </c>
      <c r="AGW68">
        <v>86.03777980000001</v>
      </c>
      <c r="AGX68">
        <v>86.03777980000001</v>
      </c>
      <c r="AGY68">
        <v>86.03777980000001</v>
      </c>
      <c r="AGZ68">
        <v>86.03777980000001</v>
      </c>
      <c r="AHA68">
        <v>86.03777980000001</v>
      </c>
      <c r="AHB68">
        <v>86.03777980000001</v>
      </c>
      <c r="AHC68">
        <v>86.03777980000001</v>
      </c>
      <c r="AHD68">
        <v>86.03777980000001</v>
      </c>
      <c r="AHE68">
        <v>86.03777980000001</v>
      </c>
      <c r="AHF68">
        <v>86.03777980000001</v>
      </c>
      <c r="AHG68">
        <v>86.03777980000001</v>
      </c>
      <c r="AHH68">
        <v>86.03777980000001</v>
      </c>
      <c r="AHI68">
        <v>86.03777980000001</v>
      </c>
      <c r="AHJ68">
        <v>86.03777980000001</v>
      </c>
      <c r="AHK68">
        <v>86.03777980000001</v>
      </c>
      <c r="AHL68">
        <v>86.03777980000001</v>
      </c>
      <c r="AHM68">
        <v>86.03777980000001</v>
      </c>
      <c r="AHN68">
        <v>86.03777980000001</v>
      </c>
      <c r="AHO68">
        <v>86.03777980000001</v>
      </c>
      <c r="AHP68">
        <v>86.03777980000001</v>
      </c>
      <c r="AHQ68">
        <v>86.03777980000001</v>
      </c>
      <c r="AHR68">
        <v>86.03777980000001</v>
      </c>
      <c r="AHS68">
        <v>86.03777980000001</v>
      </c>
      <c r="AHT68">
        <v>86.03777980000001</v>
      </c>
      <c r="AHU68">
        <v>86.03777980000001</v>
      </c>
      <c r="AHV68">
        <v>86.03777980000001</v>
      </c>
      <c r="AHW68">
        <v>86.03777980000001</v>
      </c>
      <c r="AHX68">
        <v>86.03777980000001</v>
      </c>
      <c r="AHY68">
        <v>86.03777980000001</v>
      </c>
      <c r="AHZ68">
        <v>86.03777980000001</v>
      </c>
      <c r="AIA68">
        <v>86.03777980000001</v>
      </c>
      <c r="AIB68">
        <v>86.03777980000001</v>
      </c>
      <c r="AIC68">
        <v>86.03777980000001</v>
      </c>
      <c r="AID68">
        <v>86.03777980000001</v>
      </c>
      <c r="AIE68">
        <v>86.03777980000001</v>
      </c>
      <c r="AIF68">
        <v>86.03777980000001</v>
      </c>
      <c r="AIG68">
        <v>86.03777980000001</v>
      </c>
      <c r="AIH68">
        <v>86.03777980000001</v>
      </c>
      <c r="AII68">
        <v>86.03777980000001</v>
      </c>
      <c r="AIJ68">
        <v>86.03777980000001</v>
      </c>
      <c r="AIK68">
        <v>86.03777980000001</v>
      </c>
      <c r="AIL68">
        <v>86.03777980000001</v>
      </c>
      <c r="AIM68">
        <v>86.03777980000001</v>
      </c>
      <c r="AIN68">
        <v>86.03777980000001</v>
      </c>
      <c r="AIO68">
        <v>86.03777980000001</v>
      </c>
      <c r="AIP68">
        <v>86.03777980000001</v>
      </c>
      <c r="AIQ68">
        <v>86.03777980000001</v>
      </c>
      <c r="AIR68">
        <v>86.03777980000001</v>
      </c>
      <c r="AIS68">
        <v>86.03777980000001</v>
      </c>
      <c r="AIT68">
        <v>86.03777980000001</v>
      </c>
      <c r="AIU68">
        <v>86.03777980000001</v>
      </c>
      <c r="AIV68">
        <v>86.03777980000001</v>
      </c>
      <c r="AIW68">
        <v>86.03777980000001</v>
      </c>
      <c r="AIX68">
        <v>86.03777980000001</v>
      </c>
      <c r="AIY68">
        <v>86.03777980000001</v>
      </c>
      <c r="AIZ68">
        <v>86.03777980000001</v>
      </c>
      <c r="AJA68">
        <v>86.03777980000001</v>
      </c>
      <c r="AJB68">
        <v>86.03777980000001</v>
      </c>
      <c r="AJC68">
        <v>62.644330000000004</v>
      </c>
      <c r="AJD68">
        <v>86.03777980000001</v>
      </c>
      <c r="AJE68">
        <v>86.03777980000001</v>
      </c>
      <c r="AJF68">
        <v>86.03777980000001</v>
      </c>
      <c r="AJG68">
        <v>86.03777980000001</v>
      </c>
      <c r="AJH68">
        <v>86.03777980000001</v>
      </c>
      <c r="AJI68">
        <v>86.03777980000001</v>
      </c>
      <c r="AJJ68">
        <v>86.03777980000001</v>
      </c>
      <c r="AJK68">
        <v>86.03777980000001</v>
      </c>
      <c r="AJL68">
        <v>86.03777980000001</v>
      </c>
      <c r="AJM68">
        <v>86.03777980000001</v>
      </c>
      <c r="AJN68">
        <v>86.03777980000001</v>
      </c>
      <c r="AJO68">
        <v>86.03777980000001</v>
      </c>
      <c r="AJP68">
        <v>86.03777980000001</v>
      </c>
      <c r="AJQ68">
        <v>86.03777980000001</v>
      </c>
    </row>
    <row r="69" spans="1:985" ht="14.4" customHeight="1" x14ac:dyDescent="0.55000000000000004">
      <c r="A69" t="s">
        <v>5</v>
      </c>
      <c r="B69" t="s">
        <v>646</v>
      </c>
      <c r="C69" s="1" t="s">
        <v>657</v>
      </c>
      <c r="CA69">
        <v>8658.24</v>
      </c>
      <c r="CB69">
        <v>8658.24</v>
      </c>
      <c r="CC69">
        <v>8658.24</v>
      </c>
      <c r="CD69">
        <v>8658.24</v>
      </c>
      <c r="CE69">
        <v>8658.24</v>
      </c>
      <c r="CF69">
        <v>8658.24</v>
      </c>
      <c r="CG69">
        <v>8658.24</v>
      </c>
      <c r="CH69">
        <v>8658.24</v>
      </c>
      <c r="CI69">
        <v>8658.24</v>
      </c>
      <c r="CJ69">
        <v>8658.24</v>
      </c>
      <c r="CK69">
        <v>8658.24</v>
      </c>
      <c r="CL69">
        <v>8658.24</v>
      </c>
      <c r="CM69">
        <v>8658.24</v>
      </c>
      <c r="CN69">
        <v>8658.24</v>
      </c>
      <c r="CO69">
        <v>8658.24</v>
      </c>
      <c r="CP69">
        <v>8658.24</v>
      </c>
      <c r="CQ69">
        <v>8658.24</v>
      </c>
      <c r="CR69">
        <v>8658.24</v>
      </c>
      <c r="CS69">
        <v>8658.24</v>
      </c>
      <c r="CT69">
        <v>8658.24</v>
      </c>
      <c r="CU69">
        <v>8658.24</v>
      </c>
      <c r="CV69">
        <v>8658.24</v>
      </c>
      <c r="CW69">
        <v>8658.24</v>
      </c>
      <c r="CX69">
        <v>8658.24</v>
      </c>
      <c r="CY69">
        <v>8658.24</v>
      </c>
      <c r="CZ69">
        <v>8658.24</v>
      </c>
      <c r="DA69">
        <v>8658.24</v>
      </c>
      <c r="DB69">
        <v>8658.24</v>
      </c>
      <c r="DC69">
        <v>8658.24</v>
      </c>
      <c r="DD69">
        <v>8658.24</v>
      </c>
      <c r="DE69">
        <v>8658.24</v>
      </c>
      <c r="DF69">
        <v>8658.24</v>
      </c>
      <c r="DG69">
        <v>8658.24</v>
      </c>
      <c r="DH69">
        <v>8658.24</v>
      </c>
      <c r="DI69">
        <v>8658.24</v>
      </c>
      <c r="DJ69">
        <v>8658.24</v>
      </c>
      <c r="DK69">
        <v>8658.24</v>
      </c>
      <c r="DL69">
        <v>8658.24</v>
      </c>
      <c r="DM69">
        <v>8658.24</v>
      </c>
      <c r="DN69">
        <v>8658.24</v>
      </c>
      <c r="DO69">
        <v>8658.24</v>
      </c>
      <c r="DP69">
        <v>8658.24</v>
      </c>
      <c r="DQ69">
        <v>8658.24</v>
      </c>
      <c r="DR69">
        <v>8658.24</v>
      </c>
      <c r="DS69">
        <v>8658.24</v>
      </c>
      <c r="DT69">
        <v>8658.24</v>
      </c>
      <c r="DU69">
        <v>8658.24</v>
      </c>
      <c r="DV69">
        <v>8658.24</v>
      </c>
      <c r="DW69">
        <v>8658.24</v>
      </c>
      <c r="DX69">
        <v>8658.24</v>
      </c>
      <c r="DY69">
        <v>8658.24</v>
      </c>
      <c r="DZ69">
        <v>8658.24</v>
      </c>
      <c r="EA69">
        <v>8658.24</v>
      </c>
      <c r="EB69">
        <v>8628.24</v>
      </c>
      <c r="EC69">
        <v>8628.24</v>
      </c>
      <c r="ED69">
        <v>8628.24</v>
      </c>
      <c r="EE69">
        <v>8628.24</v>
      </c>
      <c r="EF69">
        <v>8628.24</v>
      </c>
      <c r="EG69">
        <v>8628.24</v>
      </c>
      <c r="EH69">
        <v>8628.24</v>
      </c>
      <c r="EI69">
        <v>8628.24</v>
      </c>
      <c r="EJ69">
        <v>8628.24</v>
      </c>
      <c r="EK69">
        <v>8628.24</v>
      </c>
      <c r="EL69">
        <v>8628.24</v>
      </c>
      <c r="EM69">
        <v>8628.24</v>
      </c>
      <c r="EN69">
        <v>8628.24</v>
      </c>
      <c r="EO69">
        <v>8628.24</v>
      </c>
      <c r="EP69">
        <v>8628.24</v>
      </c>
      <c r="EQ69">
        <v>8628.24</v>
      </c>
      <c r="ER69">
        <v>8628.24</v>
      </c>
      <c r="ES69">
        <v>8628.24</v>
      </c>
      <c r="ET69">
        <v>8628.24</v>
      </c>
      <c r="EU69">
        <v>8628.24</v>
      </c>
      <c r="EV69">
        <v>8628.24</v>
      </c>
      <c r="EW69">
        <v>8628.24</v>
      </c>
      <c r="EX69">
        <v>8628.24</v>
      </c>
      <c r="EY69">
        <v>8628.24</v>
      </c>
      <c r="EZ69">
        <v>8628.24</v>
      </c>
      <c r="FA69">
        <v>8628.24</v>
      </c>
      <c r="FB69">
        <v>8628.24</v>
      </c>
      <c r="FC69">
        <v>8628.24</v>
      </c>
      <c r="FD69">
        <v>8628.24</v>
      </c>
      <c r="FE69">
        <v>8628.24</v>
      </c>
      <c r="FF69">
        <v>8628.24</v>
      </c>
      <c r="FG69">
        <v>8628.24</v>
      </c>
      <c r="FH69">
        <v>8628.24</v>
      </c>
      <c r="FI69">
        <v>8628.24</v>
      </c>
      <c r="FJ69">
        <v>8628.24</v>
      </c>
      <c r="FK69">
        <v>8628.24</v>
      </c>
      <c r="FL69">
        <v>8628.24</v>
      </c>
      <c r="FM69">
        <v>8628.24</v>
      </c>
      <c r="FN69">
        <v>8628.24</v>
      </c>
      <c r="FO69">
        <v>8628.24</v>
      </c>
      <c r="FP69">
        <v>8628.24</v>
      </c>
      <c r="FQ69">
        <v>8628.24</v>
      </c>
      <c r="FR69">
        <v>8628.24</v>
      </c>
      <c r="FS69">
        <v>8628.24</v>
      </c>
      <c r="FT69">
        <v>8628.24</v>
      </c>
      <c r="FU69">
        <v>8628.24</v>
      </c>
      <c r="FV69">
        <v>8628.24</v>
      </c>
      <c r="FW69">
        <v>8628.24</v>
      </c>
      <c r="FX69">
        <v>8628.24</v>
      </c>
      <c r="FY69">
        <v>8628.24</v>
      </c>
      <c r="FZ69">
        <v>8628.24</v>
      </c>
      <c r="GA69">
        <v>8628.24</v>
      </c>
      <c r="GB69">
        <v>8628.24</v>
      </c>
      <c r="GC69">
        <v>8628.24</v>
      </c>
      <c r="GD69">
        <v>8628.24</v>
      </c>
      <c r="GE69">
        <v>8628.24</v>
      </c>
      <c r="GF69">
        <v>8628.24</v>
      </c>
      <c r="GG69">
        <v>8628.24</v>
      </c>
      <c r="GH69">
        <v>8628.24</v>
      </c>
      <c r="GI69">
        <v>8628.24</v>
      </c>
      <c r="GJ69">
        <v>8628.24</v>
      </c>
      <c r="GK69">
        <v>8628.24</v>
      </c>
      <c r="GL69">
        <v>8628.24</v>
      </c>
      <c r="GM69">
        <v>8628.24</v>
      </c>
      <c r="GN69">
        <v>8628.24</v>
      </c>
      <c r="GO69">
        <v>8628.24</v>
      </c>
      <c r="GP69">
        <v>8628.24</v>
      </c>
      <c r="GQ69">
        <v>8628.24</v>
      </c>
      <c r="GR69">
        <v>8628.24</v>
      </c>
      <c r="GS69">
        <v>8628.24</v>
      </c>
      <c r="GT69">
        <v>8628.24</v>
      </c>
      <c r="GU69">
        <v>8628.24</v>
      </c>
      <c r="GV69">
        <v>8628.24</v>
      </c>
      <c r="GW69">
        <v>8628.24</v>
      </c>
      <c r="GX69">
        <v>8628.24</v>
      </c>
      <c r="GY69">
        <v>8628.24</v>
      </c>
      <c r="GZ69">
        <v>8628.24</v>
      </c>
      <c r="HA69">
        <v>8628.24</v>
      </c>
      <c r="HB69">
        <v>8628.24</v>
      </c>
      <c r="HC69">
        <v>8628.24</v>
      </c>
      <c r="HD69">
        <v>8628.24</v>
      </c>
      <c r="HE69">
        <v>8628.24</v>
      </c>
      <c r="HF69">
        <v>8628.24</v>
      </c>
      <c r="HG69">
        <v>8628.24</v>
      </c>
      <c r="HH69">
        <v>8628.24</v>
      </c>
      <c r="HI69">
        <v>8628.24</v>
      </c>
      <c r="HJ69">
        <v>8628.24</v>
      </c>
      <c r="HK69">
        <v>8628.24</v>
      </c>
      <c r="HL69">
        <v>8628.24</v>
      </c>
      <c r="HM69">
        <v>8628.24</v>
      </c>
      <c r="HN69">
        <v>8628.24</v>
      </c>
      <c r="HO69">
        <v>8628.24</v>
      </c>
      <c r="HP69">
        <v>8628.24</v>
      </c>
      <c r="HQ69">
        <v>8628.24</v>
      </c>
      <c r="HR69">
        <v>8628.24</v>
      </c>
      <c r="HS69">
        <v>8628.24</v>
      </c>
      <c r="HT69">
        <v>8628.24</v>
      </c>
      <c r="HU69">
        <v>8628.24</v>
      </c>
      <c r="HV69">
        <v>8628.24</v>
      </c>
      <c r="HW69">
        <v>8628.24</v>
      </c>
      <c r="HX69">
        <v>8628.24</v>
      </c>
      <c r="HY69">
        <v>8628.24</v>
      </c>
      <c r="HZ69">
        <v>8628.24</v>
      </c>
      <c r="IA69">
        <v>8628.24</v>
      </c>
      <c r="IB69">
        <v>8628.24</v>
      </c>
      <c r="IC69">
        <v>8628.24</v>
      </c>
      <c r="ID69">
        <v>8628.24</v>
      </c>
      <c r="IE69">
        <v>8628.24</v>
      </c>
      <c r="IF69">
        <v>8628.24</v>
      </c>
      <c r="IG69">
        <v>8628.24</v>
      </c>
      <c r="IH69">
        <v>8628.24</v>
      </c>
      <c r="II69">
        <v>8628.24</v>
      </c>
      <c r="IJ69">
        <v>8628.24</v>
      </c>
      <c r="IK69">
        <v>8628.24</v>
      </c>
      <c r="IL69">
        <v>8628.24</v>
      </c>
      <c r="IM69">
        <v>8628.24</v>
      </c>
      <c r="IN69">
        <v>8628.24</v>
      </c>
      <c r="IO69">
        <v>8628.24</v>
      </c>
      <c r="IP69">
        <v>8628.24</v>
      </c>
      <c r="IQ69">
        <v>8628.24</v>
      </c>
      <c r="IR69">
        <v>8628.24</v>
      </c>
      <c r="IS69">
        <v>8628.24</v>
      </c>
      <c r="IT69">
        <v>8628.24</v>
      </c>
      <c r="IU69">
        <v>8628.24</v>
      </c>
      <c r="IV69">
        <v>8628.24</v>
      </c>
      <c r="IW69">
        <v>8628.24</v>
      </c>
      <c r="IX69">
        <v>8550.48</v>
      </c>
      <c r="IY69">
        <v>8550.48</v>
      </c>
      <c r="IZ69">
        <v>8550.48</v>
      </c>
      <c r="JA69">
        <v>8550.48</v>
      </c>
      <c r="JB69">
        <v>8550.48</v>
      </c>
      <c r="JC69">
        <v>8550.48</v>
      </c>
      <c r="JD69">
        <v>8550.48</v>
      </c>
      <c r="JE69">
        <v>8550.48</v>
      </c>
      <c r="JF69">
        <v>8550.48</v>
      </c>
      <c r="JG69">
        <v>8550.48</v>
      </c>
      <c r="JH69">
        <v>8550.48</v>
      </c>
      <c r="JI69">
        <v>8550.48</v>
      </c>
      <c r="JJ69">
        <v>8550.48</v>
      </c>
      <c r="JK69">
        <v>8550.48</v>
      </c>
      <c r="JL69">
        <v>8550.48</v>
      </c>
      <c r="JM69">
        <v>8550.48</v>
      </c>
      <c r="JN69">
        <v>8550.48</v>
      </c>
      <c r="JO69">
        <v>8550.48</v>
      </c>
      <c r="JP69">
        <v>8550.48</v>
      </c>
      <c r="JQ69">
        <v>8550.48</v>
      </c>
      <c r="JR69">
        <v>8550.48</v>
      </c>
      <c r="JS69">
        <v>8550.48</v>
      </c>
      <c r="JT69">
        <v>8550.48</v>
      </c>
      <c r="JU69">
        <v>8550.48</v>
      </c>
      <c r="JV69">
        <v>8550.48</v>
      </c>
      <c r="JW69">
        <v>8550.48</v>
      </c>
      <c r="JX69">
        <v>8550.48</v>
      </c>
      <c r="JY69">
        <v>8550.48</v>
      </c>
      <c r="JZ69">
        <v>8550.48</v>
      </c>
      <c r="KA69">
        <v>8550.48</v>
      </c>
      <c r="KB69">
        <v>8550.48</v>
      </c>
      <c r="KC69">
        <v>8550.48</v>
      </c>
      <c r="KD69">
        <v>8550.48</v>
      </c>
      <c r="KE69">
        <v>8550.48</v>
      </c>
      <c r="KF69">
        <v>8550.48</v>
      </c>
      <c r="KG69">
        <v>8550.48</v>
      </c>
      <c r="KH69">
        <v>8550.48</v>
      </c>
      <c r="KI69">
        <v>8550.48</v>
      </c>
      <c r="KJ69">
        <v>8550.48</v>
      </c>
      <c r="KK69">
        <v>8550.48</v>
      </c>
      <c r="KL69">
        <v>8550.48</v>
      </c>
      <c r="KM69">
        <v>8550.48</v>
      </c>
      <c r="KN69">
        <v>8550.48</v>
      </c>
      <c r="KO69">
        <v>8550.48</v>
      </c>
      <c r="KP69">
        <v>8550.48</v>
      </c>
      <c r="KQ69">
        <v>8550.48</v>
      </c>
      <c r="KR69">
        <v>8550.48</v>
      </c>
      <c r="KS69">
        <v>8550.48</v>
      </c>
      <c r="KT69">
        <v>8550.48</v>
      </c>
      <c r="KU69">
        <v>8550.48</v>
      </c>
      <c r="KV69">
        <v>8550.48</v>
      </c>
      <c r="KW69">
        <v>8550.48</v>
      </c>
      <c r="KX69">
        <v>8550.48</v>
      </c>
      <c r="KY69">
        <v>8550.48</v>
      </c>
      <c r="KZ69">
        <v>8550.48</v>
      </c>
      <c r="LA69">
        <v>8550.48</v>
      </c>
      <c r="LB69">
        <v>8550.48</v>
      </c>
      <c r="LC69">
        <v>8550.48</v>
      </c>
      <c r="LD69">
        <v>8550.48</v>
      </c>
      <c r="LE69">
        <v>8550.48</v>
      </c>
      <c r="LF69">
        <v>8550.48</v>
      </c>
      <c r="LG69">
        <v>8550.48</v>
      </c>
      <c r="LH69">
        <v>8550.48</v>
      </c>
      <c r="LI69">
        <v>8550.48</v>
      </c>
      <c r="LJ69">
        <v>8550.48</v>
      </c>
      <c r="LK69">
        <v>8550.48</v>
      </c>
      <c r="LL69">
        <v>8550.48</v>
      </c>
      <c r="LM69">
        <v>8550.48</v>
      </c>
      <c r="LN69">
        <v>8550.48</v>
      </c>
      <c r="LO69">
        <v>8550.48</v>
      </c>
      <c r="LP69">
        <v>8550.48</v>
      </c>
      <c r="LQ69">
        <v>8550.48</v>
      </c>
      <c r="LR69">
        <v>8550.48</v>
      </c>
      <c r="LS69">
        <v>8550.48</v>
      </c>
      <c r="LT69">
        <v>8550.48</v>
      </c>
      <c r="LU69">
        <v>8550.48</v>
      </c>
      <c r="LV69">
        <v>8550.48</v>
      </c>
      <c r="LW69">
        <v>8550.48</v>
      </c>
      <c r="LX69">
        <v>8550.48</v>
      </c>
      <c r="LY69">
        <v>8550.48</v>
      </c>
      <c r="LZ69">
        <v>8550.48</v>
      </c>
      <c r="MA69">
        <v>8550.48</v>
      </c>
      <c r="MB69">
        <v>8550.48</v>
      </c>
      <c r="MC69">
        <v>8550.48</v>
      </c>
      <c r="MD69">
        <v>8550.48</v>
      </c>
      <c r="ME69">
        <v>8550.48</v>
      </c>
      <c r="MF69">
        <v>8550.48</v>
      </c>
      <c r="MG69">
        <v>8538.4</v>
      </c>
      <c r="MH69">
        <v>8538.4</v>
      </c>
      <c r="MI69">
        <v>8538.4</v>
      </c>
      <c r="MJ69">
        <v>8538.4</v>
      </c>
      <c r="MK69">
        <v>8538.4</v>
      </c>
      <c r="ML69">
        <v>8538.4</v>
      </c>
      <c r="MM69">
        <v>8538.4</v>
      </c>
      <c r="MN69">
        <v>8538.4</v>
      </c>
      <c r="MO69">
        <v>8538.4</v>
      </c>
      <c r="MP69">
        <v>8538.4</v>
      </c>
      <c r="MQ69">
        <v>8538.4</v>
      </c>
      <c r="MR69">
        <v>8538.4</v>
      </c>
      <c r="MS69">
        <v>8538.4</v>
      </c>
      <c r="MT69">
        <v>8538.4</v>
      </c>
      <c r="MU69">
        <v>8538.4</v>
      </c>
      <c r="MV69">
        <v>8538.4</v>
      </c>
      <c r="MW69">
        <v>8538.4</v>
      </c>
      <c r="MX69">
        <v>8538.4</v>
      </c>
      <c r="MY69">
        <v>8538.4</v>
      </c>
      <c r="MZ69">
        <v>8538.4</v>
      </c>
      <c r="NA69">
        <v>8538.4</v>
      </c>
      <c r="NB69">
        <v>8538.4</v>
      </c>
      <c r="NC69">
        <v>8538.4</v>
      </c>
      <c r="ND69">
        <v>8538.4</v>
      </c>
      <c r="NE69">
        <v>8538.4</v>
      </c>
      <c r="NF69">
        <v>8538.4</v>
      </c>
      <c r="NG69">
        <v>8538.4</v>
      </c>
      <c r="NH69">
        <v>8538.4</v>
      </c>
      <c r="NI69">
        <v>8538.4</v>
      </c>
      <c r="NJ69">
        <v>8538.4</v>
      </c>
      <c r="NK69">
        <v>8538.4</v>
      </c>
      <c r="NL69">
        <v>8538.4</v>
      </c>
      <c r="NM69">
        <v>8538.4</v>
      </c>
      <c r="NN69">
        <v>8538.4</v>
      </c>
      <c r="NO69">
        <v>8538.4</v>
      </c>
      <c r="NP69">
        <v>8538.4</v>
      </c>
      <c r="NQ69">
        <v>8538.4</v>
      </c>
      <c r="NR69">
        <v>8538.4</v>
      </c>
      <c r="NS69">
        <v>8538.4</v>
      </c>
      <c r="NT69">
        <v>8538.4</v>
      </c>
      <c r="NU69">
        <v>8538.4</v>
      </c>
      <c r="NV69">
        <v>8538.4</v>
      </c>
      <c r="NW69">
        <v>8538.4</v>
      </c>
      <c r="NX69">
        <v>8538.4</v>
      </c>
      <c r="NY69">
        <v>8538.4</v>
      </c>
      <c r="NZ69">
        <v>8538.4</v>
      </c>
      <c r="OA69">
        <v>8538.4</v>
      </c>
      <c r="OB69">
        <v>8538.4</v>
      </c>
      <c r="OC69">
        <v>8538.4</v>
      </c>
      <c r="OD69">
        <v>8538.4</v>
      </c>
      <c r="OE69">
        <v>8538.4</v>
      </c>
      <c r="OF69">
        <v>8538.4</v>
      </c>
      <c r="OG69">
        <v>8538.4</v>
      </c>
      <c r="OH69">
        <v>8538.4</v>
      </c>
      <c r="OI69">
        <v>8538.4</v>
      </c>
      <c r="OJ69">
        <v>8538.4</v>
      </c>
      <c r="OK69">
        <v>8538.4</v>
      </c>
      <c r="OL69">
        <v>8538.4</v>
      </c>
      <c r="OM69">
        <v>8538.4</v>
      </c>
      <c r="ON69">
        <v>8538.4</v>
      </c>
      <c r="OO69">
        <v>8538.4</v>
      </c>
      <c r="OP69">
        <v>8538.4</v>
      </c>
      <c r="OQ69">
        <v>8538.4</v>
      </c>
      <c r="OR69">
        <v>8538.4</v>
      </c>
      <c r="OS69">
        <v>8538.4</v>
      </c>
      <c r="OT69">
        <v>8538.4</v>
      </c>
      <c r="OU69">
        <v>8538.4</v>
      </c>
      <c r="OV69">
        <v>8538.4</v>
      </c>
      <c r="OW69">
        <v>8538.4</v>
      </c>
      <c r="OX69">
        <v>8538.4</v>
      </c>
      <c r="OY69">
        <v>8538.4</v>
      </c>
      <c r="OZ69">
        <v>8538.4</v>
      </c>
      <c r="PA69">
        <v>8538.4</v>
      </c>
      <c r="PB69">
        <v>8538.4</v>
      </c>
      <c r="PC69">
        <v>8538.4</v>
      </c>
      <c r="PD69">
        <v>8538.4</v>
      </c>
      <c r="PE69">
        <v>8538.4</v>
      </c>
      <c r="PF69">
        <v>8538.4</v>
      </c>
      <c r="PG69">
        <v>8538.4</v>
      </c>
      <c r="PH69">
        <v>8538.4</v>
      </c>
      <c r="PI69">
        <v>8538.4</v>
      </c>
      <c r="PJ69">
        <v>8538.4</v>
      </c>
      <c r="PK69">
        <v>8538.4</v>
      </c>
      <c r="PL69">
        <v>8538.4</v>
      </c>
      <c r="PM69">
        <v>8538.4</v>
      </c>
      <c r="PN69">
        <v>8538.4</v>
      </c>
      <c r="PO69">
        <v>8538.4</v>
      </c>
      <c r="PP69">
        <v>8545.44</v>
      </c>
      <c r="PQ69">
        <v>8545.44</v>
      </c>
      <c r="PR69">
        <v>8545.44</v>
      </c>
      <c r="PS69">
        <v>8545.44</v>
      </c>
      <c r="PT69">
        <v>8545.44</v>
      </c>
      <c r="PU69">
        <v>8545.44</v>
      </c>
      <c r="PV69">
        <v>8545.44</v>
      </c>
      <c r="PW69">
        <v>8545.44</v>
      </c>
      <c r="PX69">
        <v>8545.44</v>
      </c>
      <c r="PY69">
        <v>8545.44</v>
      </c>
      <c r="PZ69">
        <v>8545.44</v>
      </c>
      <c r="QA69">
        <v>8545.44</v>
      </c>
      <c r="QB69">
        <v>8545.44</v>
      </c>
      <c r="QC69">
        <v>8545.44</v>
      </c>
      <c r="QD69">
        <v>8545.44</v>
      </c>
      <c r="QE69">
        <v>8545.44</v>
      </c>
      <c r="QF69">
        <v>8545.44</v>
      </c>
      <c r="QG69">
        <v>8545.44</v>
      </c>
      <c r="QH69">
        <v>8545.44</v>
      </c>
      <c r="QI69">
        <v>8545.44</v>
      </c>
      <c r="QJ69">
        <v>8545.44</v>
      </c>
      <c r="QK69">
        <v>8545.44</v>
      </c>
      <c r="QL69">
        <v>8545.44</v>
      </c>
      <c r="QM69">
        <v>8545.44</v>
      </c>
      <c r="QN69">
        <v>8545.44</v>
      </c>
      <c r="QO69">
        <v>8545.44</v>
      </c>
      <c r="QP69">
        <v>8545.44</v>
      </c>
      <c r="QQ69">
        <v>8545.44</v>
      </c>
      <c r="QR69">
        <v>8545.44</v>
      </c>
      <c r="QS69">
        <v>8545.44</v>
      </c>
      <c r="QT69">
        <v>8545.44</v>
      </c>
      <c r="QU69">
        <v>8545.44</v>
      </c>
      <c r="QV69">
        <v>8545.44</v>
      </c>
      <c r="QW69">
        <v>8545.44</v>
      </c>
      <c r="QX69">
        <v>8545.44</v>
      </c>
      <c r="QY69">
        <v>8545.44</v>
      </c>
      <c r="QZ69">
        <v>8545.44</v>
      </c>
      <c r="RA69">
        <v>8545.44</v>
      </c>
      <c r="RB69">
        <v>8545.44</v>
      </c>
      <c r="RC69">
        <v>8545.44</v>
      </c>
      <c r="RD69">
        <v>8545.44</v>
      </c>
      <c r="RE69">
        <v>8545.44</v>
      </c>
      <c r="RF69">
        <v>8545.44</v>
      </c>
      <c r="RG69">
        <v>8545.44</v>
      </c>
      <c r="RH69">
        <v>8545.44</v>
      </c>
      <c r="RI69">
        <v>8545.44</v>
      </c>
      <c r="RJ69">
        <v>8545.44</v>
      </c>
      <c r="RK69">
        <v>8545.44</v>
      </c>
      <c r="RL69">
        <v>8545.44</v>
      </c>
      <c r="RM69">
        <v>8545.44</v>
      </c>
      <c r="RN69">
        <v>8545.44</v>
      </c>
      <c r="RO69">
        <v>8545.44</v>
      </c>
      <c r="RP69">
        <v>8545.44</v>
      </c>
      <c r="RQ69">
        <v>8545.44</v>
      </c>
      <c r="RR69">
        <v>8545.44</v>
      </c>
      <c r="RS69">
        <v>8545.44</v>
      </c>
      <c r="RT69">
        <v>8545.44</v>
      </c>
      <c r="RU69">
        <v>8545.44</v>
      </c>
      <c r="RV69">
        <v>8545.44</v>
      </c>
      <c r="RW69">
        <v>8545.44</v>
      </c>
      <c r="RX69">
        <v>8545.44</v>
      </c>
      <c r="RY69">
        <v>8545.44</v>
      </c>
      <c r="RZ69">
        <v>8545.44</v>
      </c>
      <c r="SA69">
        <v>8545.44</v>
      </c>
      <c r="SB69">
        <v>8545.44</v>
      </c>
      <c r="SC69">
        <v>8545.44</v>
      </c>
      <c r="SD69">
        <v>8545.44</v>
      </c>
      <c r="SE69">
        <v>8545.44</v>
      </c>
      <c r="SF69">
        <v>8545.44</v>
      </c>
      <c r="SG69">
        <v>8545.44</v>
      </c>
      <c r="SH69">
        <v>8545.44</v>
      </c>
      <c r="SI69">
        <v>8545.44</v>
      </c>
      <c r="SJ69">
        <v>8545.44</v>
      </c>
      <c r="SK69">
        <v>8545.44</v>
      </c>
      <c r="SL69">
        <v>8545.44</v>
      </c>
      <c r="SM69">
        <v>8545.44</v>
      </c>
      <c r="SN69">
        <v>8545.44</v>
      </c>
      <c r="SO69">
        <v>8545.44</v>
      </c>
      <c r="SP69">
        <v>8545.44</v>
      </c>
      <c r="SQ69">
        <v>8545.44</v>
      </c>
      <c r="SR69">
        <v>8545.44</v>
      </c>
      <c r="SS69">
        <v>8545.44</v>
      </c>
      <c r="ST69">
        <v>8545.44</v>
      </c>
      <c r="SU69">
        <v>8545.44</v>
      </c>
      <c r="SV69">
        <v>8545.44</v>
      </c>
      <c r="SW69">
        <v>8545.44</v>
      </c>
      <c r="SX69">
        <v>8545.44</v>
      </c>
      <c r="SY69">
        <v>8423.52</v>
      </c>
      <c r="SZ69">
        <v>8423.52</v>
      </c>
      <c r="TA69">
        <v>8423.52</v>
      </c>
      <c r="TB69">
        <v>8423.52</v>
      </c>
      <c r="TC69">
        <v>8423.52</v>
      </c>
      <c r="TD69">
        <v>8423.52</v>
      </c>
      <c r="TE69">
        <v>8423.52</v>
      </c>
      <c r="TF69">
        <v>8423.52</v>
      </c>
      <c r="TG69">
        <v>8423.52</v>
      </c>
      <c r="TH69">
        <v>8423.52</v>
      </c>
      <c r="TI69">
        <v>8423.52</v>
      </c>
      <c r="TJ69">
        <v>8423.52</v>
      </c>
      <c r="TK69">
        <v>8423.52</v>
      </c>
      <c r="TL69">
        <v>8423.52</v>
      </c>
      <c r="TM69">
        <v>8423.52</v>
      </c>
      <c r="TN69">
        <v>8423.52</v>
      </c>
      <c r="TO69">
        <v>8423.52</v>
      </c>
      <c r="TP69">
        <v>8423.52</v>
      </c>
      <c r="TQ69">
        <v>8423.52</v>
      </c>
      <c r="TR69">
        <v>8423.52</v>
      </c>
      <c r="TS69">
        <v>8423.52</v>
      </c>
      <c r="TT69">
        <v>8423.52</v>
      </c>
      <c r="TU69">
        <v>8423.52</v>
      </c>
      <c r="TV69">
        <v>8423.52</v>
      </c>
      <c r="TW69">
        <v>8423.52</v>
      </c>
      <c r="TX69">
        <v>8423.52</v>
      </c>
      <c r="TY69">
        <v>8423.52</v>
      </c>
      <c r="TZ69">
        <v>8423.52</v>
      </c>
      <c r="UA69">
        <v>8423.52</v>
      </c>
      <c r="UB69">
        <v>8423.52</v>
      </c>
      <c r="UC69">
        <v>8423.52</v>
      </c>
      <c r="UD69">
        <v>8423.52</v>
      </c>
      <c r="UE69">
        <v>8423.52</v>
      </c>
      <c r="UF69">
        <v>8423.52</v>
      </c>
      <c r="UG69">
        <v>8423.52</v>
      </c>
      <c r="UH69">
        <v>8423.52</v>
      </c>
      <c r="UI69">
        <v>8423.52</v>
      </c>
      <c r="UJ69">
        <v>8423.52</v>
      </c>
      <c r="UK69">
        <v>8423.52</v>
      </c>
      <c r="UL69">
        <v>8423.52</v>
      </c>
      <c r="UM69">
        <v>8423.52</v>
      </c>
      <c r="UN69">
        <v>8423.52</v>
      </c>
      <c r="UO69">
        <v>8423.52</v>
      </c>
      <c r="UP69">
        <v>8423.52</v>
      </c>
      <c r="UQ69">
        <v>8423.52</v>
      </c>
      <c r="UR69">
        <v>8423.52</v>
      </c>
      <c r="US69">
        <v>8423.52</v>
      </c>
      <c r="UT69">
        <v>8423.52</v>
      </c>
      <c r="UU69">
        <v>8423.52</v>
      </c>
      <c r="UV69">
        <v>8423.52</v>
      </c>
      <c r="UW69">
        <v>8423.52</v>
      </c>
      <c r="UX69">
        <v>8423.52</v>
      </c>
      <c r="UY69">
        <v>8423.52</v>
      </c>
      <c r="UZ69">
        <v>8423.52</v>
      </c>
      <c r="VA69">
        <v>8423.52</v>
      </c>
      <c r="VB69">
        <v>8423.52</v>
      </c>
      <c r="VC69">
        <v>8423.52</v>
      </c>
      <c r="VD69">
        <v>8423.52</v>
      </c>
      <c r="VE69">
        <v>8423.52</v>
      </c>
      <c r="VF69">
        <v>8423.52</v>
      </c>
      <c r="VG69">
        <v>8423.52</v>
      </c>
      <c r="VH69">
        <v>8423.52</v>
      </c>
      <c r="VI69">
        <v>8423.52</v>
      </c>
      <c r="VJ69">
        <v>8423.52</v>
      </c>
      <c r="VK69">
        <v>8423.52</v>
      </c>
      <c r="VL69">
        <v>8423.52</v>
      </c>
      <c r="VM69">
        <v>8423.52</v>
      </c>
      <c r="VN69">
        <v>8423.52</v>
      </c>
      <c r="VO69">
        <v>8423.52</v>
      </c>
      <c r="VP69">
        <v>8423.52</v>
      </c>
      <c r="VQ69">
        <v>8423.52</v>
      </c>
      <c r="VR69">
        <v>8423.52</v>
      </c>
      <c r="VS69">
        <v>8423.52</v>
      </c>
      <c r="VT69">
        <v>8423.52</v>
      </c>
      <c r="VU69">
        <v>8423.52</v>
      </c>
      <c r="VV69">
        <v>8423.52</v>
      </c>
      <c r="VW69">
        <v>8423.52</v>
      </c>
      <c r="VX69">
        <v>8423.52</v>
      </c>
      <c r="VY69">
        <v>8423.52</v>
      </c>
      <c r="VZ69">
        <v>8423.52</v>
      </c>
      <c r="WA69">
        <v>8423.52</v>
      </c>
      <c r="WB69">
        <v>8423.52</v>
      </c>
      <c r="WC69">
        <v>8423.52</v>
      </c>
      <c r="WD69">
        <v>8423.52</v>
      </c>
      <c r="WE69">
        <v>8423.52</v>
      </c>
      <c r="WF69">
        <v>8423.52</v>
      </c>
      <c r="WG69">
        <v>8423.52</v>
      </c>
      <c r="WH69">
        <v>7805.76</v>
      </c>
      <c r="WI69">
        <v>7805.76</v>
      </c>
      <c r="WJ69">
        <v>7805.76</v>
      </c>
      <c r="WK69">
        <v>7805.76</v>
      </c>
      <c r="WL69">
        <v>7805.76</v>
      </c>
      <c r="WM69">
        <v>7805.76</v>
      </c>
      <c r="WN69">
        <v>7805.76</v>
      </c>
      <c r="WO69">
        <v>7805.76</v>
      </c>
      <c r="WP69">
        <v>7805.76</v>
      </c>
      <c r="WQ69">
        <v>7805.76</v>
      </c>
      <c r="WR69">
        <v>7805.76</v>
      </c>
      <c r="WS69">
        <v>7805.76</v>
      </c>
      <c r="WT69">
        <v>7805.76</v>
      </c>
      <c r="WU69">
        <v>7805.76</v>
      </c>
      <c r="WV69">
        <v>7805.76</v>
      </c>
      <c r="WW69">
        <v>7805.76</v>
      </c>
      <c r="WX69">
        <v>7805.76</v>
      </c>
      <c r="WY69">
        <v>7805.76</v>
      </c>
      <c r="WZ69">
        <v>7805.76</v>
      </c>
      <c r="XA69">
        <v>7805.76</v>
      </c>
      <c r="XB69">
        <v>7805.76</v>
      </c>
      <c r="XC69">
        <v>7805.76</v>
      </c>
      <c r="XD69">
        <v>7805.76</v>
      </c>
      <c r="XE69">
        <v>7805.76</v>
      </c>
      <c r="XF69">
        <v>7805.76</v>
      </c>
      <c r="XG69">
        <v>7805.76</v>
      </c>
      <c r="XH69">
        <v>7805.76</v>
      </c>
      <c r="XI69">
        <v>7805.76</v>
      </c>
      <c r="XJ69">
        <v>7805.76</v>
      </c>
      <c r="XK69">
        <v>7805.76</v>
      </c>
      <c r="XL69">
        <v>7805.76</v>
      </c>
      <c r="XM69">
        <v>7805.76</v>
      </c>
      <c r="XN69">
        <v>7805.76</v>
      </c>
      <c r="XO69">
        <v>7805.76</v>
      </c>
      <c r="XP69">
        <v>7805.76</v>
      </c>
      <c r="XQ69">
        <v>7805.76</v>
      </c>
      <c r="XR69">
        <v>7805.76</v>
      </c>
      <c r="XS69">
        <v>7805.76</v>
      </c>
      <c r="XT69">
        <v>7805.76</v>
      </c>
      <c r="XU69">
        <v>7805.76</v>
      </c>
      <c r="XV69">
        <v>7805.76</v>
      </c>
      <c r="XW69">
        <v>7805.76</v>
      </c>
      <c r="XX69">
        <v>7805.76</v>
      </c>
      <c r="XY69">
        <v>7805.76</v>
      </c>
      <c r="XZ69">
        <v>7805.76</v>
      </c>
      <c r="YA69">
        <v>7805.76</v>
      </c>
      <c r="YB69">
        <v>7805.76</v>
      </c>
      <c r="YC69">
        <v>7805.76</v>
      </c>
      <c r="YD69">
        <v>7805.76</v>
      </c>
      <c r="YE69">
        <v>7805.76</v>
      </c>
      <c r="YF69">
        <v>7805.76</v>
      </c>
      <c r="YG69">
        <v>7805.76</v>
      </c>
      <c r="YH69">
        <v>7805.76</v>
      </c>
      <c r="YI69">
        <v>7805.76</v>
      </c>
      <c r="YJ69">
        <v>7805.76</v>
      </c>
      <c r="YK69">
        <v>7805.76</v>
      </c>
      <c r="YL69">
        <v>7805.76</v>
      </c>
      <c r="YM69">
        <v>7805.76</v>
      </c>
      <c r="YN69">
        <v>7805.76</v>
      </c>
      <c r="YO69">
        <v>7805.76</v>
      </c>
      <c r="YP69">
        <v>7805.76</v>
      </c>
      <c r="YQ69">
        <v>7805.76</v>
      </c>
      <c r="YR69">
        <v>7805.76</v>
      </c>
      <c r="YS69">
        <v>7805.76</v>
      </c>
      <c r="YT69">
        <v>7805.76</v>
      </c>
      <c r="YU69">
        <v>7805.76</v>
      </c>
      <c r="YV69">
        <v>7805.76</v>
      </c>
      <c r="YW69">
        <v>7805.76</v>
      </c>
      <c r="YX69">
        <v>7805.76</v>
      </c>
      <c r="YY69">
        <v>7805.76</v>
      </c>
      <c r="YZ69">
        <v>7805.76</v>
      </c>
      <c r="ZA69">
        <v>7805.76</v>
      </c>
      <c r="ZB69">
        <v>7805.76</v>
      </c>
      <c r="ZC69">
        <v>7805.76</v>
      </c>
      <c r="ZD69">
        <v>7805.76</v>
      </c>
      <c r="ZE69">
        <v>7805.76</v>
      </c>
      <c r="ZF69">
        <v>7805.76</v>
      </c>
      <c r="ZG69">
        <v>7805.76</v>
      </c>
      <c r="ZH69">
        <v>7805.76</v>
      </c>
      <c r="ZI69">
        <v>7805.76</v>
      </c>
      <c r="ZJ69">
        <v>7805.76</v>
      </c>
      <c r="ZK69">
        <v>7805.76</v>
      </c>
      <c r="ZL69">
        <v>7805.76</v>
      </c>
      <c r="ZM69">
        <v>7805.76</v>
      </c>
      <c r="ZN69">
        <v>7805.76</v>
      </c>
      <c r="ZO69">
        <v>7805.76</v>
      </c>
      <c r="ZP69">
        <v>7805.76</v>
      </c>
      <c r="ZQ69">
        <v>8160</v>
      </c>
      <c r="ZR69">
        <v>8160</v>
      </c>
      <c r="ZS69">
        <v>8160</v>
      </c>
      <c r="ZT69">
        <v>8160</v>
      </c>
      <c r="ZU69">
        <v>8160</v>
      </c>
      <c r="ZV69">
        <v>8160</v>
      </c>
      <c r="ZW69">
        <v>8160</v>
      </c>
      <c r="ZX69">
        <v>8160</v>
      </c>
      <c r="ZY69">
        <v>8160</v>
      </c>
      <c r="ZZ69">
        <v>8160</v>
      </c>
      <c r="AAA69">
        <v>8160</v>
      </c>
      <c r="AAB69">
        <v>8160</v>
      </c>
      <c r="AAC69">
        <v>8160</v>
      </c>
      <c r="AAD69">
        <v>8160</v>
      </c>
      <c r="AAE69">
        <v>8160</v>
      </c>
      <c r="AAF69">
        <v>8160</v>
      </c>
      <c r="AAG69">
        <v>8160</v>
      </c>
      <c r="AAH69">
        <v>8160</v>
      </c>
      <c r="AAI69">
        <v>8160</v>
      </c>
      <c r="AAJ69">
        <v>8160</v>
      </c>
      <c r="AAK69">
        <v>8160</v>
      </c>
      <c r="AAL69">
        <v>8160</v>
      </c>
      <c r="AAM69">
        <v>8160</v>
      </c>
      <c r="AAN69">
        <v>8160</v>
      </c>
      <c r="AAO69">
        <v>8160</v>
      </c>
      <c r="AAP69">
        <v>8160</v>
      </c>
      <c r="AAQ69">
        <v>8160</v>
      </c>
      <c r="AAR69">
        <v>8160</v>
      </c>
      <c r="AAS69">
        <v>8160</v>
      </c>
      <c r="AAT69">
        <v>8160</v>
      </c>
      <c r="AAU69">
        <v>8160</v>
      </c>
      <c r="AAV69">
        <v>8160</v>
      </c>
      <c r="AAW69">
        <v>8160</v>
      </c>
      <c r="AAX69">
        <v>8160</v>
      </c>
      <c r="AAY69">
        <v>8160</v>
      </c>
      <c r="AAZ69">
        <v>8160</v>
      </c>
      <c r="ABA69">
        <v>8160</v>
      </c>
      <c r="ABB69">
        <v>8160</v>
      </c>
      <c r="ABC69">
        <v>8160</v>
      </c>
      <c r="ABD69">
        <v>8160</v>
      </c>
      <c r="ABE69">
        <v>8160</v>
      </c>
      <c r="ABF69">
        <v>8160</v>
      </c>
      <c r="ABG69">
        <v>8160</v>
      </c>
      <c r="ABH69">
        <v>8160</v>
      </c>
      <c r="ABI69">
        <v>8160</v>
      </c>
      <c r="ABJ69">
        <v>8160</v>
      </c>
      <c r="ABK69">
        <v>8160</v>
      </c>
      <c r="ABL69">
        <v>8160</v>
      </c>
      <c r="ABM69">
        <v>8160</v>
      </c>
      <c r="ABN69">
        <v>8160</v>
      </c>
      <c r="ABO69">
        <v>8160</v>
      </c>
      <c r="ABP69">
        <v>8160</v>
      </c>
      <c r="ABQ69">
        <v>8160</v>
      </c>
      <c r="ABR69">
        <v>8160</v>
      </c>
      <c r="ABS69">
        <v>8160</v>
      </c>
      <c r="ABT69">
        <v>8160</v>
      </c>
      <c r="ABU69">
        <v>8160</v>
      </c>
      <c r="ABV69">
        <v>8160</v>
      </c>
      <c r="ABW69">
        <v>8160</v>
      </c>
      <c r="ABX69">
        <v>8160</v>
      </c>
      <c r="ABY69">
        <v>8160</v>
      </c>
      <c r="ABZ69">
        <v>8160</v>
      </c>
      <c r="ACA69">
        <v>8160</v>
      </c>
      <c r="ACB69">
        <v>8160</v>
      </c>
      <c r="ACC69">
        <v>8160</v>
      </c>
      <c r="ACD69">
        <v>8160</v>
      </c>
      <c r="ACE69">
        <v>8160</v>
      </c>
      <c r="ACF69">
        <v>8160</v>
      </c>
      <c r="ACG69">
        <v>8160</v>
      </c>
      <c r="ACH69">
        <v>8160</v>
      </c>
      <c r="ACI69">
        <v>8160</v>
      </c>
      <c r="ACJ69">
        <v>8160</v>
      </c>
      <c r="ACK69">
        <v>8160</v>
      </c>
      <c r="ACL69">
        <v>8160</v>
      </c>
      <c r="ACM69">
        <v>8160</v>
      </c>
      <c r="ACN69">
        <v>8160</v>
      </c>
      <c r="ACO69">
        <v>8160</v>
      </c>
      <c r="ACP69">
        <v>8160</v>
      </c>
      <c r="ACQ69">
        <v>8160</v>
      </c>
      <c r="ACR69">
        <v>8160</v>
      </c>
      <c r="ACS69">
        <v>8160</v>
      </c>
      <c r="ACT69">
        <v>8160</v>
      </c>
      <c r="ACU69">
        <v>8160</v>
      </c>
      <c r="ACV69">
        <v>8160</v>
      </c>
      <c r="ACW69">
        <v>8160</v>
      </c>
      <c r="ACX69">
        <v>8160</v>
      </c>
      <c r="ACY69">
        <v>8160</v>
      </c>
      <c r="ACZ69">
        <v>8160</v>
      </c>
      <c r="ADA69">
        <v>8160</v>
      </c>
      <c r="ADB69">
        <v>8160</v>
      </c>
      <c r="ADC69">
        <v>8160</v>
      </c>
      <c r="ADD69">
        <v>8160</v>
      </c>
      <c r="ADE69">
        <v>8160</v>
      </c>
      <c r="ADF69">
        <v>8160</v>
      </c>
      <c r="ADG69">
        <v>8160</v>
      </c>
      <c r="ADH69">
        <v>8160</v>
      </c>
      <c r="ADI69">
        <v>8160</v>
      </c>
      <c r="ADJ69">
        <v>8160</v>
      </c>
      <c r="ADK69">
        <v>8160</v>
      </c>
      <c r="ADL69">
        <v>8160</v>
      </c>
      <c r="ADM69">
        <v>8160</v>
      </c>
      <c r="ADN69">
        <v>8160</v>
      </c>
      <c r="ADO69">
        <v>8160</v>
      </c>
      <c r="ADP69">
        <v>8160</v>
      </c>
      <c r="ADQ69">
        <v>8160</v>
      </c>
      <c r="ADR69">
        <v>8160</v>
      </c>
      <c r="ADS69">
        <v>8160</v>
      </c>
      <c r="ADT69">
        <v>8160</v>
      </c>
      <c r="ADU69">
        <v>8160</v>
      </c>
      <c r="ADV69">
        <v>8160</v>
      </c>
      <c r="ADW69">
        <v>8160</v>
      </c>
      <c r="ADX69">
        <v>8160</v>
      </c>
      <c r="ADY69">
        <v>8160</v>
      </c>
      <c r="ADZ69">
        <v>8160</v>
      </c>
      <c r="AEA69">
        <v>8160</v>
      </c>
      <c r="AEB69">
        <v>8160</v>
      </c>
      <c r="AEC69">
        <v>8160</v>
      </c>
      <c r="AED69">
        <v>8160</v>
      </c>
      <c r="AEE69">
        <v>8160</v>
      </c>
      <c r="AEF69">
        <v>8160</v>
      </c>
      <c r="AEG69">
        <v>8160</v>
      </c>
      <c r="AEH69">
        <v>8160</v>
      </c>
      <c r="AEI69">
        <v>8160</v>
      </c>
      <c r="AEJ69">
        <v>8160</v>
      </c>
      <c r="AEK69">
        <v>8160</v>
      </c>
      <c r="AEL69">
        <v>8160</v>
      </c>
      <c r="AEM69">
        <v>8160</v>
      </c>
      <c r="AEN69">
        <v>8160</v>
      </c>
      <c r="AEO69">
        <v>8160</v>
      </c>
      <c r="AEP69">
        <v>8160</v>
      </c>
      <c r="AEQ69">
        <v>8160</v>
      </c>
      <c r="AER69">
        <v>8160</v>
      </c>
      <c r="AES69">
        <v>8160</v>
      </c>
      <c r="AET69">
        <v>8160</v>
      </c>
      <c r="AEU69">
        <v>8160</v>
      </c>
      <c r="AEV69">
        <v>8160</v>
      </c>
      <c r="AEW69">
        <v>8160</v>
      </c>
      <c r="AEX69">
        <v>8160</v>
      </c>
      <c r="AEY69">
        <v>8160</v>
      </c>
      <c r="AEZ69">
        <v>8160</v>
      </c>
      <c r="AFA69">
        <v>8160</v>
      </c>
      <c r="AFB69">
        <v>8160</v>
      </c>
      <c r="AFC69">
        <v>8160</v>
      </c>
      <c r="AFD69">
        <v>8160</v>
      </c>
      <c r="AFE69">
        <v>8160</v>
      </c>
      <c r="AFF69">
        <v>8160</v>
      </c>
      <c r="AFG69">
        <v>8160</v>
      </c>
      <c r="AFH69">
        <v>8160</v>
      </c>
      <c r="AFI69">
        <v>8160</v>
      </c>
      <c r="AFJ69">
        <v>8160</v>
      </c>
      <c r="AFK69">
        <v>8160</v>
      </c>
      <c r="AFL69">
        <v>8160</v>
      </c>
      <c r="AFM69">
        <v>8160</v>
      </c>
      <c r="AFN69">
        <v>8160</v>
      </c>
      <c r="AFO69">
        <v>8160</v>
      </c>
      <c r="AFP69">
        <v>8160</v>
      </c>
      <c r="AFQ69">
        <v>8160</v>
      </c>
      <c r="AFR69">
        <v>8160</v>
      </c>
      <c r="AFS69">
        <v>8160</v>
      </c>
      <c r="AFT69">
        <v>8160</v>
      </c>
      <c r="AFU69">
        <v>8160</v>
      </c>
      <c r="AFV69">
        <v>8160</v>
      </c>
      <c r="AFW69">
        <v>8160</v>
      </c>
      <c r="AFX69">
        <v>8160</v>
      </c>
      <c r="AFY69">
        <v>8160</v>
      </c>
      <c r="AFZ69">
        <v>8160</v>
      </c>
      <c r="AGA69">
        <v>8160</v>
      </c>
      <c r="AGB69">
        <v>8160</v>
      </c>
      <c r="AGC69">
        <v>8160</v>
      </c>
      <c r="AGD69">
        <v>8160</v>
      </c>
      <c r="AGE69">
        <v>8160</v>
      </c>
      <c r="AGF69">
        <v>8160</v>
      </c>
      <c r="AGG69">
        <v>8160</v>
      </c>
      <c r="AGH69">
        <v>8160</v>
      </c>
      <c r="AGI69">
        <v>8160</v>
      </c>
      <c r="AGJ69">
        <v>8160</v>
      </c>
      <c r="AGK69">
        <v>8160</v>
      </c>
      <c r="AGL69">
        <v>8160</v>
      </c>
      <c r="AGM69">
        <v>8160</v>
      </c>
      <c r="AGN69">
        <v>8160</v>
      </c>
      <c r="AGO69">
        <v>8160</v>
      </c>
      <c r="AGP69">
        <v>8160</v>
      </c>
      <c r="AGQ69">
        <v>8160</v>
      </c>
      <c r="AGR69">
        <v>8160</v>
      </c>
      <c r="AGS69">
        <v>8160</v>
      </c>
      <c r="AGT69">
        <v>8160</v>
      </c>
      <c r="AGU69">
        <v>8160</v>
      </c>
      <c r="AGV69">
        <v>8160</v>
      </c>
      <c r="AGW69">
        <v>8160</v>
      </c>
      <c r="AGX69">
        <v>8160</v>
      </c>
      <c r="AGY69">
        <v>8160</v>
      </c>
      <c r="AGZ69">
        <v>8160</v>
      </c>
      <c r="AHA69">
        <v>8160</v>
      </c>
      <c r="AHB69">
        <v>8160</v>
      </c>
      <c r="AHC69">
        <v>8160</v>
      </c>
      <c r="AHD69">
        <v>8160</v>
      </c>
      <c r="AHE69">
        <v>8160</v>
      </c>
      <c r="AHF69">
        <v>8160</v>
      </c>
      <c r="AHG69">
        <v>8160</v>
      </c>
      <c r="AHH69">
        <v>8160</v>
      </c>
      <c r="AHI69">
        <v>8160</v>
      </c>
      <c r="AHJ69">
        <v>8160</v>
      </c>
      <c r="AHK69">
        <v>8160</v>
      </c>
      <c r="AHL69">
        <v>8160</v>
      </c>
      <c r="AHM69">
        <v>8160</v>
      </c>
      <c r="AHN69">
        <v>8160</v>
      </c>
      <c r="AHO69">
        <v>8160</v>
      </c>
      <c r="AHP69">
        <v>8160</v>
      </c>
      <c r="AHQ69">
        <v>8160</v>
      </c>
      <c r="AHR69">
        <v>8160</v>
      </c>
      <c r="AHS69">
        <v>8160</v>
      </c>
      <c r="AHT69">
        <v>8160</v>
      </c>
      <c r="AHU69">
        <v>8160</v>
      </c>
      <c r="AHV69">
        <v>8160</v>
      </c>
      <c r="AHW69">
        <v>8160</v>
      </c>
      <c r="AHX69">
        <v>8160</v>
      </c>
      <c r="AHY69">
        <v>8160</v>
      </c>
      <c r="AHZ69">
        <v>8160</v>
      </c>
      <c r="AIA69">
        <v>8160</v>
      </c>
      <c r="AIB69">
        <v>8160</v>
      </c>
      <c r="AIC69">
        <v>8160</v>
      </c>
      <c r="AID69">
        <v>8160</v>
      </c>
      <c r="AIE69">
        <v>8160</v>
      </c>
      <c r="AIF69">
        <v>8160</v>
      </c>
      <c r="AIG69">
        <v>8160</v>
      </c>
      <c r="AIH69">
        <v>8160</v>
      </c>
      <c r="AII69">
        <v>8160</v>
      </c>
      <c r="AIJ69">
        <v>8160</v>
      </c>
      <c r="AIK69">
        <v>8160</v>
      </c>
      <c r="AIL69">
        <v>8160</v>
      </c>
      <c r="AIM69">
        <v>8160</v>
      </c>
      <c r="AIN69">
        <v>8160</v>
      </c>
      <c r="AIO69">
        <v>8160</v>
      </c>
      <c r="AIP69">
        <v>8160</v>
      </c>
      <c r="AIQ69">
        <v>8160</v>
      </c>
      <c r="AIR69">
        <v>8160</v>
      </c>
      <c r="AIS69">
        <v>8160</v>
      </c>
      <c r="AIT69">
        <v>8160</v>
      </c>
      <c r="AIU69">
        <v>8160</v>
      </c>
      <c r="AIV69">
        <v>8160</v>
      </c>
      <c r="AIW69">
        <v>8160</v>
      </c>
      <c r="AIX69">
        <v>8160</v>
      </c>
      <c r="AIY69">
        <v>8160</v>
      </c>
      <c r="AIZ69">
        <v>8160</v>
      </c>
      <c r="AJA69">
        <v>8160</v>
      </c>
      <c r="AJB69">
        <v>8160</v>
      </c>
      <c r="AJC69">
        <v>8160</v>
      </c>
      <c r="AJD69">
        <v>8160</v>
      </c>
      <c r="AJE69">
        <v>8160</v>
      </c>
      <c r="AJF69">
        <v>8160</v>
      </c>
      <c r="AJG69">
        <v>8160</v>
      </c>
      <c r="AJH69">
        <v>8160</v>
      </c>
      <c r="AJI69">
        <v>8160</v>
      </c>
      <c r="AJJ69">
        <v>8160</v>
      </c>
      <c r="AJK69">
        <v>8160</v>
      </c>
      <c r="AJL69">
        <v>8160</v>
      </c>
      <c r="AJM69">
        <v>8160</v>
      </c>
      <c r="AJN69">
        <v>8160</v>
      </c>
      <c r="AJO69">
        <v>8160</v>
      </c>
      <c r="AJP69">
        <v>8160</v>
      </c>
      <c r="AJQ69">
        <v>8160</v>
      </c>
    </row>
    <row r="70" spans="1:985" ht="14.4" customHeight="1" x14ac:dyDescent="0.55000000000000004">
      <c r="A70" t="s">
        <v>6</v>
      </c>
      <c r="B70" t="s">
        <v>660</v>
      </c>
      <c r="C70" s="1" t="s">
        <v>659</v>
      </c>
      <c r="CA70">
        <v>1</v>
      </c>
      <c r="CB70">
        <v>1</v>
      </c>
      <c r="CC70">
        <v>1</v>
      </c>
      <c r="CD70">
        <v>1</v>
      </c>
      <c r="CE70">
        <v>1</v>
      </c>
      <c r="CF70">
        <v>1</v>
      </c>
      <c r="CG70">
        <v>1</v>
      </c>
      <c r="CH70">
        <v>1</v>
      </c>
      <c r="CI70">
        <v>1</v>
      </c>
      <c r="CJ70">
        <v>1</v>
      </c>
      <c r="CK70">
        <v>1</v>
      </c>
      <c r="CL70">
        <v>1</v>
      </c>
      <c r="CM70">
        <v>1</v>
      </c>
      <c r="CN70">
        <v>1</v>
      </c>
      <c r="CO70">
        <v>1</v>
      </c>
      <c r="CP70">
        <v>1</v>
      </c>
      <c r="CQ70">
        <v>1</v>
      </c>
      <c r="CR70">
        <v>1</v>
      </c>
      <c r="CS70">
        <v>1</v>
      </c>
      <c r="CT70">
        <v>1</v>
      </c>
      <c r="CU70">
        <v>1</v>
      </c>
      <c r="CV70">
        <v>1</v>
      </c>
      <c r="CW70">
        <v>1</v>
      </c>
      <c r="CX70">
        <v>1</v>
      </c>
      <c r="CY70">
        <v>1</v>
      </c>
      <c r="CZ70">
        <v>1</v>
      </c>
      <c r="DA70">
        <v>1</v>
      </c>
      <c r="DB70">
        <v>1</v>
      </c>
      <c r="DC70">
        <v>1</v>
      </c>
      <c r="DD70">
        <v>1</v>
      </c>
      <c r="DE70">
        <v>1</v>
      </c>
      <c r="DF70">
        <v>1</v>
      </c>
      <c r="DG70">
        <v>1</v>
      </c>
      <c r="DH70">
        <v>1</v>
      </c>
      <c r="DI70">
        <v>1</v>
      </c>
      <c r="DJ70">
        <v>1</v>
      </c>
      <c r="DK70">
        <v>1</v>
      </c>
      <c r="DL70">
        <v>1</v>
      </c>
      <c r="DM70">
        <v>1</v>
      </c>
      <c r="DN70">
        <v>1</v>
      </c>
      <c r="DO70">
        <v>1</v>
      </c>
      <c r="DP70">
        <v>1</v>
      </c>
      <c r="DQ70">
        <v>1</v>
      </c>
      <c r="DR70">
        <v>1</v>
      </c>
      <c r="DS70">
        <v>1</v>
      </c>
      <c r="DT70">
        <v>1</v>
      </c>
      <c r="DU70">
        <v>1</v>
      </c>
      <c r="DV70">
        <v>1</v>
      </c>
      <c r="DW70">
        <v>1</v>
      </c>
      <c r="DX70">
        <v>1</v>
      </c>
      <c r="DY70">
        <v>1</v>
      </c>
      <c r="DZ70">
        <v>1</v>
      </c>
      <c r="EA70">
        <v>1</v>
      </c>
      <c r="EB70">
        <v>1</v>
      </c>
      <c r="EC70">
        <v>1</v>
      </c>
      <c r="ED70">
        <v>1</v>
      </c>
      <c r="EE70">
        <v>1</v>
      </c>
      <c r="EF70">
        <v>1</v>
      </c>
      <c r="EG70">
        <v>1</v>
      </c>
      <c r="EH70">
        <v>1</v>
      </c>
      <c r="EI70">
        <v>1</v>
      </c>
      <c r="EJ70">
        <v>1</v>
      </c>
      <c r="EK70">
        <v>1</v>
      </c>
      <c r="EL70">
        <v>1</v>
      </c>
      <c r="EM70">
        <v>1</v>
      </c>
      <c r="EN70">
        <v>1</v>
      </c>
      <c r="EO70">
        <v>1</v>
      </c>
      <c r="EP70">
        <v>1</v>
      </c>
      <c r="EQ70">
        <v>1</v>
      </c>
      <c r="ER70">
        <v>1</v>
      </c>
      <c r="ES70">
        <v>1</v>
      </c>
      <c r="ET70">
        <v>1</v>
      </c>
      <c r="EU70">
        <v>1</v>
      </c>
      <c r="EV70">
        <v>1</v>
      </c>
      <c r="EW70">
        <v>1</v>
      </c>
      <c r="EX70">
        <v>1</v>
      </c>
      <c r="EY70">
        <v>1</v>
      </c>
      <c r="EZ70">
        <v>1</v>
      </c>
      <c r="FA70">
        <v>1</v>
      </c>
      <c r="FB70">
        <v>1</v>
      </c>
      <c r="FC70">
        <v>1</v>
      </c>
      <c r="FD70">
        <v>1</v>
      </c>
      <c r="FE70">
        <v>1</v>
      </c>
      <c r="FF70">
        <v>1</v>
      </c>
      <c r="FG70">
        <v>1</v>
      </c>
      <c r="FH70">
        <v>1</v>
      </c>
      <c r="FI70">
        <v>1</v>
      </c>
      <c r="FJ70">
        <v>1</v>
      </c>
      <c r="FK70">
        <v>1</v>
      </c>
      <c r="FL70">
        <v>1</v>
      </c>
      <c r="FM70">
        <v>1</v>
      </c>
      <c r="FN70">
        <v>1</v>
      </c>
      <c r="FO70">
        <v>1</v>
      </c>
      <c r="FP70">
        <v>1</v>
      </c>
      <c r="FQ70">
        <v>1</v>
      </c>
      <c r="FR70">
        <v>1</v>
      </c>
      <c r="FS70">
        <v>1</v>
      </c>
      <c r="FT70">
        <v>1</v>
      </c>
      <c r="FU70">
        <v>1</v>
      </c>
      <c r="FV70">
        <v>1</v>
      </c>
      <c r="FW70">
        <v>1</v>
      </c>
      <c r="FX70">
        <v>1</v>
      </c>
      <c r="FY70">
        <v>1</v>
      </c>
      <c r="FZ70">
        <v>1</v>
      </c>
      <c r="GA70">
        <v>1</v>
      </c>
      <c r="GB70">
        <v>1</v>
      </c>
      <c r="GC70">
        <v>1</v>
      </c>
      <c r="GD70">
        <v>1</v>
      </c>
      <c r="GE70">
        <v>1</v>
      </c>
      <c r="GF70">
        <v>1</v>
      </c>
      <c r="GG70">
        <v>1</v>
      </c>
      <c r="GH70">
        <v>1</v>
      </c>
      <c r="GI70">
        <v>1</v>
      </c>
      <c r="GJ70">
        <v>1</v>
      </c>
      <c r="GK70">
        <v>1</v>
      </c>
      <c r="GL70">
        <v>1</v>
      </c>
      <c r="GM70">
        <v>1</v>
      </c>
      <c r="GN70">
        <v>1</v>
      </c>
      <c r="GO70">
        <v>1</v>
      </c>
      <c r="GP70">
        <v>1</v>
      </c>
      <c r="GQ70">
        <v>1</v>
      </c>
      <c r="GR70">
        <v>1</v>
      </c>
      <c r="GS70">
        <v>1</v>
      </c>
      <c r="GT70">
        <v>1</v>
      </c>
      <c r="GU70">
        <v>1</v>
      </c>
      <c r="GV70">
        <v>1</v>
      </c>
      <c r="GW70">
        <v>1</v>
      </c>
      <c r="GX70">
        <v>1</v>
      </c>
      <c r="GY70">
        <v>1</v>
      </c>
      <c r="GZ70">
        <v>1</v>
      </c>
      <c r="HA70">
        <v>1</v>
      </c>
      <c r="HB70">
        <v>1</v>
      </c>
      <c r="HC70">
        <v>1</v>
      </c>
      <c r="HD70">
        <v>1</v>
      </c>
      <c r="HE70">
        <v>1</v>
      </c>
      <c r="HF70">
        <v>1</v>
      </c>
      <c r="HG70">
        <v>1</v>
      </c>
      <c r="HH70">
        <v>1</v>
      </c>
      <c r="HI70">
        <v>1</v>
      </c>
      <c r="HJ70">
        <v>1</v>
      </c>
      <c r="HK70">
        <v>1</v>
      </c>
      <c r="HL70">
        <v>1</v>
      </c>
      <c r="HM70">
        <v>1</v>
      </c>
      <c r="HN70">
        <v>1</v>
      </c>
      <c r="HO70">
        <v>1</v>
      </c>
      <c r="HP70">
        <v>1</v>
      </c>
      <c r="HQ70">
        <v>1</v>
      </c>
      <c r="HR70">
        <v>1</v>
      </c>
      <c r="HS70">
        <v>1</v>
      </c>
      <c r="HT70">
        <v>1</v>
      </c>
      <c r="HU70">
        <v>1</v>
      </c>
      <c r="HV70">
        <v>1</v>
      </c>
      <c r="HW70">
        <v>1</v>
      </c>
      <c r="HX70">
        <v>1</v>
      </c>
      <c r="HY70">
        <v>1</v>
      </c>
      <c r="HZ70">
        <v>1</v>
      </c>
      <c r="IA70">
        <v>1</v>
      </c>
      <c r="IB70">
        <v>1</v>
      </c>
      <c r="IC70">
        <v>1</v>
      </c>
      <c r="ID70">
        <v>1</v>
      </c>
      <c r="IE70">
        <v>1</v>
      </c>
      <c r="IF70">
        <v>1</v>
      </c>
      <c r="IG70">
        <v>1</v>
      </c>
      <c r="IH70">
        <v>1</v>
      </c>
      <c r="II70">
        <v>1</v>
      </c>
      <c r="IJ70">
        <v>1</v>
      </c>
      <c r="IK70">
        <v>1</v>
      </c>
      <c r="IL70">
        <v>1</v>
      </c>
      <c r="IM70">
        <v>1</v>
      </c>
      <c r="IN70">
        <v>1</v>
      </c>
      <c r="IO70">
        <v>1</v>
      </c>
      <c r="IP70">
        <v>1</v>
      </c>
      <c r="IQ70">
        <v>1</v>
      </c>
      <c r="IR70">
        <v>1</v>
      </c>
      <c r="IS70">
        <v>1</v>
      </c>
      <c r="IT70">
        <v>1</v>
      </c>
      <c r="IU70">
        <v>1</v>
      </c>
      <c r="IV70">
        <v>1</v>
      </c>
      <c r="IW70">
        <v>1</v>
      </c>
      <c r="IX70">
        <v>1</v>
      </c>
      <c r="IY70">
        <v>1</v>
      </c>
      <c r="IZ70">
        <v>1</v>
      </c>
      <c r="JA70">
        <v>1</v>
      </c>
      <c r="JB70">
        <v>1</v>
      </c>
      <c r="JC70">
        <v>1</v>
      </c>
      <c r="JD70">
        <v>1</v>
      </c>
      <c r="JE70">
        <v>1</v>
      </c>
      <c r="JF70">
        <v>1</v>
      </c>
      <c r="JG70">
        <v>1</v>
      </c>
      <c r="JH70">
        <v>1</v>
      </c>
      <c r="JI70">
        <v>1</v>
      </c>
      <c r="JJ70">
        <v>1</v>
      </c>
      <c r="JK70">
        <v>1</v>
      </c>
      <c r="JL70">
        <v>1</v>
      </c>
      <c r="JM70">
        <v>1</v>
      </c>
      <c r="JN70">
        <v>1</v>
      </c>
      <c r="JO70">
        <v>1</v>
      </c>
      <c r="JP70">
        <v>1</v>
      </c>
      <c r="JQ70">
        <v>1</v>
      </c>
      <c r="JR70">
        <v>1</v>
      </c>
      <c r="JS70">
        <v>1</v>
      </c>
      <c r="JT70">
        <v>1</v>
      </c>
      <c r="JU70">
        <v>1</v>
      </c>
      <c r="JV70">
        <v>1</v>
      </c>
      <c r="JW70">
        <v>1</v>
      </c>
      <c r="JX70">
        <v>1</v>
      </c>
      <c r="JY70">
        <v>1</v>
      </c>
      <c r="JZ70">
        <v>1</v>
      </c>
      <c r="KA70">
        <v>1</v>
      </c>
      <c r="KB70">
        <v>1</v>
      </c>
      <c r="KC70">
        <v>1</v>
      </c>
      <c r="KD70">
        <v>1</v>
      </c>
      <c r="KE70">
        <v>1</v>
      </c>
      <c r="KF70">
        <v>1</v>
      </c>
      <c r="KG70">
        <v>1</v>
      </c>
      <c r="KH70">
        <v>1</v>
      </c>
      <c r="KI70">
        <v>1</v>
      </c>
      <c r="KJ70">
        <v>1</v>
      </c>
      <c r="KK70">
        <v>1</v>
      </c>
      <c r="KL70">
        <v>1</v>
      </c>
      <c r="KM70">
        <v>1</v>
      </c>
      <c r="KN70">
        <v>1</v>
      </c>
      <c r="KO70">
        <v>1</v>
      </c>
      <c r="KP70">
        <v>1</v>
      </c>
      <c r="KQ70">
        <v>1</v>
      </c>
      <c r="KR70">
        <v>1</v>
      </c>
      <c r="KS70">
        <v>1</v>
      </c>
      <c r="KT70">
        <v>1</v>
      </c>
      <c r="KU70">
        <v>1</v>
      </c>
      <c r="KV70">
        <v>1</v>
      </c>
      <c r="KW70">
        <v>1</v>
      </c>
      <c r="KX70">
        <v>1</v>
      </c>
      <c r="KY70">
        <v>1</v>
      </c>
      <c r="KZ70">
        <v>1</v>
      </c>
      <c r="LA70">
        <v>1</v>
      </c>
      <c r="LB70">
        <v>1</v>
      </c>
      <c r="LC70">
        <v>1</v>
      </c>
      <c r="LD70">
        <v>1</v>
      </c>
      <c r="LE70">
        <v>1</v>
      </c>
      <c r="LF70">
        <v>1</v>
      </c>
      <c r="LG70">
        <v>1</v>
      </c>
      <c r="LH70">
        <v>1</v>
      </c>
      <c r="LI70">
        <v>1</v>
      </c>
      <c r="LJ70">
        <v>1</v>
      </c>
      <c r="LK70">
        <v>1</v>
      </c>
      <c r="LL70">
        <v>1</v>
      </c>
      <c r="LM70">
        <v>1</v>
      </c>
      <c r="LN70">
        <v>1</v>
      </c>
      <c r="LO70">
        <v>1</v>
      </c>
      <c r="LP70">
        <v>1</v>
      </c>
      <c r="LQ70">
        <v>1</v>
      </c>
      <c r="LR70">
        <v>1</v>
      </c>
      <c r="LS70">
        <v>1</v>
      </c>
      <c r="LT70">
        <v>1</v>
      </c>
      <c r="LU70">
        <v>1</v>
      </c>
      <c r="LV70">
        <v>1</v>
      </c>
      <c r="LW70">
        <v>1</v>
      </c>
      <c r="LX70">
        <v>1</v>
      </c>
      <c r="LY70">
        <v>1</v>
      </c>
      <c r="LZ70">
        <v>1</v>
      </c>
      <c r="MA70">
        <v>1</v>
      </c>
      <c r="MB70">
        <v>1</v>
      </c>
      <c r="MC70">
        <v>1</v>
      </c>
      <c r="MD70">
        <v>1</v>
      </c>
      <c r="ME70">
        <v>1</v>
      </c>
      <c r="MF70">
        <v>1</v>
      </c>
      <c r="MG70">
        <v>1</v>
      </c>
      <c r="MH70">
        <v>1</v>
      </c>
      <c r="MI70">
        <v>1</v>
      </c>
      <c r="MJ70">
        <v>1</v>
      </c>
      <c r="MK70">
        <v>1</v>
      </c>
      <c r="ML70">
        <v>1</v>
      </c>
      <c r="MM70">
        <v>1</v>
      </c>
      <c r="MN70">
        <v>1</v>
      </c>
      <c r="MO70">
        <v>1</v>
      </c>
      <c r="MP70">
        <v>1</v>
      </c>
      <c r="MQ70">
        <v>1</v>
      </c>
      <c r="MR70">
        <v>1</v>
      </c>
      <c r="MS70">
        <v>1</v>
      </c>
      <c r="MT70">
        <v>1</v>
      </c>
      <c r="MU70">
        <v>1</v>
      </c>
      <c r="MV70">
        <v>1</v>
      </c>
      <c r="MW70">
        <v>1</v>
      </c>
      <c r="MX70">
        <v>1</v>
      </c>
      <c r="MY70">
        <v>1</v>
      </c>
      <c r="MZ70">
        <v>1</v>
      </c>
      <c r="NA70">
        <v>1</v>
      </c>
      <c r="NB70">
        <v>1</v>
      </c>
      <c r="NC70">
        <v>1</v>
      </c>
      <c r="ND70">
        <v>1</v>
      </c>
      <c r="NE70">
        <v>1</v>
      </c>
      <c r="NF70">
        <v>1</v>
      </c>
      <c r="NG70">
        <v>1</v>
      </c>
      <c r="NH70">
        <v>1</v>
      </c>
      <c r="NI70">
        <v>1</v>
      </c>
      <c r="NJ70">
        <v>1</v>
      </c>
      <c r="NK70">
        <v>1</v>
      </c>
      <c r="NL70">
        <v>1</v>
      </c>
      <c r="NM70">
        <v>1</v>
      </c>
      <c r="NN70">
        <v>1</v>
      </c>
      <c r="NO70">
        <v>1</v>
      </c>
      <c r="NP70">
        <v>1</v>
      </c>
      <c r="NQ70">
        <v>1</v>
      </c>
      <c r="NR70">
        <v>1</v>
      </c>
      <c r="NS70">
        <v>1</v>
      </c>
      <c r="NT70">
        <v>1</v>
      </c>
      <c r="NU70">
        <v>1</v>
      </c>
      <c r="NV70">
        <v>1</v>
      </c>
      <c r="NW70">
        <v>1</v>
      </c>
      <c r="NX70">
        <v>1</v>
      </c>
      <c r="NY70">
        <v>1</v>
      </c>
      <c r="NZ70">
        <v>1</v>
      </c>
      <c r="OA70">
        <v>1</v>
      </c>
      <c r="OB70">
        <v>1</v>
      </c>
      <c r="OC70">
        <v>1</v>
      </c>
      <c r="OD70">
        <v>1</v>
      </c>
      <c r="OE70">
        <v>1</v>
      </c>
      <c r="OF70">
        <v>1</v>
      </c>
      <c r="OG70">
        <v>1</v>
      </c>
      <c r="OH70">
        <v>1</v>
      </c>
      <c r="OI70">
        <v>1</v>
      </c>
      <c r="OJ70">
        <v>1</v>
      </c>
      <c r="OK70">
        <v>1</v>
      </c>
      <c r="OL70">
        <v>1</v>
      </c>
      <c r="OM70">
        <v>1</v>
      </c>
      <c r="ON70">
        <v>1</v>
      </c>
      <c r="OO70">
        <v>1</v>
      </c>
      <c r="OP70">
        <v>1</v>
      </c>
      <c r="OQ70">
        <v>1</v>
      </c>
      <c r="OR70">
        <v>1</v>
      </c>
      <c r="OS70">
        <v>1</v>
      </c>
      <c r="OT70">
        <v>1</v>
      </c>
      <c r="OU70">
        <v>1</v>
      </c>
      <c r="OV70">
        <v>1</v>
      </c>
      <c r="OW70">
        <v>1</v>
      </c>
      <c r="OX70">
        <v>1</v>
      </c>
      <c r="OY70">
        <v>1</v>
      </c>
      <c r="OZ70">
        <v>1</v>
      </c>
      <c r="PA70">
        <v>1</v>
      </c>
      <c r="PB70">
        <v>1</v>
      </c>
      <c r="PC70">
        <v>1</v>
      </c>
      <c r="PD70">
        <v>1</v>
      </c>
      <c r="PE70">
        <v>1</v>
      </c>
      <c r="PF70">
        <v>1</v>
      </c>
      <c r="PG70">
        <v>1</v>
      </c>
      <c r="PH70">
        <v>1</v>
      </c>
      <c r="PI70">
        <v>1</v>
      </c>
      <c r="PJ70">
        <v>1</v>
      </c>
      <c r="PK70">
        <v>1</v>
      </c>
      <c r="PL70">
        <v>1</v>
      </c>
      <c r="PM70">
        <v>1</v>
      </c>
      <c r="PN70">
        <v>1</v>
      </c>
      <c r="PO70">
        <v>1</v>
      </c>
      <c r="PP70">
        <v>1</v>
      </c>
      <c r="PQ70">
        <v>1</v>
      </c>
      <c r="PR70">
        <v>1</v>
      </c>
      <c r="PS70">
        <v>1</v>
      </c>
      <c r="PT70">
        <v>1</v>
      </c>
      <c r="PU70">
        <v>1</v>
      </c>
      <c r="PV70">
        <v>1</v>
      </c>
      <c r="PW70">
        <v>1</v>
      </c>
      <c r="PX70">
        <v>1</v>
      </c>
      <c r="PY70">
        <v>1</v>
      </c>
      <c r="PZ70">
        <v>1</v>
      </c>
      <c r="QA70">
        <v>1</v>
      </c>
      <c r="QB70">
        <v>1</v>
      </c>
      <c r="QC70">
        <v>1</v>
      </c>
      <c r="QD70">
        <v>1</v>
      </c>
      <c r="QE70">
        <v>1</v>
      </c>
      <c r="QF70">
        <v>1</v>
      </c>
      <c r="QG70">
        <v>1</v>
      </c>
      <c r="QH70">
        <v>1</v>
      </c>
      <c r="QI70">
        <v>1</v>
      </c>
      <c r="QJ70">
        <v>1</v>
      </c>
      <c r="QK70">
        <v>1</v>
      </c>
      <c r="QL70">
        <v>1</v>
      </c>
      <c r="QM70">
        <v>1</v>
      </c>
      <c r="QN70">
        <v>1</v>
      </c>
      <c r="QO70">
        <v>1</v>
      </c>
      <c r="QP70">
        <v>1</v>
      </c>
      <c r="QQ70">
        <v>1</v>
      </c>
      <c r="QR70">
        <v>1</v>
      </c>
      <c r="QS70">
        <v>1</v>
      </c>
      <c r="QT70">
        <v>1</v>
      </c>
      <c r="QU70">
        <v>1</v>
      </c>
      <c r="QV70">
        <v>1</v>
      </c>
      <c r="QW70">
        <v>1</v>
      </c>
      <c r="QX70">
        <v>1</v>
      </c>
      <c r="QY70">
        <v>1</v>
      </c>
      <c r="QZ70">
        <v>1</v>
      </c>
      <c r="RA70">
        <v>1</v>
      </c>
      <c r="RB70">
        <v>1</v>
      </c>
      <c r="RC70">
        <v>1</v>
      </c>
      <c r="RD70">
        <v>1</v>
      </c>
      <c r="RE70">
        <v>1</v>
      </c>
      <c r="RF70">
        <v>1</v>
      </c>
      <c r="RG70">
        <v>1</v>
      </c>
      <c r="RH70">
        <v>1</v>
      </c>
      <c r="RI70">
        <v>1</v>
      </c>
      <c r="RJ70">
        <v>1</v>
      </c>
      <c r="RK70">
        <v>1</v>
      </c>
      <c r="RL70">
        <v>1</v>
      </c>
      <c r="RM70">
        <v>1</v>
      </c>
      <c r="RN70">
        <v>1</v>
      </c>
      <c r="RO70">
        <v>1</v>
      </c>
      <c r="RP70">
        <v>1</v>
      </c>
      <c r="RQ70">
        <v>1</v>
      </c>
      <c r="RR70">
        <v>1</v>
      </c>
      <c r="RS70">
        <v>1</v>
      </c>
      <c r="RT70">
        <v>1</v>
      </c>
      <c r="RU70">
        <v>1</v>
      </c>
      <c r="RV70">
        <v>1</v>
      </c>
      <c r="RW70">
        <v>1</v>
      </c>
      <c r="RX70">
        <v>1</v>
      </c>
      <c r="RY70">
        <v>1</v>
      </c>
      <c r="RZ70">
        <v>1</v>
      </c>
      <c r="SA70">
        <v>1</v>
      </c>
      <c r="SB70">
        <v>1</v>
      </c>
      <c r="SC70">
        <v>1</v>
      </c>
      <c r="SD70">
        <v>1</v>
      </c>
      <c r="SE70">
        <v>1</v>
      </c>
      <c r="SF70">
        <v>1</v>
      </c>
      <c r="SG70">
        <v>1</v>
      </c>
      <c r="SH70">
        <v>1</v>
      </c>
      <c r="SI70">
        <v>1</v>
      </c>
      <c r="SJ70">
        <v>1</v>
      </c>
      <c r="SK70">
        <v>1</v>
      </c>
      <c r="SL70">
        <v>1</v>
      </c>
      <c r="SM70">
        <v>1</v>
      </c>
      <c r="SN70">
        <v>1</v>
      </c>
      <c r="SO70">
        <v>1</v>
      </c>
      <c r="SP70">
        <v>1</v>
      </c>
      <c r="SQ70">
        <v>1</v>
      </c>
      <c r="SR70">
        <v>1</v>
      </c>
      <c r="SS70">
        <v>1</v>
      </c>
      <c r="ST70">
        <v>1</v>
      </c>
      <c r="SU70">
        <v>1</v>
      </c>
      <c r="SV70">
        <v>1</v>
      </c>
      <c r="SW70">
        <v>1</v>
      </c>
      <c r="SX70">
        <v>1</v>
      </c>
      <c r="SY70">
        <v>1</v>
      </c>
      <c r="SZ70">
        <v>1</v>
      </c>
      <c r="TA70">
        <v>1</v>
      </c>
      <c r="TB70">
        <v>1</v>
      </c>
      <c r="TC70">
        <v>1</v>
      </c>
      <c r="TD70">
        <v>1</v>
      </c>
      <c r="TE70">
        <v>1</v>
      </c>
      <c r="TF70">
        <v>1</v>
      </c>
      <c r="TG70">
        <v>1</v>
      </c>
      <c r="TH70">
        <v>1</v>
      </c>
      <c r="TI70">
        <v>1</v>
      </c>
      <c r="TJ70">
        <v>1</v>
      </c>
      <c r="TK70">
        <v>1</v>
      </c>
      <c r="TL70">
        <v>1</v>
      </c>
      <c r="TM70">
        <v>1</v>
      </c>
      <c r="TN70">
        <v>1</v>
      </c>
      <c r="TO70">
        <v>1</v>
      </c>
      <c r="TP70">
        <v>1</v>
      </c>
      <c r="TQ70">
        <v>1</v>
      </c>
      <c r="TR70">
        <v>1</v>
      </c>
      <c r="TS70">
        <v>1</v>
      </c>
      <c r="TT70">
        <v>1</v>
      </c>
      <c r="TU70">
        <v>1</v>
      </c>
      <c r="TV70">
        <v>1</v>
      </c>
      <c r="TW70">
        <v>1</v>
      </c>
      <c r="TX70">
        <v>1</v>
      </c>
      <c r="TY70">
        <v>1</v>
      </c>
      <c r="TZ70">
        <v>1</v>
      </c>
      <c r="UA70">
        <v>1</v>
      </c>
      <c r="UB70">
        <v>1</v>
      </c>
      <c r="UC70">
        <v>1</v>
      </c>
      <c r="UD70">
        <v>1</v>
      </c>
      <c r="UE70">
        <v>1</v>
      </c>
      <c r="UF70">
        <v>1</v>
      </c>
      <c r="UG70">
        <v>1</v>
      </c>
      <c r="UH70">
        <v>1</v>
      </c>
      <c r="UI70">
        <v>1</v>
      </c>
      <c r="UJ70">
        <v>1</v>
      </c>
      <c r="UK70">
        <v>1</v>
      </c>
      <c r="UL70">
        <v>1</v>
      </c>
      <c r="UM70">
        <v>1</v>
      </c>
      <c r="UN70">
        <v>1</v>
      </c>
      <c r="UO70">
        <v>1</v>
      </c>
      <c r="UP70">
        <v>1</v>
      </c>
      <c r="UQ70">
        <v>1</v>
      </c>
      <c r="UR70">
        <v>1</v>
      </c>
      <c r="US70">
        <v>1</v>
      </c>
      <c r="UT70">
        <v>1</v>
      </c>
      <c r="UU70">
        <v>1</v>
      </c>
      <c r="UV70">
        <v>1</v>
      </c>
      <c r="UW70">
        <v>1</v>
      </c>
      <c r="UX70">
        <v>1</v>
      </c>
      <c r="UY70">
        <v>1</v>
      </c>
      <c r="UZ70">
        <v>1</v>
      </c>
      <c r="VA70">
        <v>1</v>
      </c>
      <c r="VB70">
        <v>1</v>
      </c>
      <c r="VC70">
        <v>1</v>
      </c>
      <c r="VD70">
        <v>1</v>
      </c>
      <c r="VE70">
        <v>1</v>
      </c>
      <c r="VF70">
        <v>1</v>
      </c>
      <c r="VG70">
        <v>1</v>
      </c>
      <c r="VH70">
        <v>1</v>
      </c>
      <c r="VI70">
        <v>1</v>
      </c>
      <c r="VJ70">
        <v>1</v>
      </c>
      <c r="VK70">
        <v>1</v>
      </c>
      <c r="VL70">
        <v>1</v>
      </c>
      <c r="VM70">
        <v>1</v>
      </c>
      <c r="VN70">
        <v>1</v>
      </c>
      <c r="VO70">
        <v>1</v>
      </c>
      <c r="VP70">
        <v>1</v>
      </c>
      <c r="VQ70">
        <v>1</v>
      </c>
      <c r="VR70">
        <v>1</v>
      </c>
      <c r="VS70">
        <v>1</v>
      </c>
      <c r="VT70">
        <v>1</v>
      </c>
      <c r="VU70">
        <v>1</v>
      </c>
      <c r="VV70">
        <v>1</v>
      </c>
      <c r="VW70">
        <v>1</v>
      </c>
      <c r="VX70">
        <v>1</v>
      </c>
      <c r="VY70">
        <v>1</v>
      </c>
      <c r="VZ70">
        <v>1</v>
      </c>
      <c r="WA70">
        <v>1</v>
      </c>
      <c r="WB70">
        <v>1</v>
      </c>
      <c r="WC70">
        <v>1</v>
      </c>
      <c r="WD70">
        <v>1</v>
      </c>
      <c r="WE70">
        <v>1</v>
      </c>
      <c r="WF70">
        <v>1</v>
      </c>
      <c r="WG70">
        <v>1</v>
      </c>
      <c r="WH70">
        <v>1</v>
      </c>
      <c r="WI70">
        <v>1</v>
      </c>
      <c r="WJ70">
        <v>1</v>
      </c>
      <c r="WK70">
        <v>1</v>
      </c>
      <c r="WL70">
        <v>1</v>
      </c>
      <c r="WM70">
        <v>1</v>
      </c>
      <c r="WN70">
        <v>1</v>
      </c>
      <c r="WO70">
        <v>1</v>
      </c>
      <c r="WP70">
        <v>1</v>
      </c>
      <c r="WQ70">
        <v>1</v>
      </c>
      <c r="WR70">
        <v>1</v>
      </c>
      <c r="WS70">
        <v>1</v>
      </c>
      <c r="WT70">
        <v>1</v>
      </c>
      <c r="WU70">
        <v>1</v>
      </c>
      <c r="WV70">
        <v>1</v>
      </c>
      <c r="WW70">
        <v>1</v>
      </c>
      <c r="WX70">
        <v>1</v>
      </c>
      <c r="WY70">
        <v>1</v>
      </c>
      <c r="WZ70">
        <v>1</v>
      </c>
      <c r="XA70">
        <v>1</v>
      </c>
      <c r="XB70">
        <v>1</v>
      </c>
      <c r="XC70">
        <v>1</v>
      </c>
      <c r="XD70">
        <v>1</v>
      </c>
      <c r="XE70">
        <v>1</v>
      </c>
      <c r="XF70">
        <v>1</v>
      </c>
      <c r="XG70">
        <v>1</v>
      </c>
      <c r="XH70">
        <v>1</v>
      </c>
      <c r="XI70">
        <v>1</v>
      </c>
      <c r="XJ70">
        <v>1</v>
      </c>
      <c r="XK70">
        <v>1</v>
      </c>
      <c r="XL70">
        <v>1</v>
      </c>
      <c r="XM70">
        <v>1</v>
      </c>
      <c r="XN70">
        <v>1</v>
      </c>
      <c r="XO70">
        <v>1</v>
      </c>
      <c r="XP70">
        <v>1</v>
      </c>
      <c r="XQ70">
        <v>1</v>
      </c>
      <c r="XR70">
        <v>1</v>
      </c>
      <c r="XS70">
        <v>1</v>
      </c>
      <c r="XT70">
        <v>1</v>
      </c>
      <c r="XU70">
        <v>1</v>
      </c>
      <c r="XV70">
        <v>1</v>
      </c>
      <c r="XW70">
        <v>1</v>
      </c>
      <c r="XX70">
        <v>1</v>
      </c>
      <c r="XY70">
        <v>1</v>
      </c>
      <c r="XZ70">
        <v>1</v>
      </c>
      <c r="YA70">
        <v>1</v>
      </c>
      <c r="YB70">
        <v>1</v>
      </c>
      <c r="YC70">
        <v>1</v>
      </c>
      <c r="YD70">
        <v>1</v>
      </c>
      <c r="YE70">
        <v>1</v>
      </c>
      <c r="YF70">
        <v>1</v>
      </c>
      <c r="YG70">
        <v>1</v>
      </c>
      <c r="YH70">
        <v>1</v>
      </c>
      <c r="YI70">
        <v>1</v>
      </c>
      <c r="YJ70">
        <v>1</v>
      </c>
      <c r="YK70">
        <v>1</v>
      </c>
      <c r="YL70">
        <v>1</v>
      </c>
      <c r="YM70">
        <v>1</v>
      </c>
      <c r="YN70">
        <v>1</v>
      </c>
      <c r="YO70">
        <v>1</v>
      </c>
      <c r="YP70">
        <v>1</v>
      </c>
      <c r="YQ70">
        <v>1</v>
      </c>
      <c r="YR70">
        <v>1</v>
      </c>
      <c r="YS70">
        <v>1</v>
      </c>
      <c r="YT70">
        <v>1</v>
      </c>
      <c r="YU70">
        <v>1</v>
      </c>
      <c r="YV70">
        <v>1</v>
      </c>
      <c r="YW70">
        <v>1</v>
      </c>
      <c r="YX70">
        <v>1</v>
      </c>
      <c r="YY70">
        <v>1</v>
      </c>
      <c r="YZ70">
        <v>1</v>
      </c>
      <c r="ZA70">
        <v>1</v>
      </c>
      <c r="ZB70">
        <v>1</v>
      </c>
      <c r="ZC70">
        <v>1</v>
      </c>
      <c r="ZD70">
        <v>1</v>
      </c>
      <c r="ZE70">
        <v>1</v>
      </c>
      <c r="ZF70">
        <v>1</v>
      </c>
      <c r="ZG70">
        <v>1</v>
      </c>
      <c r="ZH70">
        <v>1</v>
      </c>
      <c r="ZI70">
        <v>1</v>
      </c>
      <c r="ZJ70">
        <v>1</v>
      </c>
      <c r="ZK70">
        <v>1</v>
      </c>
      <c r="ZL70">
        <v>1</v>
      </c>
      <c r="ZM70">
        <v>1</v>
      </c>
      <c r="ZN70">
        <v>1</v>
      </c>
      <c r="ZO70">
        <v>1</v>
      </c>
      <c r="ZP70">
        <v>1</v>
      </c>
      <c r="ZQ70">
        <v>1</v>
      </c>
      <c r="ZR70">
        <v>1</v>
      </c>
      <c r="ZS70">
        <v>1</v>
      </c>
      <c r="ZT70">
        <v>1</v>
      </c>
      <c r="ZU70">
        <v>1</v>
      </c>
      <c r="ZV70">
        <v>1</v>
      </c>
      <c r="ZW70">
        <v>1</v>
      </c>
      <c r="ZX70">
        <v>1</v>
      </c>
      <c r="ZY70">
        <v>1</v>
      </c>
      <c r="ZZ70">
        <v>1</v>
      </c>
      <c r="AAA70">
        <v>1</v>
      </c>
      <c r="AAB70">
        <v>1</v>
      </c>
      <c r="AAC70">
        <v>1</v>
      </c>
      <c r="AAD70">
        <v>1</v>
      </c>
      <c r="AAE70">
        <v>1</v>
      </c>
      <c r="AAF70">
        <v>1</v>
      </c>
      <c r="AAG70">
        <v>1</v>
      </c>
      <c r="AAH70">
        <v>1</v>
      </c>
      <c r="AAI70">
        <v>1</v>
      </c>
      <c r="AAJ70">
        <v>1</v>
      </c>
      <c r="AAK70">
        <v>1</v>
      </c>
      <c r="AAL70">
        <v>1</v>
      </c>
      <c r="AAM70">
        <v>1</v>
      </c>
      <c r="AAN70">
        <v>1</v>
      </c>
      <c r="AAO70">
        <v>1</v>
      </c>
      <c r="AAP70">
        <v>1</v>
      </c>
      <c r="AAQ70">
        <v>1</v>
      </c>
      <c r="AAR70">
        <v>1</v>
      </c>
      <c r="AAS70">
        <v>1</v>
      </c>
      <c r="AAT70">
        <v>1</v>
      </c>
      <c r="AAU70">
        <v>1</v>
      </c>
      <c r="AAV70">
        <v>1</v>
      </c>
      <c r="AAW70">
        <v>1</v>
      </c>
      <c r="AAX70">
        <v>1</v>
      </c>
      <c r="AAY70">
        <v>1</v>
      </c>
      <c r="AAZ70">
        <v>1</v>
      </c>
      <c r="ABA70">
        <v>1</v>
      </c>
      <c r="ABB70">
        <v>1</v>
      </c>
      <c r="ABC70">
        <v>1</v>
      </c>
      <c r="ABD70">
        <v>1</v>
      </c>
      <c r="ABE70">
        <v>1</v>
      </c>
      <c r="ABF70">
        <v>1</v>
      </c>
      <c r="ABG70">
        <v>1</v>
      </c>
      <c r="ABH70">
        <v>1</v>
      </c>
      <c r="ABI70">
        <v>1</v>
      </c>
      <c r="ABJ70">
        <v>1</v>
      </c>
      <c r="ABK70">
        <v>1</v>
      </c>
      <c r="ABL70">
        <v>1</v>
      </c>
      <c r="ABM70">
        <v>1</v>
      </c>
      <c r="ABN70">
        <v>1</v>
      </c>
      <c r="ABO70">
        <v>1</v>
      </c>
      <c r="ABP70">
        <v>1</v>
      </c>
      <c r="ABQ70">
        <v>1</v>
      </c>
      <c r="ABR70">
        <v>1</v>
      </c>
      <c r="ABS70">
        <v>1</v>
      </c>
      <c r="ABT70">
        <v>1</v>
      </c>
      <c r="ABU70">
        <v>1</v>
      </c>
      <c r="ABV70">
        <v>1</v>
      </c>
      <c r="ABW70">
        <v>1</v>
      </c>
      <c r="ABX70">
        <v>1</v>
      </c>
      <c r="ABY70">
        <v>1</v>
      </c>
      <c r="ABZ70">
        <v>1</v>
      </c>
      <c r="ACA70">
        <v>1</v>
      </c>
      <c r="ACB70">
        <v>1</v>
      </c>
      <c r="ACC70">
        <v>1</v>
      </c>
      <c r="ACD70">
        <v>1</v>
      </c>
      <c r="ACE70">
        <v>1</v>
      </c>
      <c r="ACF70">
        <v>1</v>
      </c>
      <c r="ACG70">
        <v>1</v>
      </c>
      <c r="ACH70">
        <v>1</v>
      </c>
      <c r="ACI70">
        <v>1</v>
      </c>
      <c r="ACJ70">
        <v>1</v>
      </c>
      <c r="ACK70">
        <v>1</v>
      </c>
      <c r="ACL70">
        <v>1</v>
      </c>
      <c r="ACM70">
        <v>1</v>
      </c>
      <c r="ACN70">
        <v>1</v>
      </c>
      <c r="ACO70">
        <v>1</v>
      </c>
      <c r="ACP70">
        <v>1</v>
      </c>
      <c r="ACQ70">
        <v>1</v>
      </c>
      <c r="ACR70">
        <v>1</v>
      </c>
      <c r="ACS70">
        <v>1</v>
      </c>
      <c r="ACT70">
        <v>1</v>
      </c>
      <c r="ACU70">
        <v>1</v>
      </c>
      <c r="ACV70">
        <v>1</v>
      </c>
      <c r="ACW70">
        <v>1</v>
      </c>
      <c r="ACX70">
        <v>1</v>
      </c>
      <c r="ACY70">
        <v>1</v>
      </c>
      <c r="ACZ70">
        <v>1</v>
      </c>
      <c r="ADA70">
        <v>1</v>
      </c>
      <c r="ADB70">
        <v>1</v>
      </c>
      <c r="ADC70">
        <v>1</v>
      </c>
      <c r="ADD70">
        <v>1</v>
      </c>
      <c r="ADE70">
        <v>1</v>
      </c>
      <c r="ADF70">
        <v>1</v>
      </c>
      <c r="ADG70">
        <v>1</v>
      </c>
      <c r="ADH70">
        <v>1</v>
      </c>
      <c r="ADI70">
        <v>1</v>
      </c>
      <c r="ADJ70">
        <v>1</v>
      </c>
      <c r="ADK70">
        <v>1</v>
      </c>
      <c r="ADL70">
        <v>1</v>
      </c>
      <c r="ADM70">
        <v>1</v>
      </c>
      <c r="ADN70">
        <v>1</v>
      </c>
      <c r="ADO70">
        <v>1</v>
      </c>
      <c r="ADP70">
        <v>1</v>
      </c>
      <c r="ADQ70">
        <v>1</v>
      </c>
      <c r="ADR70">
        <v>1</v>
      </c>
      <c r="ADS70">
        <v>1</v>
      </c>
      <c r="ADT70">
        <v>1</v>
      </c>
      <c r="ADU70">
        <v>1</v>
      </c>
      <c r="ADV70">
        <v>1</v>
      </c>
      <c r="ADW70">
        <v>1</v>
      </c>
      <c r="ADX70">
        <v>1</v>
      </c>
      <c r="ADY70">
        <v>1</v>
      </c>
      <c r="ADZ70">
        <v>1</v>
      </c>
      <c r="AEA70">
        <v>1</v>
      </c>
      <c r="AEB70">
        <v>1</v>
      </c>
      <c r="AEC70">
        <v>1</v>
      </c>
      <c r="AED70">
        <v>1</v>
      </c>
      <c r="AEE70">
        <v>1</v>
      </c>
      <c r="AEF70">
        <v>1</v>
      </c>
      <c r="AEG70">
        <v>1</v>
      </c>
      <c r="AEH70">
        <v>1</v>
      </c>
      <c r="AEI70">
        <v>1</v>
      </c>
      <c r="AEJ70">
        <v>1</v>
      </c>
      <c r="AEK70">
        <v>1</v>
      </c>
      <c r="AEL70">
        <v>1</v>
      </c>
      <c r="AEM70">
        <v>1</v>
      </c>
      <c r="AEN70">
        <v>1</v>
      </c>
      <c r="AEO70">
        <v>1</v>
      </c>
      <c r="AEP70">
        <v>1</v>
      </c>
      <c r="AEQ70">
        <v>1</v>
      </c>
      <c r="AER70">
        <v>1</v>
      </c>
      <c r="AES70">
        <v>1</v>
      </c>
      <c r="AET70">
        <v>1</v>
      </c>
      <c r="AEU70">
        <v>1</v>
      </c>
      <c r="AEV70">
        <v>1</v>
      </c>
      <c r="AEW70">
        <v>1</v>
      </c>
      <c r="AEX70">
        <v>1</v>
      </c>
      <c r="AEY70">
        <v>1</v>
      </c>
      <c r="AEZ70">
        <v>1</v>
      </c>
      <c r="AFA70">
        <v>1</v>
      </c>
      <c r="AFB70">
        <v>1</v>
      </c>
      <c r="AFC70">
        <v>1</v>
      </c>
      <c r="AFD70">
        <v>1</v>
      </c>
      <c r="AFE70">
        <v>1</v>
      </c>
      <c r="AFF70">
        <v>1</v>
      </c>
      <c r="AFG70">
        <v>1</v>
      </c>
      <c r="AFH70">
        <v>1</v>
      </c>
      <c r="AFI70">
        <v>1</v>
      </c>
      <c r="AFJ70">
        <v>1</v>
      </c>
      <c r="AFK70">
        <v>1</v>
      </c>
      <c r="AFL70">
        <v>1</v>
      </c>
      <c r="AFM70">
        <v>1</v>
      </c>
      <c r="AFN70">
        <v>1</v>
      </c>
      <c r="AFO70">
        <v>1</v>
      </c>
      <c r="AFP70">
        <v>1</v>
      </c>
      <c r="AFQ70">
        <v>1</v>
      </c>
      <c r="AFR70">
        <v>1</v>
      </c>
      <c r="AFS70">
        <v>1</v>
      </c>
      <c r="AFT70">
        <v>1</v>
      </c>
      <c r="AFU70">
        <v>1</v>
      </c>
      <c r="AFV70">
        <v>1</v>
      </c>
      <c r="AFW70">
        <v>1</v>
      </c>
      <c r="AFX70">
        <v>1</v>
      </c>
      <c r="AFY70">
        <v>1</v>
      </c>
      <c r="AFZ70">
        <v>1</v>
      </c>
      <c r="AGA70">
        <v>1</v>
      </c>
      <c r="AGB70">
        <v>1</v>
      </c>
      <c r="AGC70">
        <v>1</v>
      </c>
      <c r="AGD70">
        <v>1</v>
      </c>
      <c r="AGE70">
        <v>1</v>
      </c>
      <c r="AGF70">
        <v>1</v>
      </c>
      <c r="AGG70">
        <v>1</v>
      </c>
      <c r="AGH70">
        <v>1</v>
      </c>
      <c r="AGI70">
        <v>1</v>
      </c>
      <c r="AGJ70">
        <v>1</v>
      </c>
      <c r="AGK70">
        <v>1</v>
      </c>
      <c r="AGL70">
        <v>1</v>
      </c>
      <c r="AGM70">
        <v>1</v>
      </c>
      <c r="AGN70">
        <v>1</v>
      </c>
      <c r="AGO70">
        <v>1</v>
      </c>
      <c r="AGP70">
        <v>1</v>
      </c>
      <c r="AGQ70">
        <v>1</v>
      </c>
      <c r="AGR70">
        <v>1</v>
      </c>
      <c r="AGS70">
        <v>1</v>
      </c>
      <c r="AGT70">
        <v>1</v>
      </c>
      <c r="AGU70">
        <v>1</v>
      </c>
      <c r="AGV70">
        <v>1</v>
      </c>
      <c r="AGW70">
        <v>1</v>
      </c>
      <c r="AGX70">
        <v>1</v>
      </c>
      <c r="AGY70">
        <v>1</v>
      </c>
      <c r="AGZ70">
        <v>1</v>
      </c>
      <c r="AHA70">
        <v>1</v>
      </c>
      <c r="AHB70">
        <v>1</v>
      </c>
      <c r="AHC70">
        <v>1</v>
      </c>
      <c r="AHD70">
        <v>1</v>
      </c>
      <c r="AHE70">
        <v>1</v>
      </c>
      <c r="AHF70">
        <v>1</v>
      </c>
      <c r="AHG70">
        <v>1</v>
      </c>
      <c r="AHH70">
        <v>1</v>
      </c>
      <c r="AHI70">
        <v>1</v>
      </c>
      <c r="AHJ70">
        <v>1</v>
      </c>
      <c r="AHK70">
        <v>1</v>
      </c>
      <c r="AHL70">
        <v>1</v>
      </c>
      <c r="AHM70">
        <v>1</v>
      </c>
      <c r="AHN70">
        <v>1</v>
      </c>
      <c r="AHO70">
        <v>1</v>
      </c>
      <c r="AHP70">
        <v>1</v>
      </c>
      <c r="AHQ70">
        <v>1</v>
      </c>
      <c r="AHR70">
        <v>1</v>
      </c>
      <c r="AHS70">
        <v>1</v>
      </c>
      <c r="AHT70">
        <v>1</v>
      </c>
      <c r="AHU70">
        <v>1</v>
      </c>
      <c r="AHV70">
        <v>1</v>
      </c>
      <c r="AHW70">
        <v>1</v>
      </c>
      <c r="AHX70">
        <v>1</v>
      </c>
      <c r="AHY70">
        <v>1</v>
      </c>
      <c r="AHZ70">
        <v>1</v>
      </c>
      <c r="AIA70">
        <v>1</v>
      </c>
      <c r="AIB70">
        <v>1</v>
      </c>
      <c r="AIC70">
        <v>1</v>
      </c>
      <c r="AID70">
        <v>1</v>
      </c>
      <c r="AIE70">
        <v>1</v>
      </c>
      <c r="AIF70">
        <v>1</v>
      </c>
      <c r="AIG70">
        <v>1</v>
      </c>
      <c r="AIH70">
        <v>1</v>
      </c>
      <c r="AII70">
        <v>1</v>
      </c>
      <c r="AIJ70">
        <v>1</v>
      </c>
      <c r="AIK70">
        <v>1</v>
      </c>
      <c r="AIL70">
        <v>1</v>
      </c>
      <c r="AIM70">
        <v>1</v>
      </c>
      <c r="AIN70">
        <v>1</v>
      </c>
      <c r="AIO70">
        <v>1</v>
      </c>
      <c r="AIP70">
        <v>1</v>
      </c>
      <c r="AIQ70">
        <v>1</v>
      </c>
      <c r="AIR70">
        <v>1</v>
      </c>
      <c r="AIS70">
        <v>1</v>
      </c>
      <c r="AIT70">
        <v>1</v>
      </c>
      <c r="AIU70">
        <v>1</v>
      </c>
      <c r="AIV70">
        <v>1</v>
      </c>
      <c r="AIW70">
        <v>1</v>
      </c>
      <c r="AIX70">
        <v>1</v>
      </c>
      <c r="AIY70">
        <v>1</v>
      </c>
      <c r="AIZ70">
        <v>1</v>
      </c>
      <c r="AJA70">
        <v>1</v>
      </c>
      <c r="AJB70">
        <v>1</v>
      </c>
      <c r="AJC70">
        <v>1</v>
      </c>
      <c r="AJD70">
        <v>1</v>
      </c>
      <c r="AJE70">
        <v>1</v>
      </c>
      <c r="AJF70">
        <v>1</v>
      </c>
      <c r="AJG70">
        <v>1</v>
      </c>
      <c r="AJH70">
        <v>1</v>
      </c>
      <c r="AJI70">
        <v>1</v>
      </c>
      <c r="AJJ70">
        <v>1</v>
      </c>
      <c r="AJK70">
        <v>1</v>
      </c>
      <c r="AJL70">
        <v>1</v>
      </c>
      <c r="AJM70">
        <v>1</v>
      </c>
      <c r="AJN70">
        <v>1</v>
      </c>
      <c r="AJO70">
        <v>1</v>
      </c>
      <c r="AJP70">
        <v>1</v>
      </c>
      <c r="AJQ70">
        <v>1</v>
      </c>
    </row>
    <row r="71" spans="1:985" ht="14.4" customHeight="1" x14ac:dyDescent="0.55000000000000004">
      <c r="A71" t="s">
        <v>43</v>
      </c>
      <c r="B71" t="s">
        <v>660</v>
      </c>
      <c r="C71" s="1" t="s">
        <v>658</v>
      </c>
      <c r="D71">
        <v>0.86</v>
      </c>
      <c r="E71">
        <v>0.86</v>
      </c>
      <c r="F71">
        <v>0.86</v>
      </c>
      <c r="G71">
        <v>0.86</v>
      </c>
      <c r="H71">
        <v>0.86</v>
      </c>
      <c r="I71">
        <v>0.86</v>
      </c>
      <c r="J71">
        <v>0.86</v>
      </c>
      <c r="K71">
        <v>0.86</v>
      </c>
      <c r="L71">
        <v>0.86</v>
      </c>
      <c r="M71">
        <v>0.86</v>
      </c>
      <c r="N71">
        <v>0.86</v>
      </c>
      <c r="O71">
        <v>0.86</v>
      </c>
      <c r="P71">
        <v>0.86</v>
      </c>
      <c r="Q71">
        <v>0.86</v>
      </c>
      <c r="R71">
        <v>0.86</v>
      </c>
      <c r="S71">
        <v>0.86</v>
      </c>
      <c r="T71">
        <v>0.86</v>
      </c>
      <c r="U71">
        <v>0.86</v>
      </c>
      <c r="V71">
        <v>0.86</v>
      </c>
      <c r="W71">
        <v>0.86</v>
      </c>
      <c r="X71">
        <v>0.86</v>
      </c>
      <c r="Y71">
        <v>0.86</v>
      </c>
      <c r="Z71">
        <v>0.86</v>
      </c>
      <c r="AA71">
        <v>0.86</v>
      </c>
      <c r="AB71">
        <v>0.86</v>
      </c>
      <c r="AC71">
        <v>0.86</v>
      </c>
      <c r="AD71">
        <v>0.86</v>
      </c>
      <c r="AE71">
        <v>0.86</v>
      </c>
      <c r="AF71">
        <v>0.86</v>
      </c>
      <c r="AG71">
        <v>0.86</v>
      </c>
      <c r="AH71">
        <v>0.86</v>
      </c>
      <c r="AI71">
        <v>0.86</v>
      </c>
      <c r="AJ71">
        <v>0.86</v>
      </c>
      <c r="AK71">
        <v>0.86</v>
      </c>
      <c r="AL71">
        <v>0.86</v>
      </c>
      <c r="AM71">
        <v>0.86</v>
      </c>
      <c r="AN71">
        <v>0.86</v>
      </c>
      <c r="AO71">
        <v>0.86</v>
      </c>
      <c r="AP71">
        <v>0.86</v>
      </c>
      <c r="AQ71">
        <v>0.86</v>
      </c>
      <c r="AR71">
        <v>0.86</v>
      </c>
      <c r="AS71">
        <v>0.86</v>
      </c>
      <c r="AT71">
        <v>0.86</v>
      </c>
      <c r="AU71">
        <v>0.86</v>
      </c>
      <c r="AV71">
        <v>0.86</v>
      </c>
      <c r="AW71">
        <v>0.86</v>
      </c>
      <c r="AX71">
        <v>0.86</v>
      </c>
      <c r="AY71">
        <v>0.86</v>
      </c>
      <c r="AZ71">
        <v>0.86</v>
      </c>
      <c r="BA71">
        <v>0.86099999999999999</v>
      </c>
      <c r="BB71">
        <v>0.86099999999999999</v>
      </c>
      <c r="BC71">
        <v>0.86099999999999999</v>
      </c>
      <c r="BD71">
        <v>0.86099999999999999</v>
      </c>
      <c r="BE71">
        <v>0.86099999999999999</v>
      </c>
      <c r="BF71">
        <v>0.86099999999999999</v>
      </c>
      <c r="BG71">
        <v>0.86</v>
      </c>
      <c r="BH71">
        <v>0.86</v>
      </c>
      <c r="BI71">
        <v>0.86</v>
      </c>
      <c r="BJ71">
        <v>0.86</v>
      </c>
      <c r="BK71">
        <v>0.86</v>
      </c>
      <c r="BL71">
        <v>0.86</v>
      </c>
      <c r="BM71">
        <v>0.86</v>
      </c>
      <c r="BN71">
        <v>0.86099999999999999</v>
      </c>
      <c r="BO71">
        <v>0.86099999999999999</v>
      </c>
      <c r="BP71">
        <v>0.86099999999999999</v>
      </c>
      <c r="BQ71">
        <v>0.86</v>
      </c>
      <c r="BR71">
        <v>0.86</v>
      </c>
      <c r="BS71">
        <v>0.86</v>
      </c>
      <c r="BT71">
        <v>0.86</v>
      </c>
      <c r="BU71">
        <v>0.86</v>
      </c>
      <c r="BV71">
        <v>0.86</v>
      </c>
      <c r="BW71">
        <v>0.86</v>
      </c>
      <c r="BX71">
        <v>0.86099999999999999</v>
      </c>
      <c r="BY71">
        <v>0.86099999999999999</v>
      </c>
      <c r="BZ71">
        <v>0.86099999999999999</v>
      </c>
      <c r="AJR71">
        <v>0.78</v>
      </c>
      <c r="AJS71">
        <v>0.78</v>
      </c>
      <c r="AJT71">
        <v>0.78</v>
      </c>
      <c r="AJU71">
        <v>0.78</v>
      </c>
      <c r="AJV71">
        <v>0.78</v>
      </c>
      <c r="AJW71">
        <v>0.78</v>
      </c>
      <c r="AJX71">
        <v>0.78</v>
      </c>
      <c r="AJY71">
        <v>0.78</v>
      </c>
      <c r="AJZ71">
        <v>0.78</v>
      </c>
      <c r="AKA71">
        <v>0.96</v>
      </c>
      <c r="AKB71">
        <v>0.96</v>
      </c>
      <c r="AKC71">
        <v>0.96</v>
      </c>
      <c r="AKD71">
        <v>0.96</v>
      </c>
      <c r="AKE71">
        <v>0.96</v>
      </c>
      <c r="AKF71">
        <v>0.96</v>
      </c>
      <c r="AKG71">
        <v>0.89080000000000004</v>
      </c>
      <c r="AKH71">
        <v>0.89080000000000004</v>
      </c>
      <c r="AKI71">
        <v>0.89080000000000004</v>
      </c>
      <c r="AKJ71">
        <v>0.86</v>
      </c>
      <c r="AKK71">
        <v>0.86</v>
      </c>
      <c r="AKL71">
        <v>0.86</v>
      </c>
      <c r="AKM71">
        <v>0.86</v>
      </c>
      <c r="AKN71">
        <v>0.88100000000000001</v>
      </c>
      <c r="AKO71">
        <v>0.88100000000000001</v>
      </c>
      <c r="AKP71">
        <v>0.84</v>
      </c>
      <c r="AKQ71">
        <v>0.79</v>
      </c>
      <c r="AKR71">
        <v>0.79</v>
      </c>
      <c r="AKS71">
        <v>0.86099999999999999</v>
      </c>
      <c r="AKT71">
        <v>0.86099999999999999</v>
      </c>
      <c r="AKU71">
        <v>0.92110405910096849</v>
      </c>
      <c r="AKV71">
        <v>0.92110405910096849</v>
      </c>
      <c r="AKW71">
        <v>0.92110405910096849</v>
      </c>
    </row>
    <row r="72" spans="1:985" ht="14.4" customHeight="1" x14ac:dyDescent="0.55000000000000004">
      <c r="A72" t="s">
        <v>44</v>
      </c>
      <c r="B72" t="s">
        <v>664</v>
      </c>
      <c r="C72" s="1" t="s">
        <v>661</v>
      </c>
      <c r="D72">
        <v>1.4999999999999999E-2</v>
      </c>
      <c r="E72">
        <v>1.4999999999999999E-2</v>
      </c>
      <c r="F72">
        <v>1.4999999999999999E-2</v>
      </c>
      <c r="G72">
        <v>1.4999999999999999E-2</v>
      </c>
      <c r="H72">
        <v>1.4999999999999999E-2</v>
      </c>
      <c r="I72">
        <v>1.4999999999999999E-2</v>
      </c>
      <c r="J72">
        <v>1.4999999999999999E-2</v>
      </c>
      <c r="K72">
        <v>1.4999999999999999E-2</v>
      </c>
      <c r="L72">
        <v>1.4999999999999999E-2</v>
      </c>
      <c r="M72">
        <v>1.4999999999999999E-2</v>
      </c>
      <c r="N72">
        <v>1.4999999999999999E-2</v>
      </c>
      <c r="O72">
        <v>1.4999999999999999E-2</v>
      </c>
      <c r="P72">
        <v>1.4999999999999999E-2</v>
      </c>
      <c r="Q72">
        <v>1.4999999999999999E-2</v>
      </c>
      <c r="R72">
        <v>1.4999999999999999E-2</v>
      </c>
      <c r="S72">
        <v>1.4999999999999999E-2</v>
      </c>
      <c r="T72">
        <v>1.4999999999999999E-2</v>
      </c>
      <c r="U72">
        <v>1.4999999999999999E-2</v>
      </c>
      <c r="V72">
        <v>1.4999999999999999E-2</v>
      </c>
      <c r="W72">
        <v>1.4999999999999999E-2</v>
      </c>
      <c r="X72">
        <v>1.4999999999999999E-2</v>
      </c>
      <c r="Y72">
        <v>1.4999999999999999E-2</v>
      </c>
      <c r="Z72">
        <v>1.4999999999999999E-2</v>
      </c>
      <c r="AA72">
        <v>1.4999999999999999E-2</v>
      </c>
      <c r="AB72">
        <v>1.5599999999999999E-2</v>
      </c>
      <c r="AC72">
        <v>1.5599999999999999E-2</v>
      </c>
      <c r="AD72">
        <v>1.5599999999999999E-2</v>
      </c>
      <c r="AE72">
        <v>1.5599999999999999E-2</v>
      </c>
      <c r="AF72">
        <v>1.5599999999999999E-2</v>
      </c>
      <c r="AG72">
        <v>1.5599999999999999E-2</v>
      </c>
      <c r="AH72">
        <v>1.5599999999999999E-2</v>
      </c>
      <c r="AI72">
        <v>1.5599999999999999E-2</v>
      </c>
      <c r="AJ72">
        <v>1.5599999999999999E-2</v>
      </c>
      <c r="AK72">
        <v>1.5599999999999999E-2</v>
      </c>
      <c r="AL72">
        <v>1.5599999999999999E-2</v>
      </c>
      <c r="AM72">
        <v>1.5599999999999999E-2</v>
      </c>
      <c r="AN72">
        <v>1.5599999999999999E-2</v>
      </c>
      <c r="AO72">
        <v>1.5599999999999999E-2</v>
      </c>
      <c r="AP72">
        <v>1.5599999999999999E-2</v>
      </c>
      <c r="AQ72">
        <v>1.5599999999999999E-2</v>
      </c>
      <c r="AR72">
        <v>1.5599999999999999E-2</v>
      </c>
      <c r="AS72">
        <v>1.5599999999999999E-2</v>
      </c>
      <c r="AT72">
        <v>1.5599999999999999E-2</v>
      </c>
      <c r="AU72">
        <v>1.5599999999999999E-2</v>
      </c>
      <c r="AV72">
        <v>1.5599999999999999E-2</v>
      </c>
      <c r="AW72">
        <v>1.5599999999999999E-2</v>
      </c>
      <c r="AX72">
        <v>1.5599999999999999E-2</v>
      </c>
      <c r="AY72">
        <v>1.5599999999999999E-2</v>
      </c>
      <c r="AZ72">
        <v>1.5599999999999999E-2</v>
      </c>
      <c r="BA72">
        <v>1.5599999999999999E-2</v>
      </c>
      <c r="BB72">
        <v>1.5599999999999999E-2</v>
      </c>
      <c r="BC72">
        <v>1.5599999999999999E-2</v>
      </c>
      <c r="BD72">
        <v>1.5599999999999999E-2</v>
      </c>
      <c r="BE72">
        <v>1.5599999999999999E-2</v>
      </c>
      <c r="BF72">
        <v>1.5599999999999999E-2</v>
      </c>
      <c r="BG72">
        <v>1.4999999999999999E-2</v>
      </c>
      <c r="BH72">
        <v>1.4999999999999999E-2</v>
      </c>
      <c r="BI72">
        <v>1.4999999999999999E-2</v>
      </c>
      <c r="BJ72">
        <v>1.4999999999999999E-2</v>
      </c>
      <c r="BK72">
        <v>1.4999999999999999E-2</v>
      </c>
      <c r="BL72">
        <v>1.4999999999999999E-2</v>
      </c>
      <c r="BM72">
        <v>1.4999999999999999E-2</v>
      </c>
      <c r="BN72">
        <v>1.5599999999999999E-2</v>
      </c>
      <c r="BO72">
        <v>1.5599999999999999E-2</v>
      </c>
      <c r="BP72">
        <v>1.5599999999999999E-2</v>
      </c>
      <c r="BQ72">
        <v>1.4999999999999999E-2</v>
      </c>
      <c r="BR72">
        <v>1.4999999999999999E-2</v>
      </c>
      <c r="BS72">
        <v>1.4999999999999999E-2</v>
      </c>
      <c r="BT72">
        <v>1.4999999999999999E-2</v>
      </c>
      <c r="BU72">
        <v>1.4999999999999999E-2</v>
      </c>
      <c r="BV72">
        <v>1.4999999999999999E-2</v>
      </c>
      <c r="BW72">
        <v>1.4999999999999999E-2</v>
      </c>
      <c r="BX72">
        <v>1.5599999999999999E-2</v>
      </c>
      <c r="BY72">
        <v>1.5599999999999999E-2</v>
      </c>
      <c r="BZ72">
        <v>1.5599999999999999E-2</v>
      </c>
      <c r="AJR72">
        <v>1.4999999999999999E-2</v>
      </c>
      <c r="AJS72">
        <v>1.4999999999999999E-2</v>
      </c>
      <c r="AJT72">
        <v>1.4999999999999999E-2</v>
      </c>
      <c r="AJU72">
        <v>1.4999999999999999E-2</v>
      </c>
      <c r="AJV72">
        <v>1.4999999999999999E-2</v>
      </c>
      <c r="AJW72">
        <v>1.4999999999999999E-2</v>
      </c>
      <c r="AJX72">
        <v>1.4999999999999999E-2</v>
      </c>
      <c r="AJY72">
        <v>1.4999999999999999E-2</v>
      </c>
      <c r="AJZ72">
        <v>1.4999999999999999E-2</v>
      </c>
      <c r="AKA72">
        <v>1.4999999999999999E-2</v>
      </c>
      <c r="AKB72">
        <v>1.4999999999999999E-2</v>
      </c>
      <c r="AKC72">
        <v>1.4999999999999999E-2</v>
      </c>
      <c r="AKD72">
        <v>1.4999999999999999E-2</v>
      </c>
      <c r="AKE72">
        <v>1.4999999999999999E-2</v>
      </c>
      <c r="AKF72">
        <v>1.4999999999999999E-2</v>
      </c>
      <c r="AKG72">
        <v>1.4999999999999999E-2</v>
      </c>
      <c r="AKN72">
        <v>1.5599999999999999E-2</v>
      </c>
      <c r="AKO72">
        <v>1.5599999999999999E-2</v>
      </c>
      <c r="AKP72">
        <v>1.5599999999999999E-2</v>
      </c>
      <c r="AKQ72">
        <v>1.5599999999999999E-2</v>
      </c>
      <c r="AKR72">
        <v>1.5599999999999999E-2</v>
      </c>
      <c r="AKS72">
        <v>1.5599999999999999E-2</v>
      </c>
      <c r="AKT72">
        <v>1.5599999999999999E-2</v>
      </c>
      <c r="AKU72">
        <v>1.5599999999999999E-2</v>
      </c>
      <c r="AKV72">
        <v>1.5599999999999999E-2</v>
      </c>
      <c r="AKW72">
        <v>1.5599999999999999E-2</v>
      </c>
    </row>
    <row r="73" spans="1:985" ht="14.4" customHeight="1" x14ac:dyDescent="0.55000000000000004">
      <c r="A73" t="s">
        <v>526</v>
      </c>
      <c r="B73" t="s">
        <v>664</v>
      </c>
      <c r="C73" s="1" t="s">
        <v>662</v>
      </c>
      <c r="AKH73">
        <v>1.5599999999999999E-2</v>
      </c>
      <c r="AKI73">
        <v>1.5599999999999999E-2</v>
      </c>
    </row>
    <row r="74" spans="1:985" ht="14.4" customHeight="1" x14ac:dyDescent="0.55000000000000004">
      <c r="A74" t="s">
        <v>527</v>
      </c>
      <c r="B74" t="s">
        <v>664</v>
      </c>
      <c r="C74" s="1" t="s">
        <v>663</v>
      </c>
      <c r="AKH74">
        <v>4.7300000000000002E-2</v>
      </c>
      <c r="AKI74">
        <v>4.7300000000000002E-2</v>
      </c>
      <c r="AKU74">
        <v>4.7300000000000002E-2</v>
      </c>
      <c r="AKV74">
        <v>4.7300000000000002E-2</v>
      </c>
      <c r="AKW74">
        <v>4.7300000000000002E-2</v>
      </c>
    </row>
    <row r="75" spans="1:985" ht="14.4" customHeight="1" x14ac:dyDescent="0.55000000000000004">
      <c r="A75" t="s">
        <v>45</v>
      </c>
      <c r="B75" t="s">
        <v>480</v>
      </c>
      <c r="C75" s="1" t="s">
        <v>665</v>
      </c>
      <c r="D75">
        <v>81.599999999999994</v>
      </c>
      <c r="E75">
        <v>81.599999999999994</v>
      </c>
      <c r="F75">
        <v>81.599999999999994</v>
      </c>
      <c r="G75">
        <v>81.599999999999994</v>
      </c>
      <c r="H75">
        <v>81.599999999999994</v>
      </c>
      <c r="I75">
        <v>81.599999999999994</v>
      </c>
      <c r="J75">
        <v>81.599999999999994</v>
      </c>
      <c r="K75">
        <v>81.599999999999994</v>
      </c>
      <c r="L75">
        <v>81.599999999999994</v>
      </c>
      <c r="M75">
        <v>81.599999999999994</v>
      </c>
      <c r="N75">
        <v>81.599999999999994</v>
      </c>
      <c r="O75">
        <v>81.599999999999994</v>
      </c>
      <c r="P75">
        <v>81.599999999999994</v>
      </c>
      <c r="Q75">
        <v>81.599999999999994</v>
      </c>
      <c r="R75">
        <v>81.599999999999994</v>
      </c>
      <c r="S75">
        <v>81.599999999999994</v>
      </c>
      <c r="T75">
        <v>81.599999999999994</v>
      </c>
      <c r="U75">
        <v>81.599999999999994</v>
      </c>
      <c r="V75">
        <v>81.599999999999994</v>
      </c>
      <c r="W75">
        <v>81.599999999999994</v>
      </c>
      <c r="X75">
        <v>81.599999999999994</v>
      </c>
      <c r="Y75">
        <v>81.599999999999994</v>
      </c>
      <c r="Z75">
        <v>81.599999999999994</v>
      </c>
      <c r="AA75">
        <v>81.599999999999994</v>
      </c>
      <c r="AB75">
        <v>81.599999999999994</v>
      </c>
      <c r="AC75">
        <v>81.599999999999994</v>
      </c>
      <c r="AD75">
        <v>81.599999999999994</v>
      </c>
      <c r="AE75">
        <v>81.599999999999994</v>
      </c>
      <c r="AF75">
        <v>81.599999999999994</v>
      </c>
      <c r="AG75">
        <v>81.599999999999994</v>
      </c>
      <c r="AH75">
        <v>81.599999999999994</v>
      </c>
      <c r="AI75">
        <v>81.599999999999994</v>
      </c>
      <c r="AJ75">
        <v>81.599999999999994</v>
      </c>
      <c r="AK75">
        <v>81.599999999999994</v>
      </c>
      <c r="AL75">
        <v>81.599999999999994</v>
      </c>
      <c r="AM75">
        <v>81.599999999999994</v>
      </c>
      <c r="AN75">
        <v>81.599999999999994</v>
      </c>
      <c r="AO75">
        <v>81.599999999999994</v>
      </c>
      <c r="AP75">
        <v>81.599999999999994</v>
      </c>
      <c r="AQ75">
        <v>81.599999999999994</v>
      </c>
      <c r="AR75">
        <v>81.599999999999994</v>
      </c>
      <c r="AS75">
        <v>81.599999999999994</v>
      </c>
      <c r="AT75">
        <v>81.599999999999994</v>
      </c>
      <c r="AU75">
        <v>81.599999999999994</v>
      </c>
      <c r="AV75">
        <v>81.599999999999994</v>
      </c>
      <c r="AW75">
        <v>81.599999999999994</v>
      </c>
      <c r="AX75">
        <v>81.599999999999994</v>
      </c>
      <c r="AY75">
        <v>81.599999999999994</v>
      </c>
      <c r="AZ75">
        <v>81.599999999999994</v>
      </c>
      <c r="BA75">
        <v>63.7</v>
      </c>
      <c r="BB75">
        <v>63.7</v>
      </c>
      <c r="BC75">
        <v>63.7</v>
      </c>
      <c r="BD75">
        <v>63.7</v>
      </c>
      <c r="BE75">
        <v>63.7</v>
      </c>
      <c r="BF75">
        <v>63.7</v>
      </c>
      <c r="BG75">
        <v>81.599999999999994</v>
      </c>
      <c r="BH75">
        <v>81.599999999999994</v>
      </c>
      <c r="BI75">
        <v>81.599999999999994</v>
      </c>
      <c r="BJ75">
        <v>81.599999999999994</v>
      </c>
      <c r="BK75">
        <v>81.599999999999994</v>
      </c>
      <c r="BL75">
        <v>81.599999999999994</v>
      </c>
      <c r="BM75">
        <v>81.599999999999994</v>
      </c>
      <c r="BN75">
        <v>63.7</v>
      </c>
      <c r="BO75">
        <v>63.7</v>
      </c>
      <c r="BP75">
        <v>63.7</v>
      </c>
      <c r="BQ75">
        <v>81.599999999999994</v>
      </c>
      <c r="BR75">
        <v>81.599999999999994</v>
      </c>
      <c r="BS75">
        <v>81.599999999999994</v>
      </c>
      <c r="BT75">
        <v>81.599999999999994</v>
      </c>
      <c r="BU75">
        <v>81.599999999999994</v>
      </c>
      <c r="BV75">
        <v>81.599999999999994</v>
      </c>
      <c r="BW75">
        <v>81.599999999999994</v>
      </c>
      <c r="BX75">
        <v>63.7</v>
      </c>
      <c r="BY75">
        <v>63.7</v>
      </c>
      <c r="BZ75">
        <v>63.7</v>
      </c>
      <c r="AJR75">
        <v>71.5</v>
      </c>
      <c r="AJS75">
        <v>71.5</v>
      </c>
      <c r="AJT75">
        <v>71.5</v>
      </c>
      <c r="AJU75">
        <v>71.5</v>
      </c>
      <c r="AJV75">
        <v>71.5</v>
      </c>
      <c r="AJW75">
        <v>71.5</v>
      </c>
      <c r="AJX75">
        <v>71.5</v>
      </c>
      <c r="AJY75">
        <v>71.5</v>
      </c>
      <c r="AJZ75">
        <v>71.5</v>
      </c>
      <c r="AKA75">
        <v>81.599999999999994</v>
      </c>
      <c r="AKB75">
        <v>81.599999999999994</v>
      </c>
      <c r="AKC75">
        <v>81.599999999999994</v>
      </c>
      <c r="AKD75">
        <v>81.599999999999994</v>
      </c>
      <c r="AKE75">
        <v>81.599999999999994</v>
      </c>
      <c r="AKF75">
        <v>81.599999999999994</v>
      </c>
      <c r="AKG75">
        <v>81.599999999999994</v>
      </c>
      <c r="AKS75">
        <v>63.7</v>
      </c>
      <c r="AKT75">
        <v>63.7</v>
      </c>
    </row>
    <row r="76" spans="1:985" ht="14.4" customHeight="1" x14ac:dyDescent="0.55000000000000004">
      <c r="A76" t="s">
        <v>72</v>
      </c>
      <c r="B76" t="s">
        <v>660</v>
      </c>
      <c r="C76" s="1" t="s">
        <v>666</v>
      </c>
      <c r="D76">
        <f>181/365</f>
        <v>0.49589041095890413</v>
      </c>
      <c r="E76">
        <v>0.23287671232876708</v>
      </c>
      <c r="F76">
        <v>0.23287671232876708</v>
      </c>
      <c r="G76">
        <v>0.23287671232876708</v>
      </c>
      <c r="H76">
        <v>1</v>
      </c>
      <c r="I76">
        <v>1</v>
      </c>
      <c r="J76">
        <v>1</v>
      </c>
      <c r="K76">
        <v>1</v>
      </c>
      <c r="L76">
        <v>0.93424657534246569</v>
      </c>
      <c r="M76">
        <v>1</v>
      </c>
      <c r="N76">
        <v>1</v>
      </c>
      <c r="O76">
        <v>1</v>
      </c>
      <c r="P76">
        <v>1</v>
      </c>
      <c r="Q76">
        <v>1</v>
      </c>
      <c r="R76">
        <v>1</v>
      </c>
      <c r="S76">
        <v>1</v>
      </c>
      <c r="T76">
        <v>1</v>
      </c>
      <c r="U76">
        <v>1</v>
      </c>
      <c r="V76">
        <v>1</v>
      </c>
      <c r="W76">
        <v>1</v>
      </c>
      <c r="X76">
        <v>1</v>
      </c>
      <c r="Y76">
        <v>1</v>
      </c>
      <c r="Z76">
        <v>1</v>
      </c>
      <c r="AA76">
        <v>0.45753424657534247</v>
      </c>
      <c r="AB76">
        <v>1</v>
      </c>
      <c r="AC76">
        <v>1</v>
      </c>
      <c r="AD76">
        <v>1</v>
      </c>
      <c r="AE76">
        <v>1</v>
      </c>
      <c r="AF76">
        <v>1</v>
      </c>
      <c r="AG76">
        <v>1</v>
      </c>
      <c r="AH76">
        <v>1</v>
      </c>
      <c r="AI76">
        <v>1</v>
      </c>
      <c r="AJ76">
        <v>1.5013698630136987</v>
      </c>
      <c r="AK76">
        <v>1.5013698630136987</v>
      </c>
      <c r="AL76">
        <v>1.5013698630136987</v>
      </c>
      <c r="AM76">
        <v>1.5013698630136987</v>
      </c>
      <c r="AN76">
        <v>1.5013698630136987</v>
      </c>
      <c r="AO76">
        <v>1.5013698630136987</v>
      </c>
      <c r="AP76">
        <v>1.5013698630136987</v>
      </c>
      <c r="AQ76">
        <v>1.5013698630136987</v>
      </c>
      <c r="AR76">
        <v>0.71506849315068488</v>
      </c>
      <c r="AS76">
        <v>0.92054794520547945</v>
      </c>
      <c r="AT76">
        <v>0.92054794520547945</v>
      </c>
      <c r="AU76">
        <v>0.92054794520547945</v>
      </c>
      <c r="AV76">
        <v>0.92054794520547945</v>
      </c>
      <c r="AW76">
        <v>0.92054794520547945</v>
      </c>
      <c r="AX76">
        <v>0.92054794520547945</v>
      </c>
      <c r="AY76">
        <v>0.92054794520547945</v>
      </c>
      <c r="AZ76">
        <v>0.92054794520547945</v>
      </c>
      <c r="BA76">
        <v>1</v>
      </c>
      <c r="BB76">
        <v>1</v>
      </c>
      <c r="BC76">
        <v>1</v>
      </c>
      <c r="BD76">
        <v>1</v>
      </c>
      <c r="BE76">
        <v>1</v>
      </c>
      <c r="BF76">
        <v>1</v>
      </c>
      <c r="BG76">
        <v>0.63561643835616444</v>
      </c>
      <c r="BH76">
        <v>1</v>
      </c>
      <c r="BI76">
        <v>1</v>
      </c>
      <c r="BJ76">
        <v>1</v>
      </c>
      <c r="BK76">
        <v>1</v>
      </c>
      <c r="BL76">
        <v>1</v>
      </c>
      <c r="BM76">
        <v>1.3671232876712329</v>
      </c>
      <c r="BN76">
        <f xml:space="preserve"> 231/365</f>
        <v>0.63287671232876708</v>
      </c>
      <c r="BO76">
        <f>519/365</f>
        <v>1.4219178082191781</v>
      </c>
      <c r="BP76">
        <v>1</v>
      </c>
      <c r="BQ76">
        <v>0.63402200763530203</v>
      </c>
      <c r="BR76">
        <v>1</v>
      </c>
      <c r="BS76">
        <v>1</v>
      </c>
      <c r="BT76">
        <v>1</v>
      </c>
      <c r="BU76">
        <v>1</v>
      </c>
      <c r="BV76">
        <v>1</v>
      </c>
      <c r="BW76">
        <v>1.3671232876712329</v>
      </c>
      <c r="BX76">
        <f>BX35/365</f>
        <v>0.63287671232876708</v>
      </c>
      <c r="BY76">
        <f>BY35/365</f>
        <v>1.4219178082191781</v>
      </c>
      <c r="BZ76">
        <f>BZ35/365</f>
        <v>1</v>
      </c>
    </row>
    <row r="77" spans="1:985" ht="14.4" customHeight="1" x14ac:dyDescent="0.55000000000000004">
      <c r="A77" t="s">
        <v>592</v>
      </c>
      <c r="B77" t="s">
        <v>667</v>
      </c>
      <c r="C77" s="1" t="s">
        <v>669</v>
      </c>
      <c r="AKN77">
        <f>AKN50*((AKN71*AKN147)+AKN149)*AKN72</f>
        <v>1.4697403605532884E-2</v>
      </c>
      <c r="AKO77">
        <f>AKO50*((AKO71*AKO147)+AKO149)*AKO72</f>
        <v>1.4697403605532884E-2</v>
      </c>
      <c r="AKP77">
        <f>AKP50*((AKP71*AKP147)+AKP149)*AKP72</f>
        <v>1.5344627999999997E-2</v>
      </c>
      <c r="AKQ77">
        <f>AKQ50*((AKQ71*AKQ147)+AKQ149)*AKQ72</f>
        <v>1.4514707999999999E-2</v>
      </c>
      <c r="AKR77">
        <f>AKR50*((AKR71*AKR147)+AKR149)*AKR72</f>
        <v>1.4471927807999998E-2</v>
      </c>
      <c r="AKU77">
        <f>AKU78/365</f>
        <v>1.1007074266028731E-2</v>
      </c>
      <c r="AKV77">
        <f>AKV78/365</f>
        <v>1.1007074266028731E-2</v>
      </c>
      <c r="AKW77">
        <f>AKW78/365</f>
        <v>1.1007074266028731E-2</v>
      </c>
    </row>
    <row r="78" spans="1:985" ht="14.4" customHeight="1" x14ac:dyDescent="0.55000000000000004">
      <c r="A78" t="s">
        <v>597</v>
      </c>
      <c r="B78" t="s">
        <v>668</v>
      </c>
      <c r="C78" s="1" t="s">
        <v>670</v>
      </c>
      <c r="AKU78">
        <f>AKU50*((AKU71*AKU147)+AKU149)*AKU72*365</f>
        <v>4.0175821071004867</v>
      </c>
      <c r="AKV78">
        <f>AKV50*((AKV71*AKV147)+AKV149)*AKV72*365</f>
        <v>4.0175821071004867</v>
      </c>
      <c r="AKW78">
        <f>AKW50*((AKW71*AKW147)+AKW149)*AKW72*365</f>
        <v>4.0175821071004867</v>
      </c>
    </row>
    <row r="79" spans="1:985" ht="14.4" customHeight="1" x14ac:dyDescent="0.55000000000000004">
      <c r="A79" t="s">
        <v>593</v>
      </c>
      <c r="B79" t="s">
        <v>521</v>
      </c>
      <c r="C79" s="1" t="s">
        <v>671</v>
      </c>
      <c r="AKN79" t="s">
        <v>558</v>
      </c>
      <c r="AKO79" t="s">
        <v>558</v>
      </c>
      <c r="AKP79" t="s">
        <v>558</v>
      </c>
      <c r="AKQ79" t="s">
        <v>558</v>
      </c>
      <c r="AKR79" t="s">
        <v>558</v>
      </c>
    </row>
    <row r="80" spans="1:985" ht="14.4" customHeight="1" x14ac:dyDescent="0.55000000000000004">
      <c r="A80" t="s">
        <v>560</v>
      </c>
      <c r="B80" t="s">
        <v>667</v>
      </c>
      <c r="C80" s="1" t="s">
        <v>672</v>
      </c>
      <c r="AKN80">
        <f>AKN137*(AKN64*AKN153+AKN65*AKN154+AKN66*AKN155)</f>
        <v>1.4029961371729965E-2</v>
      </c>
      <c r="AKO80">
        <f>AKO137*(AKO64*AKO153+AKO65*AKO154+AKO66*AKO155)</f>
        <v>8.7242200359805965E-3</v>
      </c>
      <c r="AKP80">
        <f>AKP137*(AKP64*AKP153+AKP65*AKP154+AKP66*AKP155)</f>
        <v>1.1707633237049184E-2</v>
      </c>
      <c r="AKQ80">
        <f>AKQ137*(AKQ64*AKQ153+AKQ65*AKQ154+AKQ66*AKQ155)</f>
        <v>1.2568528380035814E-2</v>
      </c>
      <c r="AKR80">
        <f>AKR137*(AKR64*AKR153+AKR65*AKR154+AKR66*AKR155)</f>
        <v>1.2287883895525421E-2</v>
      </c>
      <c r="AKU80">
        <f>AKU81/365</f>
        <v>8.0874693390954374E-3</v>
      </c>
      <c r="AKV80">
        <f>AKV81/365</f>
        <v>8.0874693390954374E-3</v>
      </c>
      <c r="AKW80">
        <f>AKW81/365</f>
        <v>8.0874693390954374E-3</v>
      </c>
    </row>
    <row r="81" spans="1:985" ht="14.4" customHeight="1" x14ac:dyDescent="0.55000000000000004">
      <c r="A81" t="s">
        <v>598</v>
      </c>
      <c r="B81" t="s">
        <v>668</v>
      </c>
      <c r="C81" s="1" t="s">
        <v>673</v>
      </c>
      <c r="AKU81">
        <f>AKU63*AKU145*AKU137</f>
        <v>2.9519263087698344</v>
      </c>
      <c r="AKV81">
        <f>AKV63*AKV145*AKV137</f>
        <v>2.9519263087698344</v>
      </c>
      <c r="AKW81">
        <f>AKW63*AKW145*AKW137</f>
        <v>2.9519263087698344</v>
      </c>
    </row>
    <row r="82" spans="1:985" ht="14.4" customHeight="1" x14ac:dyDescent="0.55000000000000004">
      <c r="A82" t="s">
        <v>561</v>
      </c>
      <c r="B82" t="s">
        <v>521</v>
      </c>
      <c r="C82" s="1" t="s">
        <v>674</v>
      </c>
      <c r="AKN82" t="s">
        <v>562</v>
      </c>
      <c r="AKO82" t="s">
        <v>562</v>
      </c>
      <c r="AKP82" t="s">
        <v>562</v>
      </c>
      <c r="AKQ82" t="s">
        <v>562</v>
      </c>
      <c r="AKR82" t="s">
        <v>562</v>
      </c>
    </row>
    <row r="83" spans="1:985" ht="14.4" customHeight="1" x14ac:dyDescent="0.55000000000000004">
      <c r="A83" t="s">
        <v>594</v>
      </c>
      <c r="B83" t="s">
        <v>667</v>
      </c>
      <c r="C83" s="1" t="s">
        <v>675</v>
      </c>
      <c r="AKU83">
        <f>AKU84/365</f>
        <v>5.019599793341619E-4</v>
      </c>
      <c r="AKV83">
        <f>AKV84/365</f>
        <v>5.019599793341619E-4</v>
      </c>
      <c r="AKW83">
        <f>AKW84/365</f>
        <v>5.019599793341619E-4</v>
      </c>
    </row>
    <row r="84" spans="1:985" ht="14.4" customHeight="1" x14ac:dyDescent="0.55000000000000004">
      <c r="A84" t="s">
        <v>599</v>
      </c>
      <c r="B84" t="s">
        <v>668</v>
      </c>
      <c r="C84" s="1" t="s">
        <v>954</v>
      </c>
      <c r="AKU84">
        <f>AKU51*(AKU151+AKU152)*AKU74*365</f>
        <v>0.18321539245696911</v>
      </c>
      <c r="AKV84">
        <f>AKV51*(AKV151+AKV152)*AKV74*365</f>
        <v>0.18321539245696911</v>
      </c>
      <c r="AKW84">
        <f>AKW51*(AKW151+AKW152)*AKW74*365</f>
        <v>0.18321539245696911</v>
      </c>
    </row>
    <row r="85" spans="1:985" ht="14.4" customHeight="1" x14ac:dyDescent="0.55000000000000004">
      <c r="A85" t="s">
        <v>534</v>
      </c>
      <c r="B85" t="s">
        <v>647</v>
      </c>
      <c r="C85" s="1" t="s">
        <v>956</v>
      </c>
      <c r="AKH85">
        <f>AKH49*(AKH71*AKH147+AKH149)*AKH73</f>
        <v>7454.9201999999996</v>
      </c>
      <c r="AKI85">
        <f>AKI49*(AKI71*AKI147+AKI149)*AKI73</f>
        <v>29969.631194880003</v>
      </c>
    </row>
    <row r="86" spans="1:985" ht="14.4" customHeight="1" x14ac:dyDescent="0.55000000000000004">
      <c r="A86" t="s">
        <v>952</v>
      </c>
      <c r="B86" t="s">
        <v>521</v>
      </c>
      <c r="C86" s="1" t="s">
        <v>953</v>
      </c>
      <c r="AKH86" t="s">
        <v>532</v>
      </c>
      <c r="AKI86" t="s">
        <v>532</v>
      </c>
    </row>
    <row r="87" spans="1:985" ht="14.4" customHeight="1" x14ac:dyDescent="0.55000000000000004">
      <c r="A87" t="s">
        <v>535</v>
      </c>
      <c r="B87" t="s">
        <v>647</v>
      </c>
      <c r="C87" s="1" t="s">
        <v>954</v>
      </c>
      <c r="AKH87">
        <f>AKH51*(AKH71*AKH151+AKH152)*AKH74</f>
        <v>365.34466834800008</v>
      </c>
      <c r="AKI87">
        <f>AKI51*(AKI71*AKI151+AKI152)*AKI74</f>
        <v>1474.7124204120003</v>
      </c>
    </row>
    <row r="88" spans="1:985" ht="14.4" customHeight="1" x14ac:dyDescent="0.55000000000000004">
      <c r="A88" t="s">
        <v>536</v>
      </c>
      <c r="B88" t="s">
        <v>521</v>
      </c>
      <c r="C88" s="1" t="s">
        <v>951</v>
      </c>
      <c r="AKH88" t="s">
        <v>533</v>
      </c>
      <c r="AKI88" t="s">
        <v>533</v>
      </c>
    </row>
    <row r="89" spans="1:985" ht="14.4" customHeight="1" x14ac:dyDescent="0.55000000000000004">
      <c r="A89" t="s">
        <v>537</v>
      </c>
      <c r="B89" t="s">
        <v>520</v>
      </c>
      <c r="C89" s="1" t="s">
        <v>955</v>
      </c>
      <c r="AKH89">
        <f>AKH85+AKH87</f>
        <v>7820.2648683479993</v>
      </c>
      <c r="AKI89">
        <f>AKI85+AKI87</f>
        <v>31444.343615292004</v>
      </c>
      <c r="AKU89">
        <f t="shared" ref="AKU89:AKW90" si="63">AKU77+AKU80+AKU83</f>
        <v>1.959650358445833E-2</v>
      </c>
      <c r="AKV89">
        <f t="shared" si="63"/>
        <v>1.959650358445833E-2</v>
      </c>
      <c r="AKW89">
        <f t="shared" si="63"/>
        <v>1.959650358445833E-2</v>
      </c>
    </row>
    <row r="90" spans="1:985" ht="14.4" customHeight="1" x14ac:dyDescent="0.55000000000000004">
      <c r="A90" t="s">
        <v>600</v>
      </c>
      <c r="B90" t="s">
        <v>757</v>
      </c>
      <c r="C90" s="1" t="s">
        <v>727</v>
      </c>
      <c r="AKU90">
        <f t="shared" si="63"/>
        <v>7.1527238083272895</v>
      </c>
      <c r="AKV90">
        <f t="shared" si="63"/>
        <v>7.1527238083272895</v>
      </c>
      <c r="AKW90">
        <f t="shared" si="63"/>
        <v>7.1527238083272895</v>
      </c>
    </row>
    <row r="91" spans="1:985" ht="14.4" customHeight="1" x14ac:dyDescent="0.55000000000000004">
      <c r="A91" t="s">
        <v>595</v>
      </c>
      <c r="B91" t="s">
        <v>667</v>
      </c>
      <c r="C91" s="1" t="s">
        <v>728</v>
      </c>
      <c r="AKN91">
        <f>AKN53*((AKN71*AKN147)+AKN149)*AKN72</f>
        <v>1.5203461365532879E-3</v>
      </c>
      <c r="AKO91">
        <f>AKO53*((AKO71*AKO147)+AKO149)*AKO72</f>
        <v>1.7027352134308606E-3</v>
      </c>
      <c r="AKP91">
        <f>AKP53*((AKP71*AKP147)+AKP149)*AKP72</f>
        <v>1.5344627999999993E-3</v>
      </c>
      <c r="AKQ91">
        <f>AKQ53*((AKQ71*AKQ147)+AKQ149)*AKQ72</f>
        <v>1.4514707999999995E-3</v>
      </c>
      <c r="AKR91">
        <f>AKR53*((AKR71*AKR147)+AKR149)*AKR72</f>
        <v>1.5946517602736835E-3</v>
      </c>
      <c r="AKU91">
        <f>AKU92/365</f>
        <v>4.3385546143190597E-3</v>
      </c>
      <c r="AKV91">
        <f>AKV92/365</f>
        <v>4.3385546143190597E-3</v>
      </c>
      <c r="AKW91">
        <f>AKW92/365</f>
        <v>4.3385546143190597E-3</v>
      </c>
    </row>
    <row r="92" spans="1:985" ht="14.4" customHeight="1" x14ac:dyDescent="0.55000000000000004">
      <c r="A92" t="s">
        <v>601</v>
      </c>
      <c r="B92" t="s">
        <v>757</v>
      </c>
      <c r="C92" s="1" t="s">
        <v>729</v>
      </c>
      <c r="AKU92">
        <f>AKU53*((AKU71*AKU147)+AKU149)*AKU72*365</f>
        <v>1.5835724342264568</v>
      </c>
      <c r="AKV92">
        <f>AKV53*((AKV71*AKV147)+AKV149)*AKV72*365</f>
        <v>1.5835724342264568</v>
      </c>
      <c r="AKW92">
        <f>AKW53*((AKW71*AKW147)+AKW149)*AKW72*365</f>
        <v>1.5835724342264568</v>
      </c>
    </row>
    <row r="93" spans="1:985" ht="14.4" customHeight="1" x14ac:dyDescent="0.55000000000000004">
      <c r="A93" t="s">
        <v>567</v>
      </c>
      <c r="B93" t="s">
        <v>758</v>
      </c>
      <c r="C93" s="1" t="s">
        <v>738</v>
      </c>
      <c r="AKN93">
        <v>2.7362604687157779E-3</v>
      </c>
      <c r="AKO93">
        <v>1.1705013054246996E-3</v>
      </c>
      <c r="AKP93">
        <v>3.8803863779965087E-3</v>
      </c>
      <c r="AKQ93">
        <v>4.1801712761509969E-3</v>
      </c>
      <c r="AKR93">
        <v>3.3995639458597503E-3</v>
      </c>
      <c r="AKU93">
        <f>AKU94/365</f>
        <v>4.2742482651486575E-4</v>
      </c>
      <c r="AKV93">
        <f>AKV94/365</f>
        <v>4.2742482651486575E-4</v>
      </c>
      <c r="AKW93">
        <f>AKW94/365</f>
        <v>4.2742482651486575E-4</v>
      </c>
    </row>
    <row r="94" spans="1:985" ht="14.4" customHeight="1" x14ac:dyDescent="0.55000000000000004">
      <c r="A94" t="s">
        <v>602</v>
      </c>
      <c r="B94" t="s">
        <v>757</v>
      </c>
      <c r="C94" s="1" t="s">
        <v>739</v>
      </c>
      <c r="AKU94">
        <v>0.156010061677926</v>
      </c>
      <c r="AKV94">
        <v>0.156010061677926</v>
      </c>
      <c r="AKW94">
        <v>0.156010061677926</v>
      </c>
    </row>
    <row r="95" spans="1:985" ht="14.4" customHeight="1" x14ac:dyDescent="0.55000000000000004">
      <c r="A95" t="s">
        <v>574</v>
      </c>
      <c r="B95" t="s">
        <v>660</v>
      </c>
      <c r="C95" s="1" t="s">
        <v>740</v>
      </c>
      <c r="AKO95">
        <v>0.46517271141886901</v>
      </c>
    </row>
    <row r="96" spans="1:985" ht="14.4" customHeight="1" x14ac:dyDescent="0.55000000000000004">
      <c r="A96" t="s">
        <v>741</v>
      </c>
      <c r="B96" t="s">
        <v>667</v>
      </c>
      <c r="C96" s="1" t="s">
        <v>742</v>
      </c>
      <c r="AKN96">
        <f>AKN137*(AKN64*AKN156+AKN65*AKN157+AKN66*AKN158)</f>
        <v>2.914307748945015E-3</v>
      </c>
      <c r="AKO96">
        <f>AKO137*(AKO64*AKO156+AKO65*AKO157+AKO66*AKO158)*AKO95</f>
        <v>4.0582690891519174E-3</v>
      </c>
      <c r="AKP96">
        <f>AKP137*(AKP64*AKP156+AKP65*AKP157+AKP66*AKP158)</f>
        <v>5.1506516721113512E-4</v>
      </c>
      <c r="AKQ96">
        <f>AKQ137*(AKQ64*AKQ156+AKQ65*AKQ157+AKQ66*AKQ158)</f>
        <v>5.112621713912873E-4</v>
      </c>
      <c r="AKR96">
        <f>AKR137*(AKR64*AKR156+AKR65*AKR157+AKR66*AKR158)</f>
        <v>2.4821977691226985E-3</v>
      </c>
      <c r="AKU96">
        <f>AKU97/365</f>
        <v>4.2854453936944633E-5</v>
      </c>
      <c r="AKV96">
        <f>AKV97/365</f>
        <v>4.2854453936944633E-5</v>
      </c>
      <c r="AKW96">
        <f>AKW97/365</f>
        <v>4.2854453936944633E-5</v>
      </c>
    </row>
    <row r="97" spans="1:985" ht="14.4" customHeight="1" x14ac:dyDescent="0.55000000000000004">
      <c r="A97" t="s">
        <v>603</v>
      </c>
      <c r="B97" t="s">
        <v>668</v>
      </c>
      <c r="C97" s="1" t="s">
        <v>743</v>
      </c>
      <c r="AKU97">
        <f>AKU63*AKU146*AKU137</f>
        <v>1.5641875686984791E-2</v>
      </c>
      <c r="AKV97">
        <f>AKV63*AKV146*AKV137</f>
        <v>1.5641875686984791E-2</v>
      </c>
      <c r="AKW97">
        <f>AKW63*AKW146*AKW137</f>
        <v>1.5641875686984791E-2</v>
      </c>
    </row>
    <row r="98" spans="1:985" ht="14.4" customHeight="1" x14ac:dyDescent="0.55000000000000004">
      <c r="A98" t="s">
        <v>538</v>
      </c>
      <c r="B98" t="s">
        <v>668</v>
      </c>
      <c r="C98" s="1" t="s">
        <v>730</v>
      </c>
      <c r="AKH98">
        <f>AKH52*((AKH71*AKH147)+AKH149)*AKH73</f>
        <v>1923.7954070400001</v>
      </c>
      <c r="AKI98">
        <f>AKI52*((AKI71*AKI147)+AKI149)*AKI73</f>
        <v>7734.3732086399996</v>
      </c>
    </row>
    <row r="99" spans="1:985" ht="14.4" customHeight="1" x14ac:dyDescent="0.55000000000000004">
      <c r="A99" t="s">
        <v>539</v>
      </c>
      <c r="B99" t="s">
        <v>521</v>
      </c>
      <c r="C99" s="1" t="s">
        <v>731</v>
      </c>
      <c r="AKH99" t="s">
        <v>524</v>
      </c>
      <c r="AKI99" t="s">
        <v>524</v>
      </c>
    </row>
    <row r="100" spans="1:985" ht="14.4" customHeight="1" x14ac:dyDescent="0.55000000000000004">
      <c r="A100" t="s">
        <v>540</v>
      </c>
      <c r="B100" t="s">
        <v>668</v>
      </c>
      <c r="C100" s="1" t="s">
        <v>732</v>
      </c>
      <c r="AKH100">
        <f>AKH54*((AKH71*AKH151)+AKH152)*AKH74</f>
        <v>210.67320291600004</v>
      </c>
      <c r="AKI100">
        <f>AKI54*((AKI71*AKI151)+AKI152)*AKI74</f>
        <v>850.69305987600023</v>
      </c>
    </row>
    <row r="101" spans="1:985" ht="14.4" customHeight="1" x14ac:dyDescent="0.55000000000000004">
      <c r="A101" t="s">
        <v>605</v>
      </c>
      <c r="B101" t="s">
        <v>667</v>
      </c>
      <c r="C101" s="1" t="s">
        <v>733</v>
      </c>
      <c r="AKU101">
        <f>AKU102/365</f>
        <v>1.0764026775741123E-4</v>
      </c>
      <c r="AKV101">
        <f>AKV102/365</f>
        <v>1.0764026775741123E-4</v>
      </c>
      <c r="AKW101">
        <f>AKW102/365</f>
        <v>1.0764026775741123E-4</v>
      </c>
    </row>
    <row r="102" spans="1:985" ht="14.4" customHeight="1" x14ac:dyDescent="0.55000000000000004">
      <c r="A102" t="s">
        <v>604</v>
      </c>
      <c r="B102" t="s">
        <v>757</v>
      </c>
      <c r="C102" s="1" t="s">
        <v>734</v>
      </c>
      <c r="AKU102">
        <f>AKU54*(AKU151+AKU152)*AKU74*365</f>
        <v>3.9288697731455102E-2</v>
      </c>
      <c r="AKV102">
        <f>AKV54*(AKV151+AKV152)*AKV74*365</f>
        <v>3.9288697731455102E-2</v>
      </c>
      <c r="AKW102">
        <f>AKW54*(AKW151+AKW152)*AKW74*365</f>
        <v>3.9288697731455102E-2</v>
      </c>
    </row>
    <row r="103" spans="1:985" ht="14.4" customHeight="1" x14ac:dyDescent="0.55000000000000004">
      <c r="A103" t="s">
        <v>541</v>
      </c>
      <c r="B103" t="s">
        <v>735</v>
      </c>
      <c r="C103" s="1" t="s">
        <v>736</v>
      </c>
      <c r="AKH103" t="s">
        <v>525</v>
      </c>
      <c r="AKI103" t="s">
        <v>525</v>
      </c>
    </row>
    <row r="104" spans="1:985" ht="14.4" customHeight="1" x14ac:dyDescent="0.55000000000000004">
      <c r="A104" t="s">
        <v>542</v>
      </c>
      <c r="B104" t="s">
        <v>668</v>
      </c>
      <c r="C104" s="1" t="s">
        <v>737</v>
      </c>
      <c r="AKH104">
        <f>AKH98+AKH100</f>
        <v>2134.4686099560004</v>
      </c>
      <c r="AKI104">
        <f>AKI98+AKI100</f>
        <v>8585.0662685160005</v>
      </c>
      <c r="AKU104">
        <f t="shared" ref="AKU104:AKW105" si="64">AKU96+AKU91+AKU101+AKU93</f>
        <v>4.9164741625282813E-3</v>
      </c>
      <c r="AKV104">
        <f t="shared" si="64"/>
        <v>4.9164741625282813E-3</v>
      </c>
      <c r="AKW104">
        <f t="shared" si="64"/>
        <v>4.9164741625282813E-3</v>
      </c>
    </row>
    <row r="105" spans="1:985" ht="14.4" customHeight="1" x14ac:dyDescent="0.55000000000000004">
      <c r="A105" t="s">
        <v>606</v>
      </c>
      <c r="B105" t="s">
        <v>668</v>
      </c>
      <c r="C105" s="1" t="s">
        <v>744</v>
      </c>
      <c r="AKU105">
        <f t="shared" si="64"/>
        <v>1.7945130693228226</v>
      </c>
      <c r="AKV105">
        <f t="shared" si="64"/>
        <v>1.7945130693228226</v>
      </c>
      <c r="AKW105">
        <f t="shared" si="64"/>
        <v>1.7945130693228226</v>
      </c>
    </row>
    <row r="106" spans="1:985" ht="14.4" customHeight="1" x14ac:dyDescent="0.55000000000000004">
      <c r="A106" t="s">
        <v>607</v>
      </c>
      <c r="B106" t="s">
        <v>668</v>
      </c>
      <c r="C106" s="1" t="s">
        <v>745</v>
      </c>
      <c r="AKU106">
        <f>AKU90-AKU105</f>
        <v>5.3582107390044671</v>
      </c>
      <c r="AKV106">
        <f>AKV90-AKV105</f>
        <v>5.3582107390044671</v>
      </c>
      <c r="AKW106">
        <f>AKW90-AKW105</f>
        <v>5.3582107390044671</v>
      </c>
    </row>
    <row r="107" spans="1:985" ht="14.4" customHeight="1" x14ac:dyDescent="0.55000000000000004">
      <c r="A107" t="s">
        <v>452</v>
      </c>
      <c r="B107" t="s">
        <v>668</v>
      </c>
      <c r="C107" s="1" t="s">
        <v>747</v>
      </c>
      <c r="AJR107">
        <f t="shared" ref="AJR107:AJZ107" si="65">AJR75*AJR72*AJR71*AJR47*AJR40*(AJR35/365)</f>
        <v>4189.2116690713219</v>
      </c>
      <c r="AJS107">
        <f t="shared" si="65"/>
        <v>13630.217621520182</v>
      </c>
      <c r="AJT107">
        <f t="shared" si="65"/>
        <v>18402.655817467712</v>
      </c>
      <c r="AJU107">
        <f t="shared" si="65"/>
        <v>22933.710349220066</v>
      </c>
      <c r="AJV107">
        <f t="shared" si="65"/>
        <v>28306.590454840229</v>
      </c>
      <c r="AJW107">
        <f t="shared" si="65"/>
        <v>31306.972424581007</v>
      </c>
      <c r="AJX107">
        <f t="shared" si="65"/>
        <v>31594.98570041062</v>
      </c>
      <c r="AJY107">
        <f t="shared" si="65"/>
        <v>31519.598945631289</v>
      </c>
      <c r="AJZ107">
        <f t="shared" si="65"/>
        <v>31580.047491554415</v>
      </c>
      <c r="AKA107">
        <f t="shared" ref="AKA107:AKG107" si="66">AKA75*AKA72*AKA71*AKA47*AKA40*(AKA35/365)*AKA160</f>
        <v>4153.0613759999997</v>
      </c>
      <c r="AKB107">
        <f t="shared" si="66"/>
        <v>12459.184127999997</v>
      </c>
      <c r="AKC107">
        <f t="shared" si="66"/>
        <v>20765.306879999996</v>
      </c>
      <c r="AKD107">
        <f t="shared" si="66"/>
        <v>20765.306879999996</v>
      </c>
      <c r="AKE107">
        <f t="shared" si="66"/>
        <v>20765.306879999996</v>
      </c>
      <c r="AKF107">
        <f t="shared" si="66"/>
        <v>20765.306879999996</v>
      </c>
      <c r="AKG107">
        <f t="shared" si="66"/>
        <v>19268.474342400001</v>
      </c>
    </row>
    <row r="108" spans="1:985" ht="14.4" customHeight="1" x14ac:dyDescent="0.55000000000000004">
      <c r="A108" t="s">
        <v>748</v>
      </c>
      <c r="B108" t="s">
        <v>668</v>
      </c>
      <c r="C108" s="1" t="s">
        <v>749</v>
      </c>
      <c r="AJR108">
        <f t="shared" ref="AJR108:AJZ108" si="67">(AJR64*AJR153+AJR65*AJR154+AJR66*AJR155)*AJR137/AJR139</f>
        <v>2.6875796734424284</v>
      </c>
      <c r="AJS108">
        <f t="shared" si="67"/>
        <v>3.1994996112409861</v>
      </c>
      <c r="AJT108">
        <f t="shared" si="67"/>
        <v>3.7124548580000001</v>
      </c>
      <c r="AJU108">
        <f t="shared" si="67"/>
        <v>3.539038994927536</v>
      </c>
      <c r="AJV108">
        <f t="shared" si="67"/>
        <v>3.5664690825231484</v>
      </c>
      <c r="AJW108">
        <f t="shared" si="67"/>
        <v>3.0988685727520311</v>
      </c>
      <c r="AJX108">
        <f t="shared" si="67"/>
        <v>3.378976209772528</v>
      </c>
      <c r="AJY108">
        <f t="shared" si="67"/>
        <v>3.1515347494958821</v>
      </c>
      <c r="AJZ108">
        <f t="shared" si="67"/>
        <v>2.783786315111453</v>
      </c>
      <c r="AKA108">
        <f t="shared" ref="AKA108:AKF108" si="68">(AKA144*AKA63)*AKA136*AKA137/AKA139*AKA160</f>
        <v>2.2723438414655037</v>
      </c>
      <c r="AKB108">
        <f t="shared" si="68"/>
        <v>2.2723438414655037</v>
      </c>
      <c r="AKC108">
        <f t="shared" si="68"/>
        <v>2.2723438414654993</v>
      </c>
      <c r="AKD108">
        <f t="shared" si="68"/>
        <v>2.2723438414654993</v>
      </c>
      <c r="AKE108">
        <f t="shared" si="68"/>
        <v>2.2723438414654993</v>
      </c>
      <c r="AKF108">
        <f t="shared" si="68"/>
        <v>2.2723438414654993</v>
      </c>
      <c r="AKG108">
        <v>1.9</v>
      </c>
    </row>
    <row r="109" spans="1:985" ht="14.4" customHeight="1" x14ac:dyDescent="0.55000000000000004">
      <c r="A109" t="s">
        <v>453</v>
      </c>
      <c r="B109" t="s">
        <v>668</v>
      </c>
      <c r="C109" s="1" t="s">
        <v>746</v>
      </c>
      <c r="AJR109">
        <f t="shared" ref="AJR109:AJZ109" si="69">(AJR108*AJR178*AJR42*AJR159+AJR108*AJR178*AJR43)*AJR35/365</f>
        <v>2082.3278338788823</v>
      </c>
      <c r="AJS109">
        <f t="shared" si="69"/>
        <v>8065.6672927910131</v>
      </c>
      <c r="AJT109">
        <f t="shared" si="69"/>
        <v>15467.549542550119</v>
      </c>
      <c r="AJU109">
        <f t="shared" si="69"/>
        <v>18595.355366442171</v>
      </c>
      <c r="AJV109">
        <f t="shared" si="69"/>
        <v>24295.018697154337</v>
      </c>
      <c r="AJW109">
        <f t="shared" si="69"/>
        <v>23231.853166820252</v>
      </c>
      <c r="AJX109">
        <f t="shared" si="69"/>
        <v>25570.906299103623</v>
      </c>
      <c r="AJY109">
        <f t="shared" si="69"/>
        <v>23795.79806667618</v>
      </c>
      <c r="AJZ109">
        <f t="shared" si="69"/>
        <v>22024.196318817565</v>
      </c>
      <c r="AKA109">
        <f t="shared" ref="AKA109:AKG109" si="70">AKA108*AKA178*AKA40*AKA35/365</f>
        <v>2272.3438414655038</v>
      </c>
      <c r="AKB109">
        <f t="shared" si="70"/>
        <v>6817.0315243965115</v>
      </c>
      <c r="AKC109">
        <f t="shared" si="70"/>
        <v>11361.719207327496</v>
      </c>
      <c r="AKD109">
        <f t="shared" si="70"/>
        <v>11361.719207327496</v>
      </c>
      <c r="AKE109">
        <f t="shared" si="70"/>
        <v>11361.719207327496</v>
      </c>
      <c r="AKF109">
        <f t="shared" si="70"/>
        <v>11361.719207327496</v>
      </c>
      <c r="AKG109">
        <f t="shared" si="70"/>
        <v>9500</v>
      </c>
    </row>
    <row r="110" spans="1:985" ht="14.4" customHeight="1" x14ac:dyDescent="0.55000000000000004">
      <c r="A110" t="s">
        <v>563</v>
      </c>
      <c r="B110" t="s">
        <v>521</v>
      </c>
      <c r="C110" s="1" t="s">
        <v>750</v>
      </c>
      <c r="AKN110" t="s">
        <v>564</v>
      </c>
      <c r="AKO110" t="s">
        <v>564</v>
      </c>
      <c r="AKP110" t="s">
        <v>564</v>
      </c>
      <c r="AKQ110" t="s">
        <v>564</v>
      </c>
      <c r="AKR110" t="s">
        <v>564</v>
      </c>
    </row>
    <row r="111" spans="1:985" ht="14.4" customHeight="1" x14ac:dyDescent="0.55000000000000004">
      <c r="A111" t="s">
        <v>752</v>
      </c>
      <c r="B111" t="s">
        <v>660</v>
      </c>
      <c r="C111" s="1" t="s">
        <v>753</v>
      </c>
      <c r="BG111">
        <v>0.05</v>
      </c>
      <c r="BH111">
        <v>0.05</v>
      </c>
      <c r="BI111">
        <v>0.05</v>
      </c>
      <c r="BJ111">
        <v>0.05</v>
      </c>
      <c r="BK111">
        <v>0.05</v>
      </c>
      <c r="BL111">
        <v>0.05</v>
      </c>
      <c r="BM111">
        <v>0.05</v>
      </c>
      <c r="BN111">
        <v>0.05</v>
      </c>
      <c r="BO111">
        <v>0.05</v>
      </c>
      <c r="BP111">
        <v>0.05</v>
      </c>
      <c r="BQ111">
        <v>0.05</v>
      </c>
      <c r="BR111">
        <v>0.05</v>
      </c>
      <c r="BS111">
        <v>0.05</v>
      </c>
      <c r="BT111">
        <v>0.05</v>
      </c>
      <c r="BU111">
        <v>0.05</v>
      </c>
      <c r="BV111">
        <v>0.05</v>
      </c>
      <c r="BW111">
        <v>0.05</v>
      </c>
      <c r="BX111">
        <v>0.05</v>
      </c>
      <c r="BY111">
        <v>0.05</v>
      </c>
      <c r="BZ111">
        <v>0.05</v>
      </c>
      <c r="AJR111">
        <v>0.1</v>
      </c>
      <c r="AJS111">
        <v>0.1</v>
      </c>
      <c r="AJT111">
        <v>0.1</v>
      </c>
      <c r="AJU111">
        <v>0.1</v>
      </c>
      <c r="AJV111">
        <v>0.1</v>
      </c>
      <c r="AJW111">
        <v>0.1</v>
      </c>
      <c r="AJX111">
        <v>0.1</v>
      </c>
      <c r="AJY111">
        <v>0.1</v>
      </c>
      <c r="AJZ111">
        <v>0.1</v>
      </c>
      <c r="AKJ111">
        <v>0.05</v>
      </c>
      <c r="AKK111">
        <v>0.05</v>
      </c>
      <c r="AKL111">
        <v>0.05</v>
      </c>
      <c r="AKM111">
        <v>0.05</v>
      </c>
      <c r="AKS111">
        <v>0.05</v>
      </c>
      <c r="AKT111">
        <v>0.05</v>
      </c>
    </row>
    <row r="112" spans="1:985" ht="14.4" customHeight="1" x14ac:dyDescent="0.55000000000000004">
      <c r="A112" t="s">
        <v>751</v>
      </c>
      <c r="B112" t="s">
        <v>668</v>
      </c>
      <c r="C112" s="1" t="s">
        <v>754</v>
      </c>
      <c r="D112">
        <v>1601.7373281956286</v>
      </c>
      <c r="E112">
        <v>789.10252168635611</v>
      </c>
      <c r="F112">
        <v>761.36191713632172</v>
      </c>
      <c r="G112">
        <v>801.85863057115046</v>
      </c>
      <c r="H112">
        <v>3469.6806280363635</v>
      </c>
      <c r="I112">
        <v>3194.2791271665146</v>
      </c>
      <c r="J112">
        <v>3400.6159524413788</v>
      </c>
      <c r="K112">
        <v>3336.6562124869561</v>
      </c>
      <c r="L112">
        <v>3194.2791271665146</v>
      </c>
      <c r="M112">
        <v>3141</v>
      </c>
      <c r="N112">
        <v>3305.94</v>
      </c>
      <c r="O112">
        <v>2932.45</v>
      </c>
      <c r="P112">
        <v>2982.84</v>
      </c>
      <c r="Q112">
        <v>3190</v>
      </c>
      <c r="R112">
        <v>3218.51</v>
      </c>
      <c r="S112">
        <v>3082.05</v>
      </c>
      <c r="T112">
        <v>2627.8094589711864</v>
      </c>
      <c r="U112">
        <v>2900.8232702486553</v>
      </c>
      <c r="V112">
        <v>2900.6559171012623</v>
      </c>
      <c r="W112">
        <v>3075.422480757391</v>
      </c>
      <c r="X112">
        <v>3262.4079035657132</v>
      </c>
      <c r="Y112">
        <v>2769.0408648405196</v>
      </c>
      <c r="Z112">
        <v>3037.7204068319998</v>
      </c>
      <c r="AA112">
        <v>1355.0174970562537</v>
      </c>
      <c r="AB112">
        <v>3269.6157941136134</v>
      </c>
      <c r="AC112">
        <v>3001.2152009704291</v>
      </c>
      <c r="AD112">
        <v>2942.6123809823689</v>
      </c>
      <c r="AE112">
        <v>2683.4824052382501</v>
      </c>
      <c r="AF112">
        <v>2531.5570082543777</v>
      </c>
      <c r="AG112">
        <v>2467.6462388447999</v>
      </c>
      <c r="AH112">
        <v>2491.104659778327</v>
      </c>
      <c r="AI112">
        <v>2607.5928368437526</v>
      </c>
      <c r="AJ112">
        <v>4143.5400698859321</v>
      </c>
      <c r="AK112">
        <v>4813.6301941934571</v>
      </c>
      <c r="AL112">
        <v>4381.7314695731711</v>
      </c>
      <c r="AM112">
        <v>4685.1362064950363</v>
      </c>
      <c r="AN112">
        <v>5096.7726657234271</v>
      </c>
      <c r="AO112">
        <v>4015.9157368150359</v>
      </c>
      <c r="AP112">
        <v>4115.0705871433092</v>
      </c>
      <c r="AQ112">
        <v>4798.0004746147633</v>
      </c>
      <c r="AR112">
        <v>2154.9286030475605</v>
      </c>
      <c r="AS112">
        <v>2951.0659473524515</v>
      </c>
      <c r="AT112">
        <v>2824.4520733148292</v>
      </c>
      <c r="AU112">
        <v>2837.5821853759253</v>
      </c>
      <c r="AV112">
        <v>2884.2905073910888</v>
      </c>
      <c r="AW112">
        <v>2674.1740763025691</v>
      </c>
      <c r="AX112">
        <v>2861.038575969771</v>
      </c>
      <c r="AY112">
        <v>2696.2200805823854</v>
      </c>
      <c r="AZ112">
        <v>2725.3034023603095</v>
      </c>
      <c r="BA112">
        <v>3240</v>
      </c>
      <c r="BB112">
        <v>2195</v>
      </c>
      <c r="BC112">
        <v>2363</v>
      </c>
      <c r="BD112">
        <v>2314</v>
      </c>
      <c r="BE112">
        <v>1279</v>
      </c>
      <c r="BF112">
        <v>1685</v>
      </c>
      <c r="BG112">
        <f t="shared" ref="BG112:BZ112" si="71">BG111*BG188</f>
        <v>1908.5208234552458</v>
      </c>
      <c r="BH112">
        <f t="shared" si="71"/>
        <v>3388.4657238611312</v>
      </c>
      <c r="BI112">
        <f t="shared" si="71"/>
        <v>3385.0095718040816</v>
      </c>
      <c r="BJ112">
        <f t="shared" si="71"/>
        <v>3489.3990959707317</v>
      </c>
      <c r="BK112">
        <f t="shared" si="71"/>
        <v>3234.3893667849497</v>
      </c>
      <c r="BL112">
        <f t="shared" si="71"/>
        <v>2863.3846936155605</v>
      </c>
      <c r="BM112">
        <f t="shared" si="71"/>
        <v>3927.5155717091857</v>
      </c>
      <c r="BN112">
        <f t="shared" si="71"/>
        <v>2467.6276126364869</v>
      </c>
      <c r="BO112">
        <f t="shared" si="71"/>
        <v>4965.6909513688142</v>
      </c>
      <c r="BP112">
        <f t="shared" si="71"/>
        <v>3377.1857907812746</v>
      </c>
      <c r="BQ112">
        <f t="shared" si="71"/>
        <v>2227.8336511351636</v>
      </c>
      <c r="BR112">
        <f t="shared" si="71"/>
        <v>3454.8910207659574</v>
      </c>
      <c r="BS112">
        <f t="shared" si="71"/>
        <v>3287.1684385878261</v>
      </c>
      <c r="BT112">
        <f t="shared" si="71"/>
        <v>3324.9409223635867</v>
      </c>
      <c r="BU112">
        <f t="shared" si="71"/>
        <v>3024.8856902297871</v>
      </c>
      <c r="BV112">
        <f t="shared" si="71"/>
        <v>3022.6015180799986</v>
      </c>
      <c r="BW112">
        <f t="shared" si="71"/>
        <v>3830.8799397858074</v>
      </c>
      <c r="BX112">
        <f t="shared" si="71"/>
        <v>2281.351674701194</v>
      </c>
      <c r="BY112">
        <f t="shared" si="71"/>
        <v>4810.0540516129413</v>
      </c>
      <c r="BZ112">
        <f t="shared" si="71"/>
        <v>3302.6291970003508</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v>0</v>
      </c>
      <c r="EM112">
        <v>0</v>
      </c>
      <c r="EN112">
        <v>0</v>
      </c>
      <c r="EO112">
        <v>0</v>
      </c>
      <c r="EP112">
        <v>0</v>
      </c>
      <c r="EQ112">
        <v>0</v>
      </c>
      <c r="ER112">
        <v>0</v>
      </c>
      <c r="ES112">
        <v>0</v>
      </c>
      <c r="ET112">
        <v>0</v>
      </c>
      <c r="EU112">
        <v>0</v>
      </c>
      <c r="EV112">
        <v>0</v>
      </c>
      <c r="EW112">
        <v>0</v>
      </c>
      <c r="EX112">
        <v>0</v>
      </c>
      <c r="EY112">
        <v>0</v>
      </c>
      <c r="EZ112">
        <v>0</v>
      </c>
      <c r="FA112">
        <v>0</v>
      </c>
      <c r="FB112">
        <v>0</v>
      </c>
      <c r="FC112">
        <v>0</v>
      </c>
      <c r="FD112">
        <v>0</v>
      </c>
      <c r="FE112">
        <v>0</v>
      </c>
      <c r="FF112">
        <v>0</v>
      </c>
      <c r="FG112">
        <v>0</v>
      </c>
      <c r="FH112">
        <v>0</v>
      </c>
      <c r="FI112">
        <v>0</v>
      </c>
      <c r="FJ112">
        <v>0</v>
      </c>
      <c r="FK112">
        <v>0</v>
      </c>
      <c r="FL112">
        <v>0</v>
      </c>
      <c r="FM112">
        <v>0</v>
      </c>
      <c r="FN112">
        <v>0</v>
      </c>
      <c r="FO112">
        <v>0</v>
      </c>
      <c r="FP112">
        <v>0</v>
      </c>
      <c r="FQ112">
        <v>0</v>
      </c>
      <c r="FR112">
        <v>0</v>
      </c>
      <c r="FS112">
        <v>0</v>
      </c>
      <c r="FT112">
        <v>0</v>
      </c>
      <c r="FU112">
        <v>0</v>
      </c>
      <c r="FV112">
        <v>0</v>
      </c>
      <c r="FW112">
        <v>0</v>
      </c>
      <c r="FX112">
        <v>0</v>
      </c>
      <c r="FY112">
        <v>0</v>
      </c>
      <c r="FZ112">
        <v>0</v>
      </c>
      <c r="GA112">
        <v>0</v>
      </c>
      <c r="GB112">
        <v>0</v>
      </c>
      <c r="GC112">
        <v>0</v>
      </c>
      <c r="GD112">
        <v>0</v>
      </c>
      <c r="GE112">
        <v>0</v>
      </c>
      <c r="GF112">
        <v>0</v>
      </c>
      <c r="GG112">
        <v>0</v>
      </c>
      <c r="GH112">
        <v>0</v>
      </c>
      <c r="GI112">
        <v>0</v>
      </c>
      <c r="GJ112">
        <v>0</v>
      </c>
      <c r="GK112">
        <v>0</v>
      </c>
      <c r="GL112">
        <v>0</v>
      </c>
      <c r="GM112">
        <v>0</v>
      </c>
      <c r="GN112">
        <v>0</v>
      </c>
      <c r="GO112">
        <v>0</v>
      </c>
      <c r="GP112">
        <v>0</v>
      </c>
      <c r="GQ112">
        <v>0</v>
      </c>
      <c r="GR112">
        <v>0</v>
      </c>
      <c r="GS112">
        <v>0</v>
      </c>
      <c r="GT112">
        <v>0</v>
      </c>
      <c r="GU112">
        <v>0</v>
      </c>
      <c r="GV112">
        <v>0</v>
      </c>
      <c r="GW112">
        <v>0</v>
      </c>
      <c r="GX112">
        <v>0</v>
      </c>
      <c r="GY112">
        <v>0</v>
      </c>
      <c r="GZ112">
        <v>0</v>
      </c>
      <c r="HA112">
        <v>0</v>
      </c>
      <c r="HB112">
        <v>0</v>
      </c>
      <c r="HC112">
        <v>0</v>
      </c>
      <c r="HD112">
        <v>0</v>
      </c>
      <c r="HE112">
        <v>0</v>
      </c>
      <c r="HF112">
        <v>0</v>
      </c>
      <c r="HG112">
        <v>0</v>
      </c>
      <c r="HH112">
        <v>0</v>
      </c>
      <c r="HI112">
        <v>0</v>
      </c>
      <c r="HJ112">
        <v>0</v>
      </c>
      <c r="HK112">
        <v>0</v>
      </c>
      <c r="HL112">
        <v>0</v>
      </c>
      <c r="HM112">
        <v>0</v>
      </c>
      <c r="HN112">
        <v>0</v>
      </c>
      <c r="HO112">
        <v>0</v>
      </c>
      <c r="HP112">
        <v>0</v>
      </c>
      <c r="HQ112">
        <v>0</v>
      </c>
      <c r="HR112">
        <v>0</v>
      </c>
      <c r="HS112">
        <v>0</v>
      </c>
      <c r="HT112">
        <v>0</v>
      </c>
      <c r="HU112">
        <v>0</v>
      </c>
      <c r="HV112">
        <v>0</v>
      </c>
      <c r="HW112">
        <v>0</v>
      </c>
      <c r="HX112">
        <v>0</v>
      </c>
      <c r="HY112">
        <v>0</v>
      </c>
      <c r="HZ112">
        <v>0</v>
      </c>
      <c r="IA112">
        <v>0</v>
      </c>
      <c r="IB112">
        <v>0</v>
      </c>
      <c r="IC112">
        <v>0</v>
      </c>
      <c r="ID112">
        <v>0</v>
      </c>
      <c r="IE112">
        <v>0</v>
      </c>
      <c r="IF112">
        <v>0</v>
      </c>
      <c r="IG112">
        <v>0</v>
      </c>
      <c r="IH112">
        <v>0</v>
      </c>
      <c r="II112">
        <v>0</v>
      </c>
      <c r="IJ112">
        <v>0</v>
      </c>
      <c r="IK112">
        <v>0</v>
      </c>
      <c r="IL112">
        <v>0</v>
      </c>
      <c r="IM112">
        <v>0</v>
      </c>
      <c r="IN112">
        <v>0</v>
      </c>
      <c r="IO112">
        <v>0</v>
      </c>
      <c r="IP112">
        <v>0</v>
      </c>
      <c r="IQ112">
        <v>0</v>
      </c>
      <c r="IR112">
        <v>0</v>
      </c>
      <c r="IS112">
        <v>0</v>
      </c>
      <c r="IT112">
        <v>0</v>
      </c>
      <c r="IU112">
        <v>0</v>
      </c>
      <c r="IV112">
        <v>0</v>
      </c>
      <c r="IW112">
        <v>0</v>
      </c>
      <c r="IX112">
        <v>0</v>
      </c>
      <c r="IY112">
        <v>0</v>
      </c>
      <c r="IZ112">
        <v>0</v>
      </c>
      <c r="JA112">
        <v>0</v>
      </c>
      <c r="JB112">
        <v>0</v>
      </c>
      <c r="JC112">
        <v>0</v>
      </c>
      <c r="JD112">
        <v>0</v>
      </c>
      <c r="JE112">
        <v>0</v>
      </c>
      <c r="JF112">
        <v>0</v>
      </c>
      <c r="JG112">
        <v>0</v>
      </c>
      <c r="JH112">
        <v>0</v>
      </c>
      <c r="JI112">
        <v>0</v>
      </c>
      <c r="JJ112">
        <v>0</v>
      </c>
      <c r="JK112">
        <v>0</v>
      </c>
      <c r="JL112">
        <v>0</v>
      </c>
      <c r="JM112">
        <v>0</v>
      </c>
      <c r="JN112">
        <v>0</v>
      </c>
      <c r="JO112">
        <v>0</v>
      </c>
      <c r="JP112">
        <v>0</v>
      </c>
      <c r="JQ112">
        <v>0</v>
      </c>
      <c r="JR112">
        <v>0</v>
      </c>
      <c r="JS112">
        <v>0</v>
      </c>
      <c r="JT112">
        <v>0</v>
      </c>
      <c r="JU112">
        <v>0</v>
      </c>
      <c r="JV112">
        <v>0</v>
      </c>
      <c r="JW112">
        <v>0</v>
      </c>
      <c r="JX112">
        <v>0</v>
      </c>
      <c r="JY112">
        <v>0</v>
      </c>
      <c r="JZ112">
        <v>0</v>
      </c>
      <c r="KA112">
        <v>0</v>
      </c>
      <c r="KB112">
        <v>0</v>
      </c>
      <c r="KC112">
        <v>0</v>
      </c>
      <c r="KD112">
        <v>0</v>
      </c>
      <c r="KE112">
        <v>0</v>
      </c>
      <c r="KF112">
        <v>0</v>
      </c>
      <c r="KG112">
        <v>0</v>
      </c>
      <c r="KH112">
        <v>0</v>
      </c>
      <c r="KI112">
        <v>0</v>
      </c>
      <c r="KJ112">
        <v>0</v>
      </c>
      <c r="KK112">
        <v>0</v>
      </c>
      <c r="KL112">
        <v>0</v>
      </c>
      <c r="KM112">
        <v>0</v>
      </c>
      <c r="KN112">
        <v>0</v>
      </c>
      <c r="KO112">
        <v>0</v>
      </c>
      <c r="KP112">
        <v>0</v>
      </c>
      <c r="KQ112">
        <v>0</v>
      </c>
      <c r="KR112">
        <v>0</v>
      </c>
      <c r="KS112">
        <v>0</v>
      </c>
      <c r="KT112">
        <v>0</v>
      </c>
      <c r="KU112">
        <v>0</v>
      </c>
      <c r="KV112">
        <v>0</v>
      </c>
      <c r="KW112">
        <v>0</v>
      </c>
      <c r="KX112">
        <v>0</v>
      </c>
      <c r="KY112">
        <v>0</v>
      </c>
      <c r="KZ112">
        <v>0</v>
      </c>
      <c r="LA112">
        <v>0</v>
      </c>
      <c r="LB112">
        <v>0</v>
      </c>
      <c r="LC112">
        <v>0</v>
      </c>
      <c r="LD112">
        <v>0</v>
      </c>
      <c r="LE112">
        <v>0</v>
      </c>
      <c r="LF112">
        <v>0</v>
      </c>
      <c r="LG112">
        <v>0</v>
      </c>
      <c r="LH112">
        <v>0</v>
      </c>
      <c r="LI112">
        <v>0</v>
      </c>
      <c r="LJ112">
        <v>0</v>
      </c>
      <c r="LK112">
        <v>0</v>
      </c>
      <c r="LL112">
        <v>0</v>
      </c>
      <c r="LM112">
        <v>0</v>
      </c>
      <c r="LN112">
        <v>0</v>
      </c>
      <c r="LO112">
        <v>0</v>
      </c>
      <c r="LP112">
        <v>0</v>
      </c>
      <c r="LQ112">
        <v>0</v>
      </c>
      <c r="LR112">
        <v>0</v>
      </c>
      <c r="LS112">
        <v>0</v>
      </c>
      <c r="LT112">
        <v>0</v>
      </c>
      <c r="LU112">
        <v>0</v>
      </c>
      <c r="LV112">
        <v>0</v>
      </c>
      <c r="LW112">
        <v>0</v>
      </c>
      <c r="LX112">
        <v>0</v>
      </c>
      <c r="LY112">
        <v>0</v>
      </c>
      <c r="LZ112">
        <v>0</v>
      </c>
      <c r="MA112">
        <v>0</v>
      </c>
      <c r="MB112">
        <v>0</v>
      </c>
      <c r="MC112">
        <v>0</v>
      </c>
      <c r="MD112">
        <v>0</v>
      </c>
      <c r="ME112">
        <v>0</v>
      </c>
      <c r="MF112">
        <v>0</v>
      </c>
      <c r="MG112">
        <v>0</v>
      </c>
      <c r="MH112">
        <v>0</v>
      </c>
      <c r="MI112">
        <v>0</v>
      </c>
      <c r="MJ112">
        <v>0</v>
      </c>
      <c r="MK112">
        <v>0</v>
      </c>
      <c r="ML112">
        <v>0</v>
      </c>
      <c r="MM112">
        <v>0</v>
      </c>
      <c r="MN112">
        <v>0</v>
      </c>
      <c r="MO112">
        <v>0</v>
      </c>
      <c r="MP112">
        <v>0</v>
      </c>
      <c r="MQ112">
        <v>0</v>
      </c>
      <c r="MR112">
        <v>0</v>
      </c>
      <c r="MS112">
        <v>0</v>
      </c>
      <c r="MT112">
        <v>0</v>
      </c>
      <c r="MU112">
        <v>0</v>
      </c>
      <c r="MV112">
        <v>0</v>
      </c>
      <c r="MW112">
        <v>0</v>
      </c>
      <c r="MX112">
        <v>0</v>
      </c>
      <c r="MY112">
        <v>0</v>
      </c>
      <c r="MZ112">
        <v>0</v>
      </c>
      <c r="NA112">
        <v>0</v>
      </c>
      <c r="NB112">
        <v>0</v>
      </c>
      <c r="NC112">
        <v>0</v>
      </c>
      <c r="ND112">
        <v>0</v>
      </c>
      <c r="NE112">
        <v>0</v>
      </c>
      <c r="NF112">
        <v>0</v>
      </c>
      <c r="NG112">
        <v>0</v>
      </c>
      <c r="NH112">
        <v>0</v>
      </c>
      <c r="NI112">
        <v>0</v>
      </c>
      <c r="NJ112">
        <v>0</v>
      </c>
      <c r="NK112">
        <v>0</v>
      </c>
      <c r="NL112">
        <v>0</v>
      </c>
      <c r="NM112">
        <v>0</v>
      </c>
      <c r="NN112">
        <v>0</v>
      </c>
      <c r="NO112">
        <v>0</v>
      </c>
      <c r="NP112">
        <v>0</v>
      </c>
      <c r="NQ112">
        <v>0</v>
      </c>
      <c r="NR112">
        <v>0</v>
      </c>
      <c r="NS112">
        <v>0</v>
      </c>
      <c r="NT112">
        <v>0</v>
      </c>
      <c r="NU112">
        <v>0</v>
      </c>
      <c r="NV112">
        <v>0</v>
      </c>
      <c r="NW112">
        <v>0</v>
      </c>
      <c r="NX112">
        <v>0</v>
      </c>
      <c r="NY112">
        <v>0</v>
      </c>
      <c r="NZ112">
        <v>0</v>
      </c>
      <c r="OA112">
        <v>0</v>
      </c>
      <c r="OB112">
        <v>0</v>
      </c>
      <c r="OC112">
        <v>0</v>
      </c>
      <c r="OD112">
        <v>0</v>
      </c>
      <c r="OE112">
        <v>0</v>
      </c>
      <c r="OF112">
        <v>0</v>
      </c>
      <c r="OG112">
        <v>0</v>
      </c>
      <c r="OH112">
        <v>0</v>
      </c>
      <c r="OI112">
        <v>0</v>
      </c>
      <c r="OJ112">
        <v>0</v>
      </c>
      <c r="OK112">
        <v>0</v>
      </c>
      <c r="OL112">
        <v>0</v>
      </c>
      <c r="OM112">
        <v>0</v>
      </c>
      <c r="ON112">
        <v>0</v>
      </c>
      <c r="OO112">
        <v>0</v>
      </c>
      <c r="OP112">
        <v>0</v>
      </c>
      <c r="OQ112">
        <v>0</v>
      </c>
      <c r="OR112">
        <v>0</v>
      </c>
      <c r="OS112">
        <v>0</v>
      </c>
      <c r="OT112">
        <v>0</v>
      </c>
      <c r="OU112">
        <v>0</v>
      </c>
      <c r="OV112">
        <v>0</v>
      </c>
      <c r="OW112">
        <v>0</v>
      </c>
      <c r="OX112">
        <v>0</v>
      </c>
      <c r="OY112">
        <v>0</v>
      </c>
      <c r="OZ112">
        <v>0</v>
      </c>
      <c r="PA112">
        <v>0</v>
      </c>
      <c r="PB112">
        <v>0</v>
      </c>
      <c r="PC112">
        <v>0</v>
      </c>
      <c r="PD112">
        <v>0</v>
      </c>
      <c r="PE112">
        <v>0</v>
      </c>
      <c r="PF112">
        <v>0</v>
      </c>
      <c r="PG112">
        <v>0</v>
      </c>
      <c r="PH112">
        <v>0</v>
      </c>
      <c r="PI112">
        <v>0</v>
      </c>
      <c r="PJ112">
        <v>0</v>
      </c>
      <c r="PK112">
        <v>0</v>
      </c>
      <c r="PL112">
        <v>0</v>
      </c>
      <c r="PM112">
        <v>0</v>
      </c>
      <c r="PN112">
        <v>0</v>
      </c>
      <c r="PO112">
        <v>0</v>
      </c>
      <c r="PP112">
        <v>0</v>
      </c>
      <c r="PQ112">
        <v>0</v>
      </c>
      <c r="PR112">
        <v>0</v>
      </c>
      <c r="PS112">
        <v>0</v>
      </c>
      <c r="PT112">
        <v>0</v>
      </c>
      <c r="PU112">
        <v>0</v>
      </c>
      <c r="PV112">
        <v>0</v>
      </c>
      <c r="PW112">
        <v>0</v>
      </c>
      <c r="PX112">
        <v>0</v>
      </c>
      <c r="PY112">
        <v>0</v>
      </c>
      <c r="PZ112">
        <v>0</v>
      </c>
      <c r="QA112">
        <v>0</v>
      </c>
      <c r="QB112">
        <v>0</v>
      </c>
      <c r="QC112">
        <v>0</v>
      </c>
      <c r="QD112">
        <v>0</v>
      </c>
      <c r="QE112">
        <v>0</v>
      </c>
      <c r="QF112">
        <v>0</v>
      </c>
      <c r="QG112">
        <v>0</v>
      </c>
      <c r="QH112">
        <v>0</v>
      </c>
      <c r="QI112">
        <v>0</v>
      </c>
      <c r="QJ112">
        <v>0</v>
      </c>
      <c r="QK112">
        <v>0</v>
      </c>
      <c r="QL112">
        <v>0</v>
      </c>
      <c r="QM112">
        <v>0</v>
      </c>
      <c r="QN112">
        <v>0</v>
      </c>
      <c r="QO112">
        <v>0</v>
      </c>
      <c r="QP112">
        <v>0</v>
      </c>
      <c r="QQ112">
        <v>0</v>
      </c>
      <c r="QR112">
        <v>0</v>
      </c>
      <c r="QS112">
        <v>0</v>
      </c>
      <c r="QT112">
        <v>0</v>
      </c>
      <c r="QU112">
        <v>0</v>
      </c>
      <c r="QV112">
        <v>0</v>
      </c>
      <c r="QW112">
        <v>0</v>
      </c>
      <c r="QX112">
        <v>0</v>
      </c>
      <c r="QY112">
        <v>0</v>
      </c>
      <c r="QZ112">
        <v>0</v>
      </c>
      <c r="RA112">
        <v>0</v>
      </c>
      <c r="RB112">
        <v>0</v>
      </c>
      <c r="RC112">
        <v>0</v>
      </c>
      <c r="RD112">
        <v>0</v>
      </c>
      <c r="RE112">
        <v>0</v>
      </c>
      <c r="RF112">
        <v>0</v>
      </c>
      <c r="RG112">
        <v>0</v>
      </c>
      <c r="RH112">
        <v>0</v>
      </c>
      <c r="RI112">
        <v>0</v>
      </c>
      <c r="RJ112">
        <v>0</v>
      </c>
      <c r="RK112">
        <v>0</v>
      </c>
      <c r="RL112">
        <v>0</v>
      </c>
      <c r="RM112">
        <v>0</v>
      </c>
      <c r="RN112">
        <v>0</v>
      </c>
      <c r="RO112">
        <v>0</v>
      </c>
      <c r="RP112">
        <v>0</v>
      </c>
      <c r="RQ112">
        <v>0</v>
      </c>
      <c r="RR112">
        <v>0</v>
      </c>
      <c r="RS112">
        <v>0</v>
      </c>
      <c r="RT112">
        <v>0</v>
      </c>
      <c r="RU112">
        <v>0</v>
      </c>
      <c r="RV112">
        <v>0</v>
      </c>
      <c r="RW112">
        <v>0</v>
      </c>
      <c r="RX112">
        <v>0</v>
      </c>
      <c r="RY112">
        <v>0</v>
      </c>
      <c r="RZ112">
        <v>0</v>
      </c>
      <c r="SA112">
        <v>0</v>
      </c>
      <c r="SB112">
        <v>0</v>
      </c>
      <c r="SC112">
        <v>0</v>
      </c>
      <c r="SD112">
        <v>0</v>
      </c>
      <c r="SE112">
        <v>0</v>
      </c>
      <c r="SF112">
        <v>0</v>
      </c>
      <c r="SG112">
        <v>0</v>
      </c>
      <c r="SH112">
        <v>0</v>
      </c>
      <c r="SI112">
        <v>0</v>
      </c>
      <c r="SJ112">
        <v>0</v>
      </c>
      <c r="SK112">
        <v>0</v>
      </c>
      <c r="SL112">
        <v>0</v>
      </c>
      <c r="SM112">
        <v>0</v>
      </c>
      <c r="SN112">
        <v>0</v>
      </c>
      <c r="SO112">
        <v>0</v>
      </c>
      <c r="SP112">
        <v>0</v>
      </c>
      <c r="SQ112">
        <v>0</v>
      </c>
      <c r="SR112">
        <v>0</v>
      </c>
      <c r="SS112">
        <v>0</v>
      </c>
      <c r="ST112">
        <v>0</v>
      </c>
      <c r="SU112">
        <v>0</v>
      </c>
      <c r="SV112">
        <v>0</v>
      </c>
      <c r="SW112">
        <v>0</v>
      </c>
      <c r="SX112">
        <v>0</v>
      </c>
      <c r="SY112">
        <v>0</v>
      </c>
      <c r="SZ112">
        <v>0</v>
      </c>
      <c r="TA112">
        <v>0</v>
      </c>
      <c r="TB112">
        <v>0</v>
      </c>
      <c r="TC112">
        <v>0</v>
      </c>
      <c r="TD112">
        <v>0</v>
      </c>
      <c r="TE112">
        <v>0</v>
      </c>
      <c r="TF112">
        <v>0</v>
      </c>
      <c r="TG112">
        <v>0</v>
      </c>
      <c r="TH112">
        <v>0</v>
      </c>
      <c r="TI112">
        <v>0</v>
      </c>
      <c r="TJ112">
        <v>0</v>
      </c>
      <c r="TK112">
        <v>0</v>
      </c>
      <c r="TL112">
        <v>0</v>
      </c>
      <c r="TM112">
        <v>0</v>
      </c>
      <c r="TN112">
        <v>0</v>
      </c>
      <c r="TO112">
        <v>0</v>
      </c>
      <c r="TP112">
        <v>0</v>
      </c>
      <c r="TQ112">
        <v>0</v>
      </c>
      <c r="TR112">
        <v>0</v>
      </c>
      <c r="TS112">
        <v>0</v>
      </c>
      <c r="TT112">
        <v>0</v>
      </c>
      <c r="TU112">
        <v>0</v>
      </c>
      <c r="TV112">
        <v>0</v>
      </c>
      <c r="TW112">
        <v>0</v>
      </c>
      <c r="TX112">
        <v>0</v>
      </c>
      <c r="TY112">
        <v>0</v>
      </c>
      <c r="TZ112">
        <v>0</v>
      </c>
      <c r="UA112">
        <v>0</v>
      </c>
      <c r="UB112">
        <v>0</v>
      </c>
      <c r="UC112">
        <v>0</v>
      </c>
      <c r="UD112">
        <v>0</v>
      </c>
      <c r="UE112">
        <v>0</v>
      </c>
      <c r="UF112">
        <v>0</v>
      </c>
      <c r="UG112">
        <v>0</v>
      </c>
      <c r="UH112">
        <v>0</v>
      </c>
      <c r="UI112">
        <v>0</v>
      </c>
      <c r="UJ112">
        <v>0</v>
      </c>
      <c r="UK112">
        <v>0</v>
      </c>
      <c r="UL112">
        <v>0</v>
      </c>
      <c r="UM112">
        <v>0</v>
      </c>
      <c r="UN112">
        <v>0</v>
      </c>
      <c r="UO112">
        <v>0</v>
      </c>
      <c r="UP112">
        <v>0</v>
      </c>
      <c r="UQ112">
        <v>0</v>
      </c>
      <c r="UR112">
        <v>0</v>
      </c>
      <c r="US112">
        <v>0</v>
      </c>
      <c r="UT112">
        <v>0</v>
      </c>
      <c r="UU112">
        <v>0</v>
      </c>
      <c r="UV112">
        <v>0</v>
      </c>
      <c r="UW112">
        <v>0</v>
      </c>
      <c r="UX112">
        <v>0</v>
      </c>
      <c r="UY112">
        <v>0</v>
      </c>
      <c r="UZ112">
        <v>0</v>
      </c>
      <c r="VA112">
        <v>0</v>
      </c>
      <c r="VB112">
        <v>0</v>
      </c>
      <c r="VC112">
        <v>0</v>
      </c>
      <c r="VD112">
        <v>0</v>
      </c>
      <c r="VE112">
        <v>0</v>
      </c>
      <c r="VF112">
        <v>0</v>
      </c>
      <c r="VG112">
        <v>0</v>
      </c>
      <c r="VH112">
        <v>0</v>
      </c>
      <c r="VI112">
        <v>0</v>
      </c>
      <c r="VJ112">
        <v>0</v>
      </c>
      <c r="VK112">
        <v>0</v>
      </c>
      <c r="VL112">
        <v>0</v>
      </c>
      <c r="VM112">
        <v>0</v>
      </c>
      <c r="VN112">
        <v>0</v>
      </c>
      <c r="VO112">
        <v>0</v>
      </c>
      <c r="VP112">
        <v>0</v>
      </c>
      <c r="VQ112">
        <v>0</v>
      </c>
      <c r="VR112">
        <v>0</v>
      </c>
      <c r="VS112">
        <v>0</v>
      </c>
      <c r="VT112">
        <v>0</v>
      </c>
      <c r="VU112">
        <v>0</v>
      </c>
      <c r="VV112">
        <v>0</v>
      </c>
      <c r="VW112">
        <v>0</v>
      </c>
      <c r="VX112">
        <v>0</v>
      </c>
      <c r="VY112">
        <v>0</v>
      </c>
      <c r="VZ112">
        <v>0</v>
      </c>
      <c r="WA112">
        <v>0</v>
      </c>
      <c r="WB112">
        <v>0</v>
      </c>
      <c r="WC112">
        <v>0</v>
      </c>
      <c r="WD112">
        <v>0</v>
      </c>
      <c r="WE112">
        <v>0</v>
      </c>
      <c r="WF112">
        <v>0</v>
      </c>
      <c r="WG112">
        <v>0</v>
      </c>
      <c r="WH112">
        <v>0</v>
      </c>
      <c r="WI112">
        <v>0</v>
      </c>
      <c r="WJ112">
        <v>0</v>
      </c>
      <c r="WK112">
        <v>0</v>
      </c>
      <c r="WL112">
        <v>0</v>
      </c>
      <c r="WM112">
        <v>0</v>
      </c>
      <c r="WN112">
        <v>0</v>
      </c>
      <c r="WO112">
        <v>0</v>
      </c>
      <c r="WP112">
        <v>0</v>
      </c>
      <c r="WQ112">
        <v>0</v>
      </c>
      <c r="WR112">
        <v>0</v>
      </c>
      <c r="WS112">
        <v>0</v>
      </c>
      <c r="WT112">
        <v>0</v>
      </c>
      <c r="WU112">
        <v>0</v>
      </c>
      <c r="WV112">
        <v>0</v>
      </c>
      <c r="WW112">
        <v>0</v>
      </c>
      <c r="WX112">
        <v>0</v>
      </c>
      <c r="WY112">
        <v>0</v>
      </c>
      <c r="WZ112">
        <v>0</v>
      </c>
      <c r="XA112">
        <v>0</v>
      </c>
      <c r="XB112">
        <v>0</v>
      </c>
      <c r="XC112">
        <v>0</v>
      </c>
      <c r="XD112">
        <v>0</v>
      </c>
      <c r="XE112">
        <v>0</v>
      </c>
      <c r="XF112">
        <v>0</v>
      </c>
      <c r="XG112">
        <v>0</v>
      </c>
      <c r="XH112">
        <v>0</v>
      </c>
      <c r="XI112">
        <v>0</v>
      </c>
      <c r="XJ112">
        <v>0</v>
      </c>
      <c r="XK112">
        <v>0</v>
      </c>
      <c r="XL112">
        <v>0</v>
      </c>
      <c r="XM112">
        <v>0</v>
      </c>
      <c r="XN112">
        <v>0</v>
      </c>
      <c r="XO112">
        <v>0</v>
      </c>
      <c r="XP112">
        <v>0</v>
      </c>
      <c r="XQ112">
        <v>0</v>
      </c>
      <c r="XR112">
        <v>0</v>
      </c>
      <c r="XS112">
        <v>0</v>
      </c>
      <c r="XT112">
        <v>0</v>
      </c>
      <c r="XU112">
        <v>0</v>
      </c>
      <c r="XV112">
        <v>0</v>
      </c>
      <c r="XW112">
        <v>0</v>
      </c>
      <c r="XX112">
        <v>0</v>
      </c>
      <c r="XY112">
        <v>0</v>
      </c>
      <c r="XZ112">
        <v>0</v>
      </c>
      <c r="YA112">
        <v>0</v>
      </c>
      <c r="YB112">
        <v>0</v>
      </c>
      <c r="YC112">
        <v>0</v>
      </c>
      <c r="YD112">
        <v>0</v>
      </c>
      <c r="YE112">
        <v>0</v>
      </c>
      <c r="YF112">
        <v>0</v>
      </c>
      <c r="YG112">
        <v>0</v>
      </c>
      <c r="YH112">
        <v>0</v>
      </c>
      <c r="YI112">
        <v>0</v>
      </c>
      <c r="YJ112">
        <v>0</v>
      </c>
      <c r="YK112">
        <v>0</v>
      </c>
      <c r="YL112">
        <v>0</v>
      </c>
      <c r="YM112">
        <v>0</v>
      </c>
      <c r="YN112">
        <v>0</v>
      </c>
      <c r="YO112">
        <v>0</v>
      </c>
      <c r="YP112">
        <v>0</v>
      </c>
      <c r="YQ112">
        <v>0</v>
      </c>
      <c r="YR112">
        <v>0</v>
      </c>
      <c r="YS112">
        <v>0</v>
      </c>
      <c r="YT112">
        <v>0</v>
      </c>
      <c r="YU112">
        <v>0</v>
      </c>
      <c r="YV112">
        <v>0</v>
      </c>
      <c r="YW112">
        <v>0</v>
      </c>
      <c r="YX112">
        <v>0</v>
      </c>
      <c r="YY112">
        <v>0</v>
      </c>
      <c r="YZ112">
        <v>0</v>
      </c>
      <c r="ZA112">
        <v>0</v>
      </c>
      <c r="ZB112">
        <v>0</v>
      </c>
      <c r="ZC112">
        <v>0</v>
      </c>
      <c r="ZD112">
        <v>0</v>
      </c>
      <c r="ZE112">
        <v>0</v>
      </c>
      <c r="ZF112">
        <v>0</v>
      </c>
      <c r="ZG112">
        <v>0</v>
      </c>
      <c r="ZH112">
        <v>0</v>
      </c>
      <c r="ZI112">
        <v>0</v>
      </c>
      <c r="ZJ112">
        <v>0</v>
      </c>
      <c r="ZK112">
        <v>0</v>
      </c>
      <c r="ZL112">
        <v>0</v>
      </c>
      <c r="ZM112">
        <v>0</v>
      </c>
      <c r="ZN112">
        <v>0</v>
      </c>
      <c r="ZO112">
        <v>0</v>
      </c>
      <c r="ZP112">
        <v>0</v>
      </c>
      <c r="ZQ112">
        <v>0</v>
      </c>
      <c r="ZR112">
        <v>0</v>
      </c>
      <c r="ZS112">
        <v>0</v>
      </c>
      <c r="ZT112">
        <v>0</v>
      </c>
      <c r="ZU112">
        <v>0</v>
      </c>
      <c r="ZV112">
        <v>0</v>
      </c>
      <c r="ZW112">
        <v>0</v>
      </c>
      <c r="ZX112">
        <v>0</v>
      </c>
      <c r="ZY112">
        <v>0</v>
      </c>
      <c r="ZZ112">
        <v>0</v>
      </c>
      <c r="AAA112">
        <v>0</v>
      </c>
      <c r="AAB112">
        <v>0</v>
      </c>
      <c r="AAC112">
        <v>0</v>
      </c>
      <c r="AAD112">
        <v>0</v>
      </c>
      <c r="AAE112">
        <v>0</v>
      </c>
      <c r="AAF112">
        <v>0</v>
      </c>
      <c r="AAG112">
        <v>0</v>
      </c>
      <c r="AAH112">
        <v>0</v>
      </c>
      <c r="AAI112">
        <v>0</v>
      </c>
      <c r="AAJ112">
        <v>0</v>
      </c>
      <c r="AAK112">
        <v>0</v>
      </c>
      <c r="AAL112">
        <v>0</v>
      </c>
      <c r="AAM112">
        <v>0</v>
      </c>
      <c r="AAN112">
        <v>0</v>
      </c>
      <c r="AAO112">
        <v>0</v>
      </c>
      <c r="AAP112">
        <v>0</v>
      </c>
      <c r="AAQ112">
        <v>0</v>
      </c>
      <c r="AAR112">
        <v>0</v>
      </c>
      <c r="AAS112">
        <v>0</v>
      </c>
      <c r="AAT112">
        <v>0</v>
      </c>
      <c r="AAU112">
        <v>0</v>
      </c>
      <c r="AAV112">
        <v>0</v>
      </c>
      <c r="AAW112">
        <v>0</v>
      </c>
      <c r="AAX112">
        <v>0</v>
      </c>
      <c r="AAY112">
        <v>0</v>
      </c>
      <c r="AAZ112">
        <v>0</v>
      </c>
      <c r="ABA112">
        <v>0</v>
      </c>
      <c r="ABB112">
        <v>0</v>
      </c>
      <c r="ABC112">
        <v>0</v>
      </c>
      <c r="ABD112">
        <v>0</v>
      </c>
      <c r="ABE112">
        <v>0</v>
      </c>
      <c r="ABF112">
        <v>0</v>
      </c>
      <c r="ABG112">
        <v>0</v>
      </c>
      <c r="ABH112">
        <v>0</v>
      </c>
      <c r="ABI112">
        <v>0</v>
      </c>
      <c r="ABJ112">
        <v>0</v>
      </c>
      <c r="ABK112">
        <v>0</v>
      </c>
      <c r="ABL112">
        <v>0</v>
      </c>
      <c r="ABM112">
        <v>0</v>
      </c>
      <c r="ABN112">
        <v>0</v>
      </c>
      <c r="ABO112">
        <v>0</v>
      </c>
      <c r="ABP112">
        <v>0</v>
      </c>
      <c r="ABQ112">
        <v>0</v>
      </c>
      <c r="ABR112">
        <v>0</v>
      </c>
      <c r="ABS112">
        <v>0</v>
      </c>
      <c r="ABT112">
        <v>0</v>
      </c>
      <c r="ABU112">
        <v>0</v>
      </c>
      <c r="ABV112">
        <v>0</v>
      </c>
      <c r="ABW112">
        <v>0</v>
      </c>
      <c r="ABX112">
        <v>0</v>
      </c>
      <c r="ABY112">
        <v>0</v>
      </c>
      <c r="ABZ112">
        <v>0</v>
      </c>
      <c r="ACA112">
        <v>0</v>
      </c>
      <c r="ACB112">
        <v>0</v>
      </c>
      <c r="ACC112">
        <v>0</v>
      </c>
      <c r="ACD112">
        <v>0</v>
      </c>
      <c r="ACE112">
        <v>0</v>
      </c>
      <c r="ACF112">
        <v>0</v>
      </c>
      <c r="ACG112">
        <v>0</v>
      </c>
      <c r="ACH112">
        <v>0</v>
      </c>
      <c r="ACI112">
        <v>0</v>
      </c>
      <c r="ACJ112">
        <v>0</v>
      </c>
      <c r="ACK112">
        <v>0</v>
      </c>
      <c r="ACL112">
        <v>0</v>
      </c>
      <c r="ACM112">
        <v>0</v>
      </c>
      <c r="ACN112">
        <v>0</v>
      </c>
      <c r="ACO112">
        <v>0</v>
      </c>
      <c r="ACP112">
        <v>0</v>
      </c>
      <c r="ACQ112">
        <v>0</v>
      </c>
      <c r="ACR112">
        <v>0</v>
      </c>
      <c r="ACS112">
        <v>0</v>
      </c>
      <c r="ACT112">
        <v>0</v>
      </c>
      <c r="ACU112">
        <v>0</v>
      </c>
      <c r="ACV112">
        <v>0</v>
      </c>
      <c r="ACW112">
        <v>0</v>
      </c>
      <c r="ACX112">
        <v>0</v>
      </c>
      <c r="ACY112">
        <v>0</v>
      </c>
      <c r="ACZ112">
        <v>0</v>
      </c>
      <c r="ADA112">
        <v>0</v>
      </c>
      <c r="ADB112">
        <v>0</v>
      </c>
      <c r="ADC112">
        <v>0</v>
      </c>
      <c r="ADD112">
        <v>0</v>
      </c>
      <c r="ADE112">
        <v>0</v>
      </c>
      <c r="ADF112">
        <v>0</v>
      </c>
      <c r="ADG112">
        <v>0</v>
      </c>
      <c r="ADH112">
        <v>0</v>
      </c>
      <c r="ADI112">
        <v>0</v>
      </c>
      <c r="ADJ112">
        <v>0</v>
      </c>
      <c r="ADK112">
        <v>0</v>
      </c>
      <c r="ADL112">
        <v>0</v>
      </c>
      <c r="ADM112">
        <v>0</v>
      </c>
      <c r="ADN112">
        <v>0</v>
      </c>
      <c r="ADO112">
        <v>0</v>
      </c>
      <c r="ADP112">
        <v>0</v>
      </c>
      <c r="ADQ112">
        <v>0</v>
      </c>
      <c r="ADR112">
        <v>0</v>
      </c>
      <c r="ADS112">
        <v>0</v>
      </c>
      <c r="ADT112">
        <v>0</v>
      </c>
      <c r="ADU112">
        <v>0</v>
      </c>
      <c r="ADV112">
        <v>0</v>
      </c>
      <c r="ADW112">
        <v>0</v>
      </c>
      <c r="ADX112">
        <v>0</v>
      </c>
      <c r="ADY112">
        <v>0</v>
      </c>
      <c r="ADZ112">
        <v>0</v>
      </c>
      <c r="AEA112">
        <v>0</v>
      </c>
      <c r="AEB112">
        <v>0</v>
      </c>
      <c r="AEC112">
        <v>0</v>
      </c>
      <c r="AED112">
        <v>0</v>
      </c>
      <c r="AEE112">
        <v>0</v>
      </c>
      <c r="AEF112">
        <v>0</v>
      </c>
      <c r="AEG112">
        <v>0</v>
      </c>
      <c r="AEH112">
        <v>0</v>
      </c>
      <c r="AEI112">
        <v>0</v>
      </c>
      <c r="AEJ112">
        <v>0</v>
      </c>
      <c r="AEK112">
        <v>0</v>
      </c>
      <c r="AEL112">
        <v>0</v>
      </c>
      <c r="AEM112">
        <v>0</v>
      </c>
      <c r="AEN112">
        <v>0</v>
      </c>
      <c r="AEO112">
        <v>0</v>
      </c>
      <c r="AEP112">
        <v>0</v>
      </c>
      <c r="AEQ112">
        <v>0</v>
      </c>
      <c r="AER112">
        <v>0</v>
      </c>
      <c r="AES112">
        <v>0</v>
      </c>
      <c r="AET112">
        <v>0</v>
      </c>
      <c r="AEU112">
        <v>0</v>
      </c>
      <c r="AEV112">
        <v>0</v>
      </c>
      <c r="AEW112">
        <v>0</v>
      </c>
      <c r="AEX112">
        <v>0</v>
      </c>
      <c r="AEY112">
        <v>0</v>
      </c>
      <c r="AEZ112">
        <v>0</v>
      </c>
      <c r="AFA112">
        <v>0</v>
      </c>
      <c r="AFB112">
        <v>0</v>
      </c>
      <c r="AFC112">
        <v>0</v>
      </c>
      <c r="AFD112">
        <v>0</v>
      </c>
      <c r="AFE112">
        <v>0</v>
      </c>
      <c r="AFF112">
        <v>0</v>
      </c>
      <c r="AFG112">
        <v>0</v>
      </c>
      <c r="AFH112">
        <v>0</v>
      </c>
      <c r="AFI112">
        <v>0</v>
      </c>
      <c r="AFJ112">
        <v>0</v>
      </c>
      <c r="AFK112">
        <v>0</v>
      </c>
      <c r="AFL112">
        <v>0</v>
      </c>
      <c r="AFM112">
        <v>0</v>
      </c>
      <c r="AFN112">
        <v>0</v>
      </c>
      <c r="AFO112">
        <v>0</v>
      </c>
      <c r="AFP112">
        <v>0</v>
      </c>
      <c r="AFQ112">
        <v>0</v>
      </c>
      <c r="AFR112">
        <v>0</v>
      </c>
      <c r="AFS112">
        <v>0</v>
      </c>
      <c r="AFT112">
        <v>0</v>
      </c>
      <c r="AFU112">
        <v>0</v>
      </c>
      <c r="AFV112">
        <v>0</v>
      </c>
      <c r="AFW112">
        <v>0</v>
      </c>
      <c r="AFX112">
        <v>0</v>
      </c>
      <c r="AFY112">
        <v>0</v>
      </c>
      <c r="AFZ112">
        <v>0</v>
      </c>
      <c r="AGA112">
        <v>0</v>
      </c>
      <c r="AGB112">
        <v>0</v>
      </c>
      <c r="AGC112">
        <v>0</v>
      </c>
      <c r="AGD112">
        <v>0</v>
      </c>
      <c r="AGE112">
        <v>0</v>
      </c>
      <c r="AGF112">
        <v>0</v>
      </c>
      <c r="AGG112">
        <v>0</v>
      </c>
      <c r="AGH112">
        <v>0</v>
      </c>
      <c r="AGI112">
        <v>0</v>
      </c>
      <c r="AGJ112">
        <v>0</v>
      </c>
      <c r="AGK112">
        <v>0</v>
      </c>
      <c r="AGL112">
        <v>0</v>
      </c>
      <c r="AGM112">
        <v>0</v>
      </c>
      <c r="AGN112">
        <v>0</v>
      </c>
      <c r="AGO112">
        <v>0</v>
      </c>
      <c r="AGP112">
        <v>0</v>
      </c>
      <c r="AGQ112">
        <v>0</v>
      </c>
      <c r="AGR112">
        <v>0</v>
      </c>
      <c r="AGS112">
        <v>0</v>
      </c>
      <c r="AGT112">
        <v>0</v>
      </c>
      <c r="AGU112">
        <v>0</v>
      </c>
      <c r="AGV112">
        <v>0</v>
      </c>
      <c r="AGW112">
        <v>0</v>
      </c>
      <c r="AGX112">
        <v>0</v>
      </c>
      <c r="AGY112">
        <v>0</v>
      </c>
      <c r="AGZ112">
        <v>0</v>
      </c>
      <c r="AHA112">
        <v>0</v>
      </c>
      <c r="AHB112">
        <v>0</v>
      </c>
      <c r="AHC112">
        <v>0</v>
      </c>
      <c r="AHD112">
        <v>0</v>
      </c>
      <c r="AHE112">
        <v>0</v>
      </c>
      <c r="AHF112">
        <v>0</v>
      </c>
      <c r="AHG112">
        <v>0</v>
      </c>
      <c r="AHH112">
        <v>0</v>
      </c>
      <c r="AHI112">
        <v>0</v>
      </c>
      <c r="AHJ112">
        <v>0</v>
      </c>
      <c r="AHK112">
        <v>0</v>
      </c>
      <c r="AHL112">
        <v>0</v>
      </c>
      <c r="AHM112">
        <v>0</v>
      </c>
      <c r="AHN112">
        <v>0</v>
      </c>
      <c r="AHO112">
        <v>0</v>
      </c>
      <c r="AHP112">
        <v>0</v>
      </c>
      <c r="AHQ112">
        <v>0</v>
      </c>
      <c r="AHR112">
        <v>0</v>
      </c>
      <c r="AHS112">
        <v>0</v>
      </c>
      <c r="AHT112">
        <v>0</v>
      </c>
      <c r="AHU112">
        <v>0</v>
      </c>
      <c r="AHV112">
        <v>0</v>
      </c>
      <c r="AHW112">
        <v>0</v>
      </c>
      <c r="AHX112">
        <v>0</v>
      </c>
      <c r="AHY112">
        <v>0</v>
      </c>
      <c r="AHZ112">
        <v>0</v>
      </c>
      <c r="AIA112">
        <v>0</v>
      </c>
      <c r="AIB112">
        <v>0</v>
      </c>
      <c r="AIC112">
        <v>0</v>
      </c>
      <c r="AID112">
        <v>0</v>
      </c>
      <c r="AIE112">
        <v>0</v>
      </c>
      <c r="AIF112">
        <v>0</v>
      </c>
      <c r="AIG112">
        <v>0</v>
      </c>
      <c r="AIH112">
        <v>0</v>
      </c>
      <c r="AII112">
        <v>0</v>
      </c>
      <c r="AIJ112">
        <v>0</v>
      </c>
      <c r="AIK112">
        <v>0</v>
      </c>
      <c r="AIL112">
        <v>0</v>
      </c>
      <c r="AIM112">
        <v>0</v>
      </c>
      <c r="AIN112">
        <v>0</v>
      </c>
      <c r="AIO112">
        <v>0</v>
      </c>
      <c r="AIP112">
        <v>0</v>
      </c>
      <c r="AIQ112">
        <v>0</v>
      </c>
      <c r="AIR112">
        <v>0</v>
      </c>
      <c r="AIS112">
        <v>0</v>
      </c>
      <c r="AIT112">
        <v>0</v>
      </c>
      <c r="AIU112">
        <v>0</v>
      </c>
      <c r="AIV112">
        <v>0</v>
      </c>
      <c r="AIW112">
        <v>0</v>
      </c>
      <c r="AIX112">
        <v>0</v>
      </c>
      <c r="AIY112">
        <v>0</v>
      </c>
      <c r="AIZ112">
        <v>0</v>
      </c>
      <c r="AJA112">
        <v>0</v>
      </c>
      <c r="AJB112">
        <v>0</v>
      </c>
      <c r="AJC112">
        <v>0</v>
      </c>
      <c r="AJD112">
        <v>0</v>
      </c>
      <c r="AJE112">
        <v>0</v>
      </c>
      <c r="AJF112">
        <v>0</v>
      </c>
      <c r="AJG112">
        <v>0</v>
      </c>
      <c r="AJH112">
        <v>0</v>
      </c>
      <c r="AJI112">
        <v>0</v>
      </c>
      <c r="AJJ112">
        <v>0</v>
      </c>
      <c r="AJK112">
        <v>0</v>
      </c>
      <c r="AJL112">
        <v>0</v>
      </c>
      <c r="AJM112">
        <v>0</v>
      </c>
      <c r="AJN112">
        <v>0</v>
      </c>
      <c r="AJO112">
        <v>0</v>
      </c>
      <c r="AJP112">
        <v>0</v>
      </c>
      <c r="AJQ112">
        <v>0</v>
      </c>
      <c r="AJR112">
        <v>0</v>
      </c>
      <c r="AJS112">
        <v>0</v>
      </c>
      <c r="AJT112">
        <v>0</v>
      </c>
      <c r="AJU112">
        <v>0</v>
      </c>
      <c r="AJV112">
        <v>8</v>
      </c>
      <c r="AJW112">
        <v>117</v>
      </c>
      <c r="AJX112">
        <v>471</v>
      </c>
      <c r="AJY112">
        <v>493</v>
      </c>
      <c r="AJZ112">
        <v>493</v>
      </c>
      <c r="AKA112">
        <v>220</v>
      </c>
      <c r="AKB112">
        <v>659.99</v>
      </c>
      <c r="AKC112">
        <v>1100</v>
      </c>
      <c r="AKD112">
        <v>1100</v>
      </c>
      <c r="AKE112">
        <v>1100</v>
      </c>
      <c r="AKF112">
        <v>1100</v>
      </c>
      <c r="AKG112">
        <v>1100</v>
      </c>
      <c r="AKJ112">
        <f>ROUND((AKJ188-AKJ189)*AKJ111, 0)</f>
        <v>4033</v>
      </c>
      <c r="AKK112">
        <f>ROUND((AKK188-AKK189)*AKK111, 0)</f>
        <v>4289</v>
      </c>
      <c r="AKL112">
        <f>ROUND((AKL188-AKL189)*AKL111, 0)</f>
        <v>4250</v>
      </c>
      <c r="AKM112">
        <f>ROUND((AKM188-AKM189)*AKM111, 0)</f>
        <v>4019</v>
      </c>
      <c r="AKS112">
        <f>AKS188*AKS111</f>
        <v>3377.1857907812746</v>
      </c>
      <c r="AKT112">
        <f>AKT188*AKT111</f>
        <v>3302.6291970003508</v>
      </c>
    </row>
    <row r="113" spans="1:962" ht="14.4" customHeight="1" x14ac:dyDescent="0.55000000000000004">
      <c r="A113" t="s">
        <v>755</v>
      </c>
      <c r="B113" t="s">
        <v>668</v>
      </c>
      <c r="C113" s="1" t="s">
        <v>756</v>
      </c>
      <c r="AJR113">
        <f t="shared" ref="AJR113:AJZ113" si="72">AJR63*AJR140*AJR141/AJR139*AJR138*AJR136*AJR137*AJR111</f>
        <v>0.71567254722517104</v>
      </c>
      <c r="AJS113">
        <f t="shared" si="72"/>
        <v>0.85199112764901308</v>
      </c>
      <c r="AJT113">
        <f t="shared" si="72"/>
        <v>0.99810222373908941</v>
      </c>
      <c r="AJU113">
        <f t="shared" si="72"/>
        <v>0.95403577744520263</v>
      </c>
      <c r="AJV113">
        <f t="shared" si="72"/>
        <v>0.94843951746961808</v>
      </c>
      <c r="AJW113">
        <f t="shared" si="72"/>
        <v>0.83997411158037094</v>
      </c>
      <c r="AJX113">
        <f t="shared" si="72"/>
        <v>0.92389744933114726</v>
      </c>
      <c r="AJY113">
        <f t="shared" si="72"/>
        <v>0.86131119233647402</v>
      </c>
      <c r="AJZ113">
        <f t="shared" si="72"/>
        <v>0.75789904428668431</v>
      </c>
    </row>
    <row r="114" spans="1:962" ht="14.4" customHeight="1" x14ac:dyDescent="0.55000000000000004">
      <c r="A114" t="s">
        <v>75</v>
      </c>
      <c r="C114" s="1" t="s">
        <v>960</v>
      </c>
      <c r="BY114">
        <v>3.8942758820713415E-2</v>
      </c>
    </row>
    <row r="115" spans="1:962" ht="14.4" customHeight="1" x14ac:dyDescent="0.55000000000000004">
      <c r="A115" t="s">
        <v>76</v>
      </c>
      <c r="B115" t="s">
        <v>77</v>
      </c>
      <c r="C115" s="1" t="s">
        <v>961</v>
      </c>
      <c r="BY115">
        <v>3.913889635525877</v>
      </c>
    </row>
    <row r="116" spans="1:962" ht="14.4" customHeight="1" x14ac:dyDescent="0.55000000000000004">
      <c r="A116" t="s">
        <v>483</v>
      </c>
      <c r="B116" t="s">
        <v>618</v>
      </c>
      <c r="C116" s="1" t="s">
        <v>760</v>
      </c>
      <c r="AJR116">
        <v>1</v>
      </c>
      <c r="AJS116">
        <v>1</v>
      </c>
      <c r="AJT116">
        <v>1</v>
      </c>
      <c r="AJU116">
        <v>1</v>
      </c>
      <c r="AJV116">
        <v>1</v>
      </c>
      <c r="AJW116">
        <v>1</v>
      </c>
      <c r="AJX116">
        <v>1</v>
      </c>
      <c r="AJY116">
        <v>1</v>
      </c>
      <c r="AJZ116">
        <v>1</v>
      </c>
    </row>
    <row r="117" spans="1:962" ht="14.4" hidden="1" customHeight="1" x14ac:dyDescent="0.55000000000000004">
      <c r="A117" t="s">
        <v>23</v>
      </c>
    </row>
    <row r="118" spans="1:962" ht="14.4" hidden="1" customHeight="1" x14ac:dyDescent="0.55000000000000004">
      <c r="A118" t="s">
        <v>3</v>
      </c>
    </row>
    <row r="119" spans="1:962" ht="14.4" hidden="1" customHeight="1" x14ac:dyDescent="0.55000000000000004">
      <c r="A119" t="s">
        <v>24</v>
      </c>
    </row>
    <row r="120" spans="1:962" ht="14.4" hidden="1" customHeight="1" x14ac:dyDescent="0.55000000000000004">
      <c r="A120" t="s">
        <v>25</v>
      </c>
    </row>
    <row r="121" spans="1:962" ht="14.4" hidden="1" customHeight="1" x14ac:dyDescent="0.55000000000000004">
      <c r="A121" t="s">
        <v>4</v>
      </c>
    </row>
    <row r="122" spans="1:962" ht="14.4" hidden="1" customHeight="1" x14ac:dyDescent="0.55000000000000004">
      <c r="A122" t="s">
        <v>21</v>
      </c>
    </row>
    <row r="123" spans="1:962" ht="14.4" hidden="1" customHeight="1" x14ac:dyDescent="0.55000000000000004">
      <c r="A123" t="s">
        <v>26</v>
      </c>
    </row>
    <row r="124" spans="1:962" ht="14.4" hidden="1" customHeight="1" x14ac:dyDescent="0.55000000000000004">
      <c r="A124" t="s">
        <v>22</v>
      </c>
    </row>
    <row r="125" spans="1:962" ht="14.4" hidden="1" customHeight="1" x14ac:dyDescent="0.55000000000000004">
      <c r="A125" t="s">
        <v>5</v>
      </c>
    </row>
    <row r="126" spans="1:962" ht="14.4" hidden="1" customHeight="1" x14ac:dyDescent="0.55000000000000004">
      <c r="A126" t="s">
        <v>6</v>
      </c>
    </row>
    <row r="127" spans="1:962" ht="14.4" hidden="1" customHeight="1" x14ac:dyDescent="0.55000000000000004">
      <c r="A127" t="s">
        <v>7</v>
      </c>
    </row>
    <row r="128" spans="1:962" ht="14.4" hidden="1" customHeight="1" x14ac:dyDescent="0.55000000000000004">
      <c r="A128" t="s">
        <v>8</v>
      </c>
    </row>
    <row r="129" spans="1:985" ht="14.4" hidden="1" customHeight="1" x14ac:dyDescent="0.55000000000000004">
      <c r="A129" t="s">
        <v>9</v>
      </c>
    </row>
    <row r="130" spans="1:985" ht="14.4" hidden="1" customHeight="1" x14ac:dyDescent="0.55000000000000004">
      <c r="A130" t="s">
        <v>10</v>
      </c>
    </row>
    <row r="131" spans="1:985" ht="14.4" hidden="1" customHeight="1" x14ac:dyDescent="0.55000000000000004">
      <c r="A131" t="s">
        <v>11</v>
      </c>
    </row>
    <row r="132" spans="1:985" ht="14.4" hidden="1" customHeight="1" x14ac:dyDescent="0.55000000000000004">
      <c r="A132" t="s">
        <v>12</v>
      </c>
    </row>
    <row r="133" spans="1:985" ht="14.4" hidden="1" customHeight="1" x14ac:dyDescent="0.55000000000000004">
      <c r="A133" t="s">
        <v>13</v>
      </c>
    </row>
    <row r="134" spans="1:985" ht="14.4" hidden="1" customHeight="1" x14ac:dyDescent="0.55000000000000004">
      <c r="A134" t="s">
        <v>14</v>
      </c>
    </row>
    <row r="135" spans="1:985" ht="14.4" hidden="1" customHeight="1" x14ac:dyDescent="0.55000000000000004">
      <c r="A135" t="s">
        <v>15</v>
      </c>
    </row>
    <row r="136" spans="1:985" ht="14.4" customHeight="1" x14ac:dyDescent="0.55000000000000004">
      <c r="A136" t="s">
        <v>16</v>
      </c>
      <c r="B136" t="s">
        <v>798</v>
      </c>
      <c r="C136" s="1" t="s">
        <v>761</v>
      </c>
      <c r="CA136">
        <v>0.67</v>
      </c>
      <c r="CB136">
        <v>0.67</v>
      </c>
      <c r="CC136">
        <v>0.67</v>
      </c>
      <c r="CD136">
        <v>0.67</v>
      </c>
      <c r="CE136">
        <v>0.67</v>
      </c>
      <c r="CF136">
        <v>0.67</v>
      </c>
      <c r="CG136">
        <v>0.67</v>
      </c>
      <c r="CH136">
        <v>0.67</v>
      </c>
      <c r="CI136">
        <v>0.67</v>
      </c>
      <c r="CJ136">
        <v>0.67</v>
      </c>
      <c r="CK136">
        <v>0.67</v>
      </c>
      <c r="CL136">
        <v>0.67</v>
      </c>
      <c r="CM136">
        <v>0.67</v>
      </c>
      <c r="CN136">
        <v>0.67</v>
      </c>
      <c r="CO136">
        <v>0.67</v>
      </c>
      <c r="CP136">
        <v>0.67</v>
      </c>
      <c r="CQ136">
        <v>0.67</v>
      </c>
      <c r="CR136">
        <v>0.67</v>
      </c>
      <c r="CS136">
        <v>0.67</v>
      </c>
      <c r="CT136">
        <v>0.67</v>
      </c>
      <c r="CU136">
        <v>0.67</v>
      </c>
      <c r="CV136">
        <v>0.67</v>
      </c>
      <c r="CW136">
        <v>0.67</v>
      </c>
      <c r="CX136">
        <v>0.67</v>
      </c>
      <c r="CY136">
        <v>0.67</v>
      </c>
      <c r="CZ136">
        <v>0.67</v>
      </c>
      <c r="DA136">
        <v>0.67</v>
      </c>
      <c r="DB136">
        <v>0.67</v>
      </c>
      <c r="DC136">
        <v>0.67</v>
      </c>
      <c r="DD136">
        <v>0.67</v>
      </c>
      <c r="DE136">
        <v>0.67</v>
      </c>
      <c r="DF136">
        <v>0.67</v>
      </c>
      <c r="DG136">
        <v>0.67</v>
      </c>
      <c r="DH136">
        <v>0.67</v>
      </c>
      <c r="DI136">
        <v>0.67</v>
      </c>
      <c r="DJ136">
        <v>0.67</v>
      </c>
      <c r="DK136">
        <v>0.67</v>
      </c>
      <c r="DL136">
        <v>0.67</v>
      </c>
      <c r="DM136">
        <v>0.67</v>
      </c>
      <c r="DN136">
        <v>0.67</v>
      </c>
      <c r="DO136">
        <v>0.67</v>
      </c>
      <c r="DP136">
        <v>0.67</v>
      </c>
      <c r="DQ136">
        <v>0.67</v>
      </c>
      <c r="DR136">
        <v>0.67</v>
      </c>
      <c r="DS136">
        <v>0.67</v>
      </c>
      <c r="DT136">
        <v>0.67</v>
      </c>
      <c r="DU136">
        <v>0.67</v>
      </c>
      <c r="DV136">
        <v>0.67</v>
      </c>
      <c r="DW136">
        <v>0.67</v>
      </c>
      <c r="DX136">
        <v>0.67</v>
      </c>
      <c r="DY136">
        <v>0.67</v>
      </c>
      <c r="DZ136">
        <v>0.67</v>
      </c>
      <c r="EA136">
        <v>0.67</v>
      </c>
      <c r="EB136">
        <v>0.67</v>
      </c>
      <c r="EC136">
        <v>0.67</v>
      </c>
      <c r="ED136">
        <v>0.67</v>
      </c>
      <c r="EE136">
        <v>0.67</v>
      </c>
      <c r="EF136">
        <v>0.67</v>
      </c>
      <c r="EG136">
        <v>0.67</v>
      </c>
      <c r="EH136">
        <v>0.67</v>
      </c>
      <c r="EI136">
        <v>0.67</v>
      </c>
      <c r="EJ136">
        <v>0.67</v>
      </c>
      <c r="EK136">
        <v>0.67</v>
      </c>
      <c r="EL136">
        <v>0.67</v>
      </c>
      <c r="EM136">
        <v>0.67</v>
      </c>
      <c r="EN136">
        <v>0.67</v>
      </c>
      <c r="EO136">
        <v>0.67</v>
      </c>
      <c r="EP136">
        <v>0.67</v>
      </c>
      <c r="EQ136">
        <v>0.67</v>
      </c>
      <c r="ER136">
        <v>0.67</v>
      </c>
      <c r="ES136">
        <v>0.67</v>
      </c>
      <c r="ET136">
        <v>0.67</v>
      </c>
      <c r="EU136">
        <v>0.67</v>
      </c>
      <c r="EV136">
        <v>0.67</v>
      </c>
      <c r="EW136">
        <v>0.67</v>
      </c>
      <c r="EX136">
        <v>0.67</v>
      </c>
      <c r="EY136">
        <v>0.67</v>
      </c>
      <c r="EZ136">
        <v>0.67</v>
      </c>
      <c r="FA136">
        <v>0.67</v>
      </c>
      <c r="FB136">
        <v>0.67</v>
      </c>
      <c r="FC136">
        <v>0.67</v>
      </c>
      <c r="FD136">
        <v>0.67</v>
      </c>
      <c r="FE136">
        <v>0.67</v>
      </c>
      <c r="FF136">
        <v>0.67</v>
      </c>
      <c r="FG136">
        <v>0.67</v>
      </c>
      <c r="FH136">
        <v>0.67</v>
      </c>
      <c r="FI136">
        <v>0.67</v>
      </c>
      <c r="FJ136">
        <v>0.67</v>
      </c>
      <c r="FK136">
        <v>0.67</v>
      </c>
      <c r="FL136">
        <v>0.67</v>
      </c>
      <c r="FM136">
        <v>0.67</v>
      </c>
      <c r="FN136">
        <v>0.67</v>
      </c>
      <c r="FO136">
        <v>0.67</v>
      </c>
      <c r="FP136">
        <v>0.67</v>
      </c>
      <c r="FQ136">
        <v>0.67</v>
      </c>
      <c r="FR136">
        <v>0.67</v>
      </c>
      <c r="FS136">
        <v>0.67</v>
      </c>
      <c r="FT136">
        <v>0.67</v>
      </c>
      <c r="FU136">
        <v>0.67</v>
      </c>
      <c r="FV136">
        <v>0.67</v>
      </c>
      <c r="FW136">
        <v>0.67</v>
      </c>
      <c r="FX136">
        <v>0.67</v>
      </c>
      <c r="FY136">
        <v>0.67</v>
      </c>
      <c r="FZ136">
        <v>0.67</v>
      </c>
      <c r="GA136">
        <v>0.67</v>
      </c>
      <c r="GB136">
        <v>0.67</v>
      </c>
      <c r="GC136">
        <v>0.67</v>
      </c>
      <c r="GD136">
        <v>0.67</v>
      </c>
      <c r="GE136">
        <v>0.67</v>
      </c>
      <c r="GF136">
        <v>0.67</v>
      </c>
      <c r="GG136">
        <v>0.67</v>
      </c>
      <c r="GH136">
        <v>0.67</v>
      </c>
      <c r="GI136">
        <v>0.67</v>
      </c>
      <c r="GJ136">
        <v>0.67</v>
      </c>
      <c r="GK136">
        <v>0.67</v>
      </c>
      <c r="GL136">
        <v>0.67</v>
      </c>
      <c r="GM136">
        <v>0.67</v>
      </c>
      <c r="GN136">
        <v>0.67</v>
      </c>
      <c r="GO136">
        <v>0.67</v>
      </c>
      <c r="GP136">
        <v>0.67</v>
      </c>
      <c r="GQ136">
        <v>0.67</v>
      </c>
      <c r="GR136">
        <v>0.67</v>
      </c>
      <c r="GS136">
        <v>0.67</v>
      </c>
      <c r="GT136">
        <v>0.67</v>
      </c>
      <c r="GU136">
        <v>0.67</v>
      </c>
      <c r="GV136">
        <v>0.67</v>
      </c>
      <c r="GW136">
        <v>0.67</v>
      </c>
      <c r="GX136">
        <v>0.67</v>
      </c>
      <c r="GY136">
        <v>0.67</v>
      </c>
      <c r="GZ136">
        <v>0.67</v>
      </c>
      <c r="HA136">
        <v>0.67</v>
      </c>
      <c r="HB136">
        <v>0.67</v>
      </c>
      <c r="HC136">
        <v>0.67</v>
      </c>
      <c r="HD136">
        <v>0.67</v>
      </c>
      <c r="HE136">
        <v>0.67</v>
      </c>
      <c r="HF136">
        <v>0.67</v>
      </c>
      <c r="HG136">
        <v>0.67</v>
      </c>
      <c r="HH136">
        <v>0.67</v>
      </c>
      <c r="HI136">
        <v>0.67</v>
      </c>
      <c r="HJ136">
        <v>0.67</v>
      </c>
      <c r="HK136">
        <v>0.67</v>
      </c>
      <c r="HL136">
        <v>0.67</v>
      </c>
      <c r="HM136">
        <v>0.67</v>
      </c>
      <c r="HN136">
        <v>0.67</v>
      </c>
      <c r="HO136">
        <v>0.67</v>
      </c>
      <c r="HP136">
        <v>0.67</v>
      </c>
      <c r="HQ136">
        <v>0.67</v>
      </c>
      <c r="HR136">
        <v>0.67</v>
      </c>
      <c r="HS136">
        <v>0.67</v>
      </c>
      <c r="HT136">
        <v>0.67</v>
      </c>
      <c r="HU136">
        <v>0.67</v>
      </c>
      <c r="HV136">
        <v>0.67</v>
      </c>
      <c r="HW136">
        <v>0.67</v>
      </c>
      <c r="HX136">
        <v>0.67</v>
      </c>
      <c r="HY136">
        <v>0.67</v>
      </c>
      <c r="HZ136">
        <v>0.67</v>
      </c>
      <c r="IA136">
        <v>0.67</v>
      </c>
      <c r="IB136">
        <v>0.67</v>
      </c>
      <c r="IC136">
        <v>0.67</v>
      </c>
      <c r="ID136">
        <v>0.67</v>
      </c>
      <c r="IE136">
        <v>0.67</v>
      </c>
      <c r="IF136">
        <v>0.67</v>
      </c>
      <c r="IG136">
        <v>0.67</v>
      </c>
      <c r="IH136">
        <v>0.67</v>
      </c>
      <c r="II136">
        <v>0.67</v>
      </c>
      <c r="IJ136">
        <v>0.67</v>
      </c>
      <c r="IK136">
        <v>0.67</v>
      </c>
      <c r="IL136">
        <v>0.67</v>
      </c>
      <c r="IM136">
        <v>0.67</v>
      </c>
      <c r="IN136">
        <v>0.67</v>
      </c>
      <c r="IO136">
        <v>0.67</v>
      </c>
      <c r="IP136">
        <v>0.67</v>
      </c>
      <c r="IQ136">
        <v>0.67</v>
      </c>
      <c r="IR136">
        <v>0.67</v>
      </c>
      <c r="IS136">
        <v>0.67</v>
      </c>
      <c r="IT136">
        <v>0.67</v>
      </c>
      <c r="IU136">
        <v>0.67</v>
      </c>
      <c r="IV136">
        <v>0.67</v>
      </c>
      <c r="IW136">
        <v>0.67</v>
      </c>
      <c r="IX136">
        <v>0.67</v>
      </c>
      <c r="IY136">
        <v>0.67</v>
      </c>
      <c r="IZ136">
        <v>0.67</v>
      </c>
      <c r="JA136">
        <v>0.67</v>
      </c>
      <c r="JB136">
        <v>0.67</v>
      </c>
      <c r="JC136">
        <v>0.67</v>
      </c>
      <c r="JD136">
        <v>0.67</v>
      </c>
      <c r="JE136">
        <v>0.67</v>
      </c>
      <c r="JF136">
        <v>0.67</v>
      </c>
      <c r="JG136">
        <v>0.67</v>
      </c>
      <c r="JH136">
        <v>0.67</v>
      </c>
      <c r="JI136">
        <v>0.67</v>
      </c>
      <c r="JJ136">
        <v>0.67</v>
      </c>
      <c r="JK136">
        <v>0.67</v>
      </c>
      <c r="JL136">
        <v>0.67</v>
      </c>
      <c r="JM136">
        <v>0.67</v>
      </c>
      <c r="JN136">
        <v>0.67</v>
      </c>
      <c r="JO136">
        <v>0.67</v>
      </c>
      <c r="JP136">
        <v>0.67</v>
      </c>
      <c r="JQ136">
        <v>0.67</v>
      </c>
      <c r="JR136">
        <v>0.67</v>
      </c>
      <c r="JS136">
        <v>0.67</v>
      </c>
      <c r="JT136">
        <v>0.67</v>
      </c>
      <c r="JU136">
        <v>0.67</v>
      </c>
      <c r="JV136">
        <v>0.67</v>
      </c>
      <c r="JW136">
        <v>0.67</v>
      </c>
      <c r="JX136">
        <v>0.67</v>
      </c>
      <c r="JY136">
        <v>0.67</v>
      </c>
      <c r="JZ136">
        <v>0.67</v>
      </c>
      <c r="KA136">
        <v>0.67</v>
      </c>
      <c r="KB136">
        <v>0.67</v>
      </c>
      <c r="KC136">
        <v>0.67</v>
      </c>
      <c r="KD136">
        <v>0.67</v>
      </c>
      <c r="KE136">
        <v>0.67</v>
      </c>
      <c r="KF136">
        <v>0.67</v>
      </c>
      <c r="KG136">
        <v>0.67</v>
      </c>
      <c r="KH136">
        <v>0.67</v>
      </c>
      <c r="KI136">
        <v>0.67</v>
      </c>
      <c r="KJ136">
        <v>0.67</v>
      </c>
      <c r="KK136">
        <v>0.67</v>
      </c>
      <c r="KL136">
        <v>0.67</v>
      </c>
      <c r="KM136">
        <v>0.67</v>
      </c>
      <c r="KN136">
        <v>0.67</v>
      </c>
      <c r="KO136">
        <v>0.67</v>
      </c>
      <c r="KP136">
        <v>0.67</v>
      </c>
      <c r="KQ136">
        <v>0.67</v>
      </c>
      <c r="KR136">
        <v>0.67</v>
      </c>
      <c r="KS136">
        <v>0.67</v>
      </c>
      <c r="KT136">
        <v>0.67</v>
      </c>
      <c r="KU136">
        <v>0.67</v>
      </c>
      <c r="KV136">
        <v>0.67</v>
      </c>
      <c r="KW136">
        <v>0.67</v>
      </c>
      <c r="KX136">
        <v>0.67</v>
      </c>
      <c r="KY136">
        <v>0.67</v>
      </c>
      <c r="KZ136">
        <v>0.67</v>
      </c>
      <c r="LA136">
        <v>0.67</v>
      </c>
      <c r="LB136">
        <v>0.67</v>
      </c>
      <c r="LC136">
        <v>0.67</v>
      </c>
      <c r="LD136">
        <v>0.67</v>
      </c>
      <c r="LE136">
        <v>0.67</v>
      </c>
      <c r="LF136">
        <v>0.67</v>
      </c>
      <c r="LG136">
        <v>0.67</v>
      </c>
      <c r="LH136">
        <v>0.67</v>
      </c>
      <c r="LI136">
        <v>0.67</v>
      </c>
      <c r="LJ136">
        <v>0.67</v>
      </c>
      <c r="LK136">
        <v>0.67</v>
      </c>
      <c r="LL136">
        <v>0.67</v>
      </c>
      <c r="LM136">
        <v>0.67</v>
      </c>
      <c r="LN136">
        <v>0.67</v>
      </c>
      <c r="LO136">
        <v>0.67</v>
      </c>
      <c r="LP136">
        <v>0.67</v>
      </c>
      <c r="LQ136">
        <v>0.67</v>
      </c>
      <c r="LR136">
        <v>0.67</v>
      </c>
      <c r="LS136">
        <v>0.67</v>
      </c>
      <c r="LT136">
        <v>0.67</v>
      </c>
      <c r="LU136">
        <v>0.67</v>
      </c>
      <c r="LV136">
        <v>0.67</v>
      </c>
      <c r="LW136">
        <v>0.67</v>
      </c>
      <c r="LX136">
        <v>0.67</v>
      </c>
      <c r="LY136">
        <v>0.67</v>
      </c>
      <c r="LZ136">
        <v>0.67</v>
      </c>
      <c r="MA136">
        <v>0.67</v>
      </c>
      <c r="MB136">
        <v>0.67</v>
      </c>
      <c r="MC136">
        <v>0.67</v>
      </c>
      <c r="MD136">
        <v>0.67</v>
      </c>
      <c r="ME136">
        <v>0.67</v>
      </c>
      <c r="MF136">
        <v>0.67</v>
      </c>
      <c r="MG136">
        <v>0.67</v>
      </c>
      <c r="MH136">
        <v>0.67</v>
      </c>
      <c r="MI136">
        <v>0.67</v>
      </c>
      <c r="MJ136">
        <v>0.67</v>
      </c>
      <c r="MK136">
        <v>0.67</v>
      </c>
      <c r="ML136">
        <v>0.67</v>
      </c>
      <c r="MM136">
        <v>0.67</v>
      </c>
      <c r="MN136">
        <v>0.67</v>
      </c>
      <c r="MO136">
        <v>0.67</v>
      </c>
      <c r="MP136">
        <v>0.67</v>
      </c>
      <c r="MQ136">
        <v>0.67</v>
      </c>
      <c r="MR136">
        <v>0.67</v>
      </c>
      <c r="MS136">
        <v>0.67</v>
      </c>
      <c r="MT136">
        <v>0.67</v>
      </c>
      <c r="MU136">
        <v>0.67</v>
      </c>
      <c r="MV136">
        <v>0.67</v>
      </c>
      <c r="MW136">
        <v>0.67</v>
      </c>
      <c r="MX136">
        <v>0.67</v>
      </c>
      <c r="MY136">
        <v>0.67</v>
      </c>
      <c r="MZ136">
        <v>0.67</v>
      </c>
      <c r="NA136">
        <v>0.67</v>
      </c>
      <c r="NB136">
        <v>0.67</v>
      </c>
      <c r="NC136">
        <v>0.67</v>
      </c>
      <c r="ND136">
        <v>0.67</v>
      </c>
      <c r="NE136">
        <v>0.67</v>
      </c>
      <c r="NF136">
        <v>0.67</v>
      </c>
      <c r="NG136">
        <v>0.67</v>
      </c>
      <c r="NH136">
        <v>0.67</v>
      </c>
      <c r="NI136">
        <v>0.67</v>
      </c>
      <c r="NJ136">
        <v>0.67</v>
      </c>
      <c r="NK136">
        <v>0.67</v>
      </c>
      <c r="NL136">
        <v>0.67</v>
      </c>
      <c r="NM136">
        <v>0.67</v>
      </c>
      <c r="NN136">
        <v>0.67</v>
      </c>
      <c r="NO136">
        <v>0.67</v>
      </c>
      <c r="NP136">
        <v>0.67</v>
      </c>
      <c r="NQ136">
        <v>0.67</v>
      </c>
      <c r="NR136">
        <v>0.67</v>
      </c>
      <c r="NS136">
        <v>0.67</v>
      </c>
      <c r="NT136">
        <v>0.67</v>
      </c>
      <c r="NU136">
        <v>0.67</v>
      </c>
      <c r="NV136">
        <v>0.67</v>
      </c>
      <c r="NW136">
        <v>0.67</v>
      </c>
      <c r="NX136">
        <v>0.67</v>
      </c>
      <c r="NY136">
        <v>0.67</v>
      </c>
      <c r="NZ136">
        <v>0.67</v>
      </c>
      <c r="OA136">
        <v>0.67</v>
      </c>
      <c r="OB136">
        <v>0.67</v>
      </c>
      <c r="OC136">
        <v>0.67</v>
      </c>
      <c r="OD136">
        <v>0.67</v>
      </c>
      <c r="OE136">
        <v>0.67</v>
      </c>
      <c r="OF136">
        <v>0.67</v>
      </c>
      <c r="OG136">
        <v>0.67</v>
      </c>
      <c r="OH136">
        <v>0.67</v>
      </c>
      <c r="OI136">
        <v>0.67</v>
      </c>
      <c r="OJ136">
        <v>0.67</v>
      </c>
      <c r="OK136">
        <v>0.67</v>
      </c>
      <c r="OL136">
        <v>0.67</v>
      </c>
      <c r="OM136">
        <v>0.67</v>
      </c>
      <c r="ON136">
        <v>0.67</v>
      </c>
      <c r="OO136">
        <v>0.67</v>
      </c>
      <c r="OP136">
        <v>0.67</v>
      </c>
      <c r="OQ136">
        <v>0.67</v>
      </c>
      <c r="OR136">
        <v>0.67</v>
      </c>
      <c r="OS136">
        <v>0.67</v>
      </c>
      <c r="OT136">
        <v>0.67</v>
      </c>
      <c r="OU136">
        <v>0.67</v>
      </c>
      <c r="OV136">
        <v>0.67</v>
      </c>
      <c r="OW136">
        <v>0.67</v>
      </c>
      <c r="OX136">
        <v>0.67</v>
      </c>
      <c r="OY136">
        <v>0.67</v>
      </c>
      <c r="OZ136">
        <v>0.67</v>
      </c>
      <c r="PA136">
        <v>0.67</v>
      </c>
      <c r="PB136">
        <v>0.67</v>
      </c>
      <c r="PC136">
        <v>0.67</v>
      </c>
      <c r="PD136">
        <v>0.67</v>
      </c>
      <c r="PE136">
        <v>0.67</v>
      </c>
      <c r="PF136">
        <v>0.67</v>
      </c>
      <c r="PG136">
        <v>0.67</v>
      </c>
      <c r="PH136">
        <v>0.67</v>
      </c>
      <c r="PI136">
        <v>0.67</v>
      </c>
      <c r="PJ136">
        <v>0.67</v>
      </c>
      <c r="PK136">
        <v>0.67</v>
      </c>
      <c r="PL136">
        <v>0.67</v>
      </c>
      <c r="PM136">
        <v>0.67</v>
      </c>
      <c r="PN136">
        <v>0.67</v>
      </c>
      <c r="PO136">
        <v>0.67</v>
      </c>
      <c r="PP136">
        <v>0.67</v>
      </c>
      <c r="PQ136">
        <v>0.67</v>
      </c>
      <c r="PR136">
        <v>0.67</v>
      </c>
      <c r="PS136">
        <v>0.67</v>
      </c>
      <c r="PT136">
        <v>0.67</v>
      </c>
      <c r="PU136">
        <v>0.67</v>
      </c>
      <c r="PV136">
        <v>0.67</v>
      </c>
      <c r="PW136">
        <v>0.67</v>
      </c>
      <c r="PX136">
        <v>0.67</v>
      </c>
      <c r="PY136">
        <v>0.67</v>
      </c>
      <c r="PZ136">
        <v>0.67</v>
      </c>
      <c r="QA136">
        <v>0.67</v>
      </c>
      <c r="QB136">
        <v>0.67</v>
      </c>
      <c r="QC136">
        <v>0.67</v>
      </c>
      <c r="QD136">
        <v>0.67</v>
      </c>
      <c r="QE136">
        <v>0.67</v>
      </c>
      <c r="QF136">
        <v>0.67</v>
      </c>
      <c r="QG136">
        <v>0.67</v>
      </c>
      <c r="QH136">
        <v>0.67</v>
      </c>
      <c r="QI136">
        <v>0.67</v>
      </c>
      <c r="QJ136">
        <v>0.67</v>
      </c>
      <c r="QK136">
        <v>0.67</v>
      </c>
      <c r="QL136">
        <v>0.67</v>
      </c>
      <c r="QM136">
        <v>0.67</v>
      </c>
      <c r="QN136">
        <v>0.67</v>
      </c>
      <c r="QO136">
        <v>0.67</v>
      </c>
      <c r="QP136">
        <v>0.67</v>
      </c>
      <c r="QQ136">
        <v>0.67</v>
      </c>
      <c r="QR136">
        <v>0.67</v>
      </c>
      <c r="QS136">
        <v>0.67</v>
      </c>
      <c r="QT136">
        <v>0.67</v>
      </c>
      <c r="QU136">
        <v>0.67</v>
      </c>
      <c r="QV136">
        <v>0.67</v>
      </c>
      <c r="QW136">
        <v>0.67</v>
      </c>
      <c r="QX136">
        <v>0.67</v>
      </c>
      <c r="QY136">
        <v>0.67</v>
      </c>
      <c r="QZ136">
        <v>0.67</v>
      </c>
      <c r="RA136">
        <v>0.67</v>
      </c>
      <c r="RB136">
        <v>0.67</v>
      </c>
      <c r="RC136">
        <v>0.67</v>
      </c>
      <c r="RD136">
        <v>0.67</v>
      </c>
      <c r="RE136">
        <v>0.67</v>
      </c>
      <c r="RF136">
        <v>0.67</v>
      </c>
      <c r="RG136">
        <v>0.67</v>
      </c>
      <c r="RH136">
        <v>0.67</v>
      </c>
      <c r="RI136">
        <v>0.67</v>
      </c>
      <c r="RJ136">
        <v>0.67</v>
      </c>
      <c r="RK136">
        <v>0.67</v>
      </c>
      <c r="RL136">
        <v>0.67</v>
      </c>
      <c r="RM136">
        <v>0.67</v>
      </c>
      <c r="RN136">
        <v>0.67</v>
      </c>
      <c r="RO136">
        <v>0.67</v>
      </c>
      <c r="RP136">
        <v>0.67</v>
      </c>
      <c r="RQ136">
        <v>0.67</v>
      </c>
      <c r="RR136">
        <v>0.67</v>
      </c>
      <c r="RS136">
        <v>0.67</v>
      </c>
      <c r="RT136">
        <v>0.67</v>
      </c>
      <c r="RU136">
        <v>0.67</v>
      </c>
      <c r="RV136">
        <v>0.67</v>
      </c>
      <c r="RW136">
        <v>0.67</v>
      </c>
      <c r="RX136">
        <v>0.67</v>
      </c>
      <c r="RY136">
        <v>0.67</v>
      </c>
      <c r="RZ136">
        <v>0.67</v>
      </c>
      <c r="SA136">
        <v>0.67</v>
      </c>
      <c r="SB136">
        <v>0.67</v>
      </c>
      <c r="SC136">
        <v>0.67</v>
      </c>
      <c r="SD136">
        <v>0.67</v>
      </c>
      <c r="SE136">
        <v>0.67</v>
      </c>
      <c r="SF136">
        <v>0.67</v>
      </c>
      <c r="SG136">
        <v>0.67</v>
      </c>
      <c r="SH136">
        <v>0.67</v>
      </c>
      <c r="SI136">
        <v>0.67</v>
      </c>
      <c r="SJ136">
        <v>0.67</v>
      </c>
      <c r="SK136">
        <v>0.67</v>
      </c>
      <c r="SL136">
        <v>0.67</v>
      </c>
      <c r="SM136">
        <v>0.67</v>
      </c>
      <c r="SN136">
        <v>0.67</v>
      </c>
      <c r="SO136">
        <v>0.67</v>
      </c>
      <c r="SP136">
        <v>0.67</v>
      </c>
      <c r="SQ136">
        <v>0.67</v>
      </c>
      <c r="SR136">
        <v>0.67</v>
      </c>
      <c r="SS136">
        <v>0.67</v>
      </c>
      <c r="ST136">
        <v>0.67</v>
      </c>
      <c r="SU136">
        <v>0.67</v>
      </c>
      <c r="SV136">
        <v>0.67</v>
      </c>
      <c r="SW136">
        <v>0.67</v>
      </c>
      <c r="SX136">
        <v>0.67</v>
      </c>
      <c r="SY136">
        <v>0.67</v>
      </c>
      <c r="SZ136">
        <v>0.67</v>
      </c>
      <c r="TA136">
        <v>0.67</v>
      </c>
      <c r="TB136">
        <v>0.67</v>
      </c>
      <c r="TC136">
        <v>0.67</v>
      </c>
      <c r="TD136">
        <v>0.67</v>
      </c>
      <c r="TE136">
        <v>0.67</v>
      </c>
      <c r="TF136">
        <v>0.67</v>
      </c>
      <c r="TG136">
        <v>0.67</v>
      </c>
      <c r="TH136">
        <v>0.67</v>
      </c>
      <c r="TI136">
        <v>0.67</v>
      </c>
      <c r="TJ136">
        <v>0.67</v>
      </c>
      <c r="TK136">
        <v>0.67</v>
      </c>
      <c r="TL136">
        <v>0.67</v>
      </c>
      <c r="TM136">
        <v>0.67</v>
      </c>
      <c r="TN136">
        <v>0.67</v>
      </c>
      <c r="TO136">
        <v>0.67</v>
      </c>
      <c r="TP136">
        <v>0.67</v>
      </c>
      <c r="TQ136">
        <v>0.67</v>
      </c>
      <c r="TR136">
        <v>0.67</v>
      </c>
      <c r="TS136">
        <v>0.67</v>
      </c>
      <c r="TT136">
        <v>0.67</v>
      </c>
      <c r="TU136">
        <v>0.67</v>
      </c>
      <c r="TV136">
        <v>0.67</v>
      </c>
      <c r="TW136">
        <v>0.67</v>
      </c>
      <c r="TX136">
        <v>0.67</v>
      </c>
      <c r="TY136">
        <v>0.67</v>
      </c>
      <c r="TZ136">
        <v>0.67</v>
      </c>
      <c r="UA136">
        <v>0.67</v>
      </c>
      <c r="UB136">
        <v>0.67</v>
      </c>
      <c r="UC136">
        <v>0.67</v>
      </c>
      <c r="UD136">
        <v>0.67</v>
      </c>
      <c r="UE136">
        <v>0.67</v>
      </c>
      <c r="UF136">
        <v>0.67</v>
      </c>
      <c r="UG136">
        <v>0.67</v>
      </c>
      <c r="UH136">
        <v>0.67</v>
      </c>
      <c r="UI136">
        <v>0.67</v>
      </c>
      <c r="UJ136">
        <v>0.67</v>
      </c>
      <c r="UK136">
        <v>0.67</v>
      </c>
      <c r="UL136">
        <v>0.67</v>
      </c>
      <c r="UM136">
        <v>0.67</v>
      </c>
      <c r="UN136">
        <v>0.67</v>
      </c>
      <c r="UO136">
        <v>0.67</v>
      </c>
      <c r="UP136">
        <v>0.67</v>
      </c>
      <c r="UQ136">
        <v>0.67</v>
      </c>
      <c r="UR136">
        <v>0.67</v>
      </c>
      <c r="US136">
        <v>0.67</v>
      </c>
      <c r="UT136">
        <v>0.67</v>
      </c>
      <c r="UU136">
        <v>0.67</v>
      </c>
      <c r="UV136">
        <v>0.67</v>
      </c>
      <c r="UW136">
        <v>0.67</v>
      </c>
      <c r="UX136">
        <v>0.67</v>
      </c>
      <c r="UY136">
        <v>0.67</v>
      </c>
      <c r="UZ136">
        <v>0.67</v>
      </c>
      <c r="VA136">
        <v>0.67</v>
      </c>
      <c r="VB136">
        <v>0.67</v>
      </c>
      <c r="VC136">
        <v>0.67</v>
      </c>
      <c r="VD136">
        <v>0.67</v>
      </c>
      <c r="VE136">
        <v>0.67</v>
      </c>
      <c r="VF136">
        <v>0.67</v>
      </c>
      <c r="VG136">
        <v>0.67</v>
      </c>
      <c r="VH136">
        <v>0.67</v>
      </c>
      <c r="VI136">
        <v>0.67</v>
      </c>
      <c r="VJ136">
        <v>0.67</v>
      </c>
      <c r="VK136">
        <v>0.67</v>
      </c>
      <c r="VL136">
        <v>0.67</v>
      </c>
      <c r="VM136">
        <v>0.67</v>
      </c>
      <c r="VN136">
        <v>0.67</v>
      </c>
      <c r="VO136">
        <v>0.67</v>
      </c>
      <c r="VP136">
        <v>0.67</v>
      </c>
      <c r="VQ136">
        <v>0.67</v>
      </c>
      <c r="VR136">
        <v>0.67</v>
      </c>
      <c r="VS136">
        <v>0.67</v>
      </c>
      <c r="VT136">
        <v>0.67</v>
      </c>
      <c r="VU136">
        <v>0.67</v>
      </c>
      <c r="VV136">
        <v>0.67</v>
      </c>
      <c r="VW136">
        <v>0.67</v>
      </c>
      <c r="VX136">
        <v>0.67</v>
      </c>
      <c r="VY136">
        <v>0.67</v>
      </c>
      <c r="VZ136">
        <v>0.67</v>
      </c>
      <c r="WA136">
        <v>0.67</v>
      </c>
      <c r="WB136">
        <v>0.67</v>
      </c>
      <c r="WC136">
        <v>0.67</v>
      </c>
      <c r="WD136">
        <v>0.67</v>
      </c>
      <c r="WE136">
        <v>0.67</v>
      </c>
      <c r="WF136">
        <v>0.67</v>
      </c>
      <c r="WG136">
        <v>0.67</v>
      </c>
      <c r="WH136">
        <v>0.67</v>
      </c>
      <c r="WI136">
        <v>0.67</v>
      </c>
      <c r="WJ136">
        <v>0.67</v>
      </c>
      <c r="WK136">
        <v>0.67</v>
      </c>
      <c r="WL136">
        <v>0.67</v>
      </c>
      <c r="WM136">
        <v>0.67</v>
      </c>
      <c r="WN136">
        <v>0.67</v>
      </c>
      <c r="WO136">
        <v>0.67</v>
      </c>
      <c r="WP136">
        <v>0.67</v>
      </c>
      <c r="WQ136">
        <v>0.67</v>
      </c>
      <c r="WR136">
        <v>0.67</v>
      </c>
      <c r="WS136">
        <v>0.67</v>
      </c>
      <c r="WT136">
        <v>0.67</v>
      </c>
      <c r="WU136">
        <v>0.67</v>
      </c>
      <c r="WV136">
        <v>0.67</v>
      </c>
      <c r="WW136">
        <v>0.67</v>
      </c>
      <c r="WX136">
        <v>0.67</v>
      </c>
      <c r="WY136">
        <v>0.67</v>
      </c>
      <c r="WZ136">
        <v>0.67</v>
      </c>
      <c r="XA136">
        <v>0.67</v>
      </c>
      <c r="XB136">
        <v>0.67</v>
      </c>
      <c r="XC136">
        <v>0.67</v>
      </c>
      <c r="XD136">
        <v>0.67</v>
      </c>
      <c r="XE136">
        <v>0.67</v>
      </c>
      <c r="XF136">
        <v>0.67</v>
      </c>
      <c r="XG136">
        <v>0.67</v>
      </c>
      <c r="XH136">
        <v>0.67</v>
      </c>
      <c r="XI136">
        <v>0.67</v>
      </c>
      <c r="XJ136">
        <v>0.67</v>
      </c>
      <c r="XK136">
        <v>0.67</v>
      </c>
      <c r="XL136">
        <v>0.67</v>
      </c>
      <c r="XM136">
        <v>0.67</v>
      </c>
      <c r="XN136">
        <v>0.67</v>
      </c>
      <c r="XO136">
        <v>0.67</v>
      </c>
      <c r="XP136">
        <v>0.67</v>
      </c>
      <c r="XQ136">
        <v>0.67</v>
      </c>
      <c r="XR136">
        <v>0.67</v>
      </c>
      <c r="XS136">
        <v>0.67</v>
      </c>
      <c r="XT136">
        <v>0.67</v>
      </c>
      <c r="XU136">
        <v>0.67</v>
      </c>
      <c r="XV136">
        <v>0.67</v>
      </c>
      <c r="XW136">
        <v>0.67</v>
      </c>
      <c r="XX136">
        <v>0.67</v>
      </c>
      <c r="XY136">
        <v>0.67</v>
      </c>
      <c r="XZ136">
        <v>0.67</v>
      </c>
      <c r="YA136">
        <v>0.67</v>
      </c>
      <c r="YB136">
        <v>0.67</v>
      </c>
      <c r="YC136">
        <v>0.67</v>
      </c>
      <c r="YD136">
        <v>0.67</v>
      </c>
      <c r="YE136">
        <v>0.67</v>
      </c>
      <c r="YF136">
        <v>0.67</v>
      </c>
      <c r="YG136">
        <v>0.67</v>
      </c>
      <c r="YH136">
        <v>0.67</v>
      </c>
      <c r="YI136">
        <v>0.67</v>
      </c>
      <c r="YJ136">
        <v>0.67</v>
      </c>
      <c r="YK136">
        <v>0.67</v>
      </c>
      <c r="YL136">
        <v>0.67</v>
      </c>
      <c r="YM136">
        <v>0.67</v>
      </c>
      <c r="YN136">
        <v>0.67</v>
      </c>
      <c r="YO136">
        <v>0.67</v>
      </c>
      <c r="YP136">
        <v>0.67</v>
      </c>
      <c r="YQ136">
        <v>0.67</v>
      </c>
      <c r="YR136">
        <v>0.67</v>
      </c>
      <c r="YS136">
        <v>0.67</v>
      </c>
      <c r="YT136">
        <v>0.67</v>
      </c>
      <c r="YU136">
        <v>0.67</v>
      </c>
      <c r="YV136">
        <v>0.67</v>
      </c>
      <c r="YW136">
        <v>0.67</v>
      </c>
      <c r="YX136">
        <v>0.67</v>
      </c>
      <c r="YY136">
        <v>0.67</v>
      </c>
      <c r="YZ136">
        <v>0.67</v>
      </c>
      <c r="ZA136">
        <v>0.67</v>
      </c>
      <c r="ZB136">
        <v>0.67</v>
      </c>
      <c r="ZC136">
        <v>0.67</v>
      </c>
      <c r="ZD136">
        <v>0.67</v>
      </c>
      <c r="ZE136">
        <v>0.67</v>
      </c>
      <c r="ZF136">
        <v>0.67</v>
      </c>
      <c r="ZG136">
        <v>0.67</v>
      </c>
      <c r="ZH136">
        <v>0.67</v>
      </c>
      <c r="ZI136">
        <v>0.67</v>
      </c>
      <c r="ZJ136">
        <v>0.67</v>
      </c>
      <c r="ZK136">
        <v>0.67</v>
      </c>
      <c r="ZL136">
        <v>0.67</v>
      </c>
      <c r="ZM136">
        <v>0.67</v>
      </c>
      <c r="ZN136">
        <v>0.67</v>
      </c>
      <c r="ZO136">
        <v>0.67</v>
      </c>
      <c r="ZP136">
        <v>0.67</v>
      </c>
      <c r="ZQ136">
        <v>0.67</v>
      </c>
      <c r="ZR136">
        <v>0.67</v>
      </c>
      <c r="ZS136">
        <v>0.67</v>
      </c>
      <c r="ZT136">
        <v>0.67</v>
      </c>
      <c r="ZU136">
        <v>0.67</v>
      </c>
      <c r="ZV136">
        <v>0.67</v>
      </c>
      <c r="ZW136">
        <v>0.67</v>
      </c>
      <c r="ZX136">
        <v>0.67</v>
      </c>
      <c r="ZY136">
        <v>0.67</v>
      </c>
      <c r="ZZ136">
        <v>0.67</v>
      </c>
      <c r="AAA136">
        <v>0.67</v>
      </c>
      <c r="AAB136">
        <v>0.67</v>
      </c>
      <c r="AAC136">
        <v>0.67</v>
      </c>
      <c r="AAD136">
        <v>0.67</v>
      </c>
      <c r="AAE136">
        <v>0.67</v>
      </c>
      <c r="AAF136">
        <v>0.67</v>
      </c>
      <c r="AAG136">
        <v>0.67</v>
      </c>
      <c r="AAH136">
        <v>0.67</v>
      </c>
      <c r="AAI136">
        <v>0.67</v>
      </c>
      <c r="AAJ136">
        <v>0.67</v>
      </c>
      <c r="AAK136">
        <v>0.67</v>
      </c>
      <c r="AAL136">
        <v>0.67</v>
      </c>
      <c r="AAM136">
        <v>0.67</v>
      </c>
      <c r="AAN136">
        <v>0.67</v>
      </c>
      <c r="AAO136">
        <v>0.67</v>
      </c>
      <c r="AAP136">
        <v>0.67</v>
      </c>
      <c r="AAQ136">
        <v>0.67</v>
      </c>
      <c r="AAR136">
        <v>0.67</v>
      </c>
      <c r="AAS136">
        <v>0.67</v>
      </c>
      <c r="AAT136">
        <v>0.67</v>
      </c>
      <c r="AAU136">
        <v>0.67</v>
      </c>
      <c r="AAV136">
        <v>0.67</v>
      </c>
      <c r="AAW136">
        <v>0.67</v>
      </c>
      <c r="AAX136">
        <v>0.67</v>
      </c>
      <c r="AAY136">
        <v>0.67</v>
      </c>
      <c r="AAZ136">
        <v>0.67</v>
      </c>
      <c r="ABA136">
        <v>0.67</v>
      </c>
      <c r="ABB136">
        <v>0.67</v>
      </c>
      <c r="ABC136">
        <v>0.67</v>
      </c>
      <c r="ABD136">
        <v>0.67</v>
      </c>
      <c r="ABE136">
        <v>0.67</v>
      </c>
      <c r="ABF136">
        <v>0.67</v>
      </c>
      <c r="ABG136">
        <v>0.67</v>
      </c>
      <c r="ABH136">
        <v>0.67</v>
      </c>
      <c r="ABI136">
        <v>0.67</v>
      </c>
      <c r="ABJ136">
        <v>0.67</v>
      </c>
      <c r="ABK136">
        <v>0.67</v>
      </c>
      <c r="ABL136">
        <v>0.67</v>
      </c>
      <c r="ABM136">
        <v>0.67</v>
      </c>
      <c r="ABN136">
        <v>0.67</v>
      </c>
      <c r="ABO136">
        <v>0.67</v>
      </c>
      <c r="ABP136">
        <v>0.67</v>
      </c>
      <c r="ABQ136">
        <v>0.67</v>
      </c>
      <c r="ABR136">
        <v>0.67</v>
      </c>
      <c r="ABS136">
        <v>0.67</v>
      </c>
      <c r="ABT136">
        <v>0.67</v>
      </c>
      <c r="ABU136">
        <v>0.67</v>
      </c>
      <c r="ABV136">
        <v>0.67</v>
      </c>
      <c r="ABW136">
        <v>0.67</v>
      </c>
      <c r="ABX136">
        <v>0.67</v>
      </c>
      <c r="ABY136">
        <v>0.67</v>
      </c>
      <c r="ABZ136">
        <v>0.67</v>
      </c>
      <c r="ACA136">
        <v>0.67</v>
      </c>
      <c r="ACB136">
        <v>0.67</v>
      </c>
      <c r="ACC136">
        <v>0.67</v>
      </c>
      <c r="ACD136">
        <v>0.67</v>
      </c>
      <c r="ACE136">
        <v>0.67</v>
      </c>
      <c r="ACF136">
        <v>0.67</v>
      </c>
      <c r="ACG136">
        <v>0.67</v>
      </c>
      <c r="ACH136">
        <v>0.67</v>
      </c>
      <c r="ACI136">
        <v>0.67</v>
      </c>
      <c r="ACJ136">
        <v>0.67</v>
      </c>
      <c r="ACK136">
        <v>0.67</v>
      </c>
      <c r="ACL136">
        <v>0.67</v>
      </c>
      <c r="ACM136">
        <v>0.67</v>
      </c>
      <c r="ACN136">
        <v>0.67</v>
      </c>
      <c r="ACO136">
        <v>0.67</v>
      </c>
      <c r="ACP136">
        <v>0.67</v>
      </c>
      <c r="ACQ136">
        <v>0.67</v>
      </c>
      <c r="ACR136">
        <v>0.67</v>
      </c>
      <c r="ACS136">
        <v>0.67</v>
      </c>
      <c r="ACT136">
        <v>0.67</v>
      </c>
      <c r="ACU136">
        <v>0.67</v>
      </c>
      <c r="ACV136">
        <v>0.67</v>
      </c>
      <c r="ACW136">
        <v>0.67</v>
      </c>
      <c r="ACX136">
        <v>0.67</v>
      </c>
      <c r="ACY136">
        <v>0.67</v>
      </c>
      <c r="ACZ136">
        <v>0.67</v>
      </c>
      <c r="ADA136">
        <v>0.67</v>
      </c>
      <c r="ADB136">
        <v>0.67</v>
      </c>
      <c r="ADC136">
        <v>0.67</v>
      </c>
      <c r="ADD136">
        <v>0.67</v>
      </c>
      <c r="ADE136">
        <v>0.67</v>
      </c>
      <c r="ADF136">
        <v>0.67</v>
      </c>
      <c r="ADG136">
        <v>0.67</v>
      </c>
      <c r="ADH136">
        <v>0.67</v>
      </c>
      <c r="ADI136">
        <v>0.67</v>
      </c>
      <c r="ADJ136">
        <v>0.67</v>
      </c>
      <c r="ADK136">
        <v>0.67</v>
      </c>
      <c r="ADL136">
        <v>0.67</v>
      </c>
      <c r="ADM136">
        <v>0.67</v>
      </c>
      <c r="ADN136">
        <v>0.67</v>
      </c>
      <c r="ADO136">
        <v>0.67</v>
      </c>
      <c r="ADP136">
        <v>0.67</v>
      </c>
      <c r="ADQ136">
        <v>0.67</v>
      </c>
      <c r="ADR136">
        <v>0.67</v>
      </c>
      <c r="ADS136">
        <v>0.67</v>
      </c>
      <c r="ADT136">
        <v>0.67</v>
      </c>
      <c r="ADU136">
        <v>0.67</v>
      </c>
      <c r="ADV136">
        <v>0.67</v>
      </c>
      <c r="ADW136">
        <v>0.67</v>
      </c>
      <c r="ADX136">
        <v>0.67</v>
      </c>
      <c r="ADY136">
        <v>0.67</v>
      </c>
      <c r="ADZ136">
        <v>0.67</v>
      </c>
      <c r="AEA136">
        <v>0.67</v>
      </c>
      <c r="AEB136">
        <v>0.67</v>
      </c>
      <c r="AEC136">
        <v>0.67</v>
      </c>
      <c r="AED136">
        <v>0.67</v>
      </c>
      <c r="AEE136">
        <v>0.67</v>
      </c>
      <c r="AEF136">
        <v>0.67</v>
      </c>
      <c r="AEG136">
        <v>0.67</v>
      </c>
      <c r="AEH136">
        <v>0.67</v>
      </c>
      <c r="AEI136">
        <v>0.67</v>
      </c>
      <c r="AEJ136">
        <v>0.67</v>
      </c>
      <c r="AEK136">
        <v>0.67</v>
      </c>
      <c r="AEL136">
        <v>0.67</v>
      </c>
      <c r="AEM136">
        <v>0.67</v>
      </c>
      <c r="AEN136">
        <v>0.67</v>
      </c>
      <c r="AEO136">
        <v>0.67</v>
      </c>
      <c r="AEP136">
        <v>0.67</v>
      </c>
      <c r="AEQ136">
        <v>0.67</v>
      </c>
      <c r="AER136">
        <v>0.67</v>
      </c>
      <c r="AES136">
        <v>0.67</v>
      </c>
      <c r="AET136">
        <v>0.67</v>
      </c>
      <c r="AEU136">
        <v>0.67</v>
      </c>
      <c r="AEV136">
        <v>0.67</v>
      </c>
      <c r="AEW136">
        <v>0.67</v>
      </c>
      <c r="AEX136">
        <v>0.67</v>
      </c>
      <c r="AEY136">
        <v>0.67</v>
      </c>
      <c r="AEZ136">
        <v>0.67</v>
      </c>
      <c r="AFA136">
        <v>0.67</v>
      </c>
      <c r="AFB136">
        <v>0.67</v>
      </c>
      <c r="AFC136">
        <v>0.67</v>
      </c>
      <c r="AFD136">
        <v>0.67</v>
      </c>
      <c r="AFE136">
        <v>0.67</v>
      </c>
      <c r="AFF136">
        <v>0.67</v>
      </c>
      <c r="AFG136">
        <v>0.67</v>
      </c>
      <c r="AFH136">
        <v>0.67</v>
      </c>
      <c r="AFI136">
        <v>0.67</v>
      </c>
      <c r="AFJ136">
        <v>0.67</v>
      </c>
      <c r="AFK136">
        <v>0.67</v>
      </c>
      <c r="AFL136">
        <v>0.67</v>
      </c>
      <c r="AFM136">
        <v>0.67</v>
      </c>
      <c r="AFN136">
        <v>0.67</v>
      </c>
      <c r="AFO136">
        <v>0.67</v>
      </c>
      <c r="AFP136">
        <v>0.67</v>
      </c>
      <c r="AFQ136">
        <v>0.67</v>
      </c>
      <c r="AFR136">
        <v>0.67</v>
      </c>
      <c r="AFS136">
        <v>0.67</v>
      </c>
      <c r="AFT136">
        <v>0.67</v>
      </c>
      <c r="AFU136">
        <v>0.67</v>
      </c>
      <c r="AFV136">
        <v>0.67</v>
      </c>
      <c r="AFW136">
        <v>0.67</v>
      </c>
      <c r="AFX136">
        <v>0.67</v>
      </c>
      <c r="AFY136">
        <v>0.67</v>
      </c>
      <c r="AFZ136">
        <v>0.67</v>
      </c>
      <c r="AGA136">
        <v>0.67</v>
      </c>
      <c r="AGB136">
        <v>0.67</v>
      </c>
      <c r="AGC136">
        <v>0.67</v>
      </c>
      <c r="AGD136">
        <v>0.67</v>
      </c>
      <c r="AGE136">
        <v>0.67</v>
      </c>
      <c r="AGF136">
        <v>0.67</v>
      </c>
      <c r="AGG136">
        <v>0.67</v>
      </c>
      <c r="AGH136">
        <v>0.67</v>
      </c>
      <c r="AGI136">
        <v>0.67</v>
      </c>
      <c r="AGJ136">
        <v>0.67</v>
      </c>
      <c r="AGK136">
        <v>0.67</v>
      </c>
      <c r="AGL136">
        <v>0.67</v>
      </c>
      <c r="AGM136">
        <v>0.67</v>
      </c>
      <c r="AGN136">
        <v>0.67</v>
      </c>
      <c r="AGO136">
        <v>0.67</v>
      </c>
      <c r="AGP136">
        <v>0.67</v>
      </c>
      <c r="AGQ136">
        <v>0.67</v>
      </c>
      <c r="AGR136">
        <v>0.67</v>
      </c>
      <c r="AGS136">
        <v>0.67</v>
      </c>
      <c r="AGT136">
        <v>0.67</v>
      </c>
      <c r="AGU136">
        <v>0.67</v>
      </c>
      <c r="AGV136">
        <v>0.67</v>
      </c>
      <c r="AGW136">
        <v>0.67</v>
      </c>
      <c r="AGX136">
        <v>0.67</v>
      </c>
      <c r="AGY136">
        <v>0.67</v>
      </c>
      <c r="AGZ136">
        <v>0.67</v>
      </c>
      <c r="AHA136">
        <v>0.67</v>
      </c>
      <c r="AHB136">
        <v>0.67</v>
      </c>
      <c r="AHC136">
        <v>0.67</v>
      </c>
      <c r="AHD136">
        <v>0.67</v>
      </c>
      <c r="AHE136">
        <v>0.67</v>
      </c>
      <c r="AHF136">
        <v>0.67</v>
      </c>
      <c r="AHG136">
        <v>0.67</v>
      </c>
      <c r="AHH136">
        <v>0.67</v>
      </c>
      <c r="AHI136">
        <v>0.67</v>
      </c>
      <c r="AHJ136">
        <v>0.67</v>
      </c>
      <c r="AHK136">
        <v>0.67</v>
      </c>
      <c r="AHL136">
        <v>0.67</v>
      </c>
      <c r="AHM136">
        <v>0.67</v>
      </c>
      <c r="AHN136">
        <v>0.67</v>
      </c>
      <c r="AHO136">
        <v>0.67</v>
      </c>
      <c r="AHP136">
        <v>0.67</v>
      </c>
      <c r="AHQ136">
        <v>0.67</v>
      </c>
      <c r="AHR136">
        <v>0.67</v>
      </c>
      <c r="AHS136">
        <v>0.67</v>
      </c>
      <c r="AHT136">
        <v>0.67</v>
      </c>
      <c r="AHU136">
        <v>0.67</v>
      </c>
      <c r="AHV136">
        <v>0.67</v>
      </c>
      <c r="AHW136">
        <v>0.67</v>
      </c>
      <c r="AHX136">
        <v>0.67</v>
      </c>
      <c r="AHY136">
        <v>0.67</v>
      </c>
      <c r="AHZ136">
        <v>0.67</v>
      </c>
      <c r="AIA136">
        <v>0.67</v>
      </c>
      <c r="AIB136">
        <v>0.67</v>
      </c>
      <c r="AIC136">
        <v>0.67</v>
      </c>
      <c r="AID136">
        <v>0.67</v>
      </c>
      <c r="AIE136">
        <v>0.67</v>
      </c>
      <c r="AIF136">
        <v>0.67</v>
      </c>
      <c r="AIG136">
        <v>0.67</v>
      </c>
      <c r="AIH136">
        <v>0.67</v>
      </c>
      <c r="AII136">
        <v>0.67</v>
      </c>
      <c r="AIJ136">
        <v>0.67</v>
      </c>
      <c r="AIK136">
        <v>0.67</v>
      </c>
      <c r="AIL136">
        <v>0.67</v>
      </c>
      <c r="AIM136">
        <v>0.67</v>
      </c>
      <c r="AIN136">
        <v>0.67</v>
      </c>
      <c r="AIO136">
        <v>0.67</v>
      </c>
      <c r="AIP136">
        <v>0.67</v>
      </c>
      <c r="AIQ136">
        <v>0.67</v>
      </c>
      <c r="AIR136">
        <v>0.67</v>
      </c>
      <c r="AIS136">
        <v>0.67</v>
      </c>
      <c r="AIT136">
        <v>0.67</v>
      </c>
      <c r="AIU136">
        <v>0.67</v>
      </c>
      <c r="AIV136">
        <v>0.67</v>
      </c>
      <c r="AIW136">
        <v>0.67</v>
      </c>
      <c r="AIX136">
        <v>0.67</v>
      </c>
      <c r="AIY136">
        <v>0.67</v>
      </c>
      <c r="AIZ136">
        <v>0.67</v>
      </c>
      <c r="AJA136">
        <v>0.67</v>
      </c>
      <c r="AJB136">
        <v>0.67</v>
      </c>
      <c r="AJC136">
        <v>0.67</v>
      </c>
      <c r="AJD136">
        <v>0.67</v>
      </c>
      <c r="AJE136">
        <v>0.67</v>
      </c>
      <c r="AJF136">
        <v>0.67</v>
      </c>
      <c r="AJG136">
        <v>0.67</v>
      </c>
      <c r="AJH136">
        <v>0.67</v>
      </c>
      <c r="AJI136">
        <v>0.67</v>
      </c>
      <c r="AJJ136">
        <v>0.67</v>
      </c>
      <c r="AJK136">
        <v>0.67</v>
      </c>
      <c r="AJL136">
        <v>0.67</v>
      </c>
      <c r="AJM136">
        <v>0.67</v>
      </c>
      <c r="AJN136">
        <v>0.67</v>
      </c>
      <c r="AJO136">
        <v>0.67</v>
      </c>
      <c r="AJP136">
        <v>0.67</v>
      </c>
      <c r="AJQ136">
        <v>0.67</v>
      </c>
      <c r="AJR136">
        <v>0.67</v>
      </c>
      <c r="AJS136">
        <v>0.67</v>
      </c>
      <c r="AJT136">
        <v>0.67</v>
      </c>
      <c r="AJU136">
        <v>0.67</v>
      </c>
      <c r="AJV136">
        <v>0.67</v>
      </c>
      <c r="AJW136">
        <v>0.67</v>
      </c>
      <c r="AJX136">
        <v>0.67</v>
      </c>
      <c r="AJY136">
        <v>0.67</v>
      </c>
      <c r="AJZ136">
        <v>0.67</v>
      </c>
      <c r="AKA136">
        <v>0.67</v>
      </c>
      <c r="AKB136">
        <v>0.67</v>
      </c>
      <c r="AKC136">
        <v>0.67</v>
      </c>
      <c r="AKD136">
        <v>0.67</v>
      </c>
      <c r="AKE136">
        <v>0.67</v>
      </c>
      <c r="AKF136">
        <v>0.67</v>
      </c>
      <c r="AKG136">
        <v>0.67</v>
      </c>
      <c r="AKH136">
        <v>0.67</v>
      </c>
    </row>
    <row r="137" spans="1:985" ht="14.4" customHeight="1" x14ac:dyDescent="0.55000000000000004">
      <c r="A137" t="s">
        <v>17</v>
      </c>
      <c r="B137" t="s">
        <v>799</v>
      </c>
      <c r="C137" s="1" t="s">
        <v>762</v>
      </c>
      <c r="CA137">
        <v>21</v>
      </c>
      <c r="CB137">
        <v>21</v>
      </c>
      <c r="CC137">
        <v>21</v>
      </c>
      <c r="CD137">
        <v>21</v>
      </c>
      <c r="CE137">
        <v>21</v>
      </c>
      <c r="CF137">
        <v>21</v>
      </c>
      <c r="CG137">
        <v>21</v>
      </c>
      <c r="CH137">
        <v>21</v>
      </c>
      <c r="CI137">
        <v>21</v>
      </c>
      <c r="CJ137">
        <v>21</v>
      </c>
      <c r="CK137">
        <v>21</v>
      </c>
      <c r="CL137">
        <v>21</v>
      </c>
      <c r="CM137">
        <v>21</v>
      </c>
      <c r="CN137">
        <v>21</v>
      </c>
      <c r="CO137">
        <v>21</v>
      </c>
      <c r="CP137">
        <v>21</v>
      </c>
      <c r="CQ137">
        <v>21</v>
      </c>
      <c r="CR137">
        <v>21</v>
      </c>
      <c r="CS137">
        <v>21</v>
      </c>
      <c r="CT137">
        <v>21</v>
      </c>
      <c r="CU137">
        <v>21</v>
      </c>
      <c r="CV137">
        <v>21</v>
      </c>
      <c r="CW137">
        <v>21</v>
      </c>
      <c r="CX137">
        <v>21</v>
      </c>
      <c r="CY137">
        <v>21</v>
      </c>
      <c r="CZ137">
        <v>21</v>
      </c>
      <c r="DA137">
        <v>21</v>
      </c>
      <c r="DB137">
        <v>21</v>
      </c>
      <c r="DC137">
        <v>21</v>
      </c>
      <c r="DD137">
        <v>21</v>
      </c>
      <c r="DE137">
        <v>21</v>
      </c>
      <c r="DF137">
        <v>21</v>
      </c>
      <c r="DG137">
        <v>21</v>
      </c>
      <c r="DH137">
        <v>21</v>
      </c>
      <c r="DI137">
        <v>21</v>
      </c>
      <c r="DJ137">
        <v>21</v>
      </c>
      <c r="DK137">
        <v>21</v>
      </c>
      <c r="DL137">
        <v>21</v>
      </c>
      <c r="DM137">
        <v>21</v>
      </c>
      <c r="DN137">
        <v>21</v>
      </c>
      <c r="DO137">
        <v>21</v>
      </c>
      <c r="DP137">
        <v>21</v>
      </c>
      <c r="DQ137">
        <v>21</v>
      </c>
      <c r="DR137">
        <v>21</v>
      </c>
      <c r="DS137">
        <v>21</v>
      </c>
      <c r="DT137">
        <v>21</v>
      </c>
      <c r="DU137">
        <v>21</v>
      </c>
      <c r="DV137">
        <v>21</v>
      </c>
      <c r="DW137">
        <v>21</v>
      </c>
      <c r="DX137">
        <v>21</v>
      </c>
      <c r="DY137">
        <v>21</v>
      </c>
      <c r="DZ137">
        <v>21</v>
      </c>
      <c r="EA137">
        <v>21</v>
      </c>
      <c r="EB137">
        <v>25</v>
      </c>
      <c r="EC137">
        <v>25</v>
      </c>
      <c r="ED137">
        <v>25</v>
      </c>
      <c r="EE137">
        <v>25</v>
      </c>
      <c r="EF137">
        <v>25</v>
      </c>
      <c r="EG137">
        <v>25</v>
      </c>
      <c r="EH137">
        <v>25</v>
      </c>
      <c r="EI137">
        <v>25</v>
      </c>
      <c r="EJ137">
        <v>25</v>
      </c>
      <c r="EK137">
        <v>25</v>
      </c>
      <c r="EL137">
        <v>25</v>
      </c>
      <c r="EM137">
        <v>25</v>
      </c>
      <c r="EN137">
        <v>25</v>
      </c>
      <c r="EO137">
        <v>25</v>
      </c>
      <c r="EP137">
        <v>25</v>
      </c>
      <c r="EQ137">
        <v>25</v>
      </c>
      <c r="ER137">
        <v>25</v>
      </c>
      <c r="ES137">
        <v>25</v>
      </c>
      <c r="ET137">
        <v>25</v>
      </c>
      <c r="EU137">
        <v>25</v>
      </c>
      <c r="EV137">
        <v>25</v>
      </c>
      <c r="EW137">
        <v>25</v>
      </c>
      <c r="EX137">
        <v>25</v>
      </c>
      <c r="EY137">
        <v>25</v>
      </c>
      <c r="EZ137">
        <v>25</v>
      </c>
      <c r="FA137">
        <v>25</v>
      </c>
      <c r="FB137">
        <v>25</v>
      </c>
      <c r="FC137">
        <v>25</v>
      </c>
      <c r="FD137">
        <v>25</v>
      </c>
      <c r="FE137">
        <v>25</v>
      </c>
      <c r="FF137">
        <v>25</v>
      </c>
      <c r="FG137">
        <v>25</v>
      </c>
      <c r="FH137">
        <v>25</v>
      </c>
      <c r="FI137">
        <v>25</v>
      </c>
      <c r="FJ137">
        <v>25</v>
      </c>
      <c r="FK137">
        <v>25</v>
      </c>
      <c r="FL137">
        <v>25</v>
      </c>
      <c r="FM137">
        <v>25</v>
      </c>
      <c r="FN137">
        <v>25</v>
      </c>
      <c r="FO137">
        <v>25</v>
      </c>
      <c r="FP137">
        <v>25</v>
      </c>
      <c r="FQ137">
        <v>25</v>
      </c>
      <c r="FR137">
        <v>25</v>
      </c>
      <c r="FS137">
        <v>25</v>
      </c>
      <c r="FT137">
        <v>25</v>
      </c>
      <c r="FU137">
        <v>25</v>
      </c>
      <c r="FV137">
        <v>25</v>
      </c>
      <c r="FW137">
        <v>25</v>
      </c>
      <c r="FX137">
        <v>25</v>
      </c>
      <c r="FY137">
        <v>25</v>
      </c>
      <c r="FZ137">
        <v>25</v>
      </c>
      <c r="GA137">
        <v>25</v>
      </c>
      <c r="GB137">
        <v>25</v>
      </c>
      <c r="GC137">
        <v>25</v>
      </c>
      <c r="GD137">
        <v>25</v>
      </c>
      <c r="GE137">
        <v>25</v>
      </c>
      <c r="GF137">
        <v>25</v>
      </c>
      <c r="GG137">
        <v>25</v>
      </c>
      <c r="GH137">
        <v>25</v>
      </c>
      <c r="GI137">
        <v>25</v>
      </c>
      <c r="GJ137">
        <v>25</v>
      </c>
      <c r="GK137">
        <v>25</v>
      </c>
      <c r="GL137">
        <v>25</v>
      </c>
      <c r="GM137">
        <v>25</v>
      </c>
      <c r="GN137">
        <v>25</v>
      </c>
      <c r="GO137">
        <v>25</v>
      </c>
      <c r="GP137">
        <v>25</v>
      </c>
      <c r="GQ137">
        <v>25</v>
      </c>
      <c r="GR137">
        <v>25</v>
      </c>
      <c r="GS137">
        <v>25</v>
      </c>
      <c r="GT137">
        <v>25</v>
      </c>
      <c r="GU137">
        <v>25</v>
      </c>
      <c r="GV137">
        <v>25</v>
      </c>
      <c r="GW137">
        <v>25</v>
      </c>
      <c r="GX137">
        <v>25</v>
      </c>
      <c r="GY137">
        <v>25</v>
      </c>
      <c r="GZ137">
        <v>25</v>
      </c>
      <c r="HA137">
        <v>25</v>
      </c>
      <c r="HB137">
        <v>25</v>
      </c>
      <c r="HC137">
        <v>25</v>
      </c>
      <c r="HD137">
        <v>25</v>
      </c>
      <c r="HE137">
        <v>25</v>
      </c>
      <c r="HF137">
        <v>25</v>
      </c>
      <c r="HG137">
        <v>25</v>
      </c>
      <c r="HH137">
        <v>25</v>
      </c>
      <c r="HI137">
        <v>25</v>
      </c>
      <c r="HJ137">
        <v>25</v>
      </c>
      <c r="HK137">
        <v>25</v>
      </c>
      <c r="HL137">
        <v>25</v>
      </c>
      <c r="HM137">
        <v>25</v>
      </c>
      <c r="HN137">
        <v>25</v>
      </c>
      <c r="HO137">
        <v>25</v>
      </c>
      <c r="HP137">
        <v>25</v>
      </c>
      <c r="HQ137">
        <v>25</v>
      </c>
      <c r="HR137">
        <v>25</v>
      </c>
      <c r="HS137">
        <v>25</v>
      </c>
      <c r="HT137">
        <v>25</v>
      </c>
      <c r="HU137">
        <v>25</v>
      </c>
      <c r="HV137">
        <v>25</v>
      </c>
      <c r="HW137">
        <v>25</v>
      </c>
      <c r="HX137">
        <v>25</v>
      </c>
      <c r="HY137">
        <v>25</v>
      </c>
      <c r="HZ137">
        <v>25</v>
      </c>
      <c r="IA137">
        <v>25</v>
      </c>
      <c r="IB137">
        <v>25</v>
      </c>
      <c r="IC137">
        <v>25</v>
      </c>
      <c r="ID137">
        <v>25</v>
      </c>
      <c r="IE137">
        <v>25</v>
      </c>
      <c r="IF137">
        <v>25</v>
      </c>
      <c r="IG137">
        <v>25</v>
      </c>
      <c r="IH137">
        <v>25</v>
      </c>
      <c r="II137">
        <v>25</v>
      </c>
      <c r="IJ137">
        <v>25</v>
      </c>
      <c r="IK137">
        <v>25</v>
      </c>
      <c r="IL137">
        <v>25</v>
      </c>
      <c r="IM137">
        <v>25</v>
      </c>
      <c r="IN137">
        <v>25</v>
      </c>
      <c r="IO137">
        <v>25</v>
      </c>
      <c r="IP137">
        <v>25</v>
      </c>
      <c r="IQ137">
        <v>25</v>
      </c>
      <c r="IR137">
        <v>25</v>
      </c>
      <c r="IS137">
        <v>25</v>
      </c>
      <c r="IT137">
        <v>25</v>
      </c>
      <c r="IU137">
        <v>25</v>
      </c>
      <c r="IV137">
        <v>25</v>
      </c>
      <c r="IW137">
        <v>25</v>
      </c>
      <c r="IX137">
        <v>25</v>
      </c>
      <c r="IY137">
        <v>25</v>
      </c>
      <c r="IZ137">
        <v>25</v>
      </c>
      <c r="JA137">
        <v>25</v>
      </c>
      <c r="JB137">
        <v>25</v>
      </c>
      <c r="JC137">
        <v>25</v>
      </c>
      <c r="JD137">
        <v>25</v>
      </c>
      <c r="JE137">
        <v>25</v>
      </c>
      <c r="JF137">
        <v>25</v>
      </c>
      <c r="JG137">
        <v>25</v>
      </c>
      <c r="JH137">
        <v>25</v>
      </c>
      <c r="JI137">
        <v>25</v>
      </c>
      <c r="JJ137">
        <v>25</v>
      </c>
      <c r="JK137">
        <v>25</v>
      </c>
      <c r="JL137">
        <v>25</v>
      </c>
      <c r="JM137">
        <v>25</v>
      </c>
      <c r="JN137">
        <v>25</v>
      </c>
      <c r="JO137">
        <v>25</v>
      </c>
      <c r="JP137">
        <v>25</v>
      </c>
      <c r="JQ137">
        <v>25</v>
      </c>
      <c r="JR137">
        <v>25</v>
      </c>
      <c r="JS137">
        <v>25</v>
      </c>
      <c r="JT137">
        <v>25</v>
      </c>
      <c r="JU137">
        <v>25</v>
      </c>
      <c r="JV137">
        <v>25</v>
      </c>
      <c r="JW137">
        <v>25</v>
      </c>
      <c r="JX137">
        <v>25</v>
      </c>
      <c r="JY137">
        <v>25</v>
      </c>
      <c r="JZ137">
        <v>25</v>
      </c>
      <c r="KA137">
        <v>25</v>
      </c>
      <c r="KB137">
        <v>25</v>
      </c>
      <c r="KC137">
        <v>25</v>
      </c>
      <c r="KD137">
        <v>25</v>
      </c>
      <c r="KE137">
        <v>25</v>
      </c>
      <c r="KF137">
        <v>25</v>
      </c>
      <c r="KG137">
        <v>25</v>
      </c>
      <c r="KH137">
        <v>25</v>
      </c>
      <c r="KI137">
        <v>25</v>
      </c>
      <c r="KJ137">
        <v>25</v>
      </c>
      <c r="KK137">
        <v>25</v>
      </c>
      <c r="KL137">
        <v>25</v>
      </c>
      <c r="KM137">
        <v>25</v>
      </c>
      <c r="KN137">
        <v>25</v>
      </c>
      <c r="KO137">
        <v>25</v>
      </c>
      <c r="KP137">
        <v>25</v>
      </c>
      <c r="KQ137">
        <v>25</v>
      </c>
      <c r="KR137">
        <v>25</v>
      </c>
      <c r="KS137">
        <v>25</v>
      </c>
      <c r="KT137">
        <v>25</v>
      </c>
      <c r="KU137">
        <v>25</v>
      </c>
      <c r="KV137">
        <v>25</v>
      </c>
      <c r="KW137">
        <v>25</v>
      </c>
      <c r="KX137">
        <v>25</v>
      </c>
      <c r="KY137">
        <v>25</v>
      </c>
      <c r="KZ137">
        <v>25</v>
      </c>
      <c r="LA137">
        <v>25</v>
      </c>
      <c r="LB137">
        <v>25</v>
      </c>
      <c r="LC137">
        <v>25</v>
      </c>
      <c r="LD137">
        <v>25</v>
      </c>
      <c r="LE137">
        <v>25</v>
      </c>
      <c r="LF137">
        <v>25</v>
      </c>
      <c r="LG137">
        <v>25</v>
      </c>
      <c r="LH137">
        <v>25</v>
      </c>
      <c r="LI137">
        <v>25</v>
      </c>
      <c r="LJ137">
        <v>25</v>
      </c>
      <c r="LK137">
        <v>25</v>
      </c>
      <c r="LL137">
        <v>25</v>
      </c>
      <c r="LM137">
        <v>25</v>
      </c>
      <c r="LN137">
        <v>25</v>
      </c>
      <c r="LO137">
        <v>25</v>
      </c>
      <c r="LP137">
        <v>25</v>
      </c>
      <c r="LQ137">
        <v>25</v>
      </c>
      <c r="LR137">
        <v>25</v>
      </c>
      <c r="LS137">
        <v>25</v>
      </c>
      <c r="LT137">
        <v>25</v>
      </c>
      <c r="LU137">
        <v>25</v>
      </c>
      <c r="LV137">
        <v>25</v>
      </c>
      <c r="LW137">
        <v>25</v>
      </c>
      <c r="LX137">
        <v>25</v>
      </c>
      <c r="LY137">
        <v>25</v>
      </c>
      <c r="LZ137">
        <v>25</v>
      </c>
      <c r="MA137">
        <v>25</v>
      </c>
      <c r="MB137">
        <v>25</v>
      </c>
      <c r="MC137">
        <v>25</v>
      </c>
      <c r="MD137">
        <v>25</v>
      </c>
      <c r="ME137">
        <v>25</v>
      </c>
      <c r="MF137">
        <v>25</v>
      </c>
      <c r="MG137">
        <v>25</v>
      </c>
      <c r="MH137">
        <v>25</v>
      </c>
      <c r="MI137">
        <v>25</v>
      </c>
      <c r="MJ137">
        <v>25</v>
      </c>
      <c r="MK137">
        <v>25</v>
      </c>
      <c r="ML137">
        <v>25</v>
      </c>
      <c r="MM137">
        <v>25</v>
      </c>
      <c r="MN137">
        <v>25</v>
      </c>
      <c r="MO137">
        <v>25</v>
      </c>
      <c r="MP137">
        <v>25</v>
      </c>
      <c r="MQ137">
        <v>25</v>
      </c>
      <c r="MR137">
        <v>25</v>
      </c>
      <c r="MS137">
        <v>25</v>
      </c>
      <c r="MT137">
        <v>25</v>
      </c>
      <c r="MU137">
        <v>25</v>
      </c>
      <c r="MV137">
        <v>25</v>
      </c>
      <c r="MW137">
        <v>25</v>
      </c>
      <c r="MX137">
        <v>25</v>
      </c>
      <c r="MY137">
        <v>25</v>
      </c>
      <c r="MZ137">
        <v>25</v>
      </c>
      <c r="NA137">
        <v>25</v>
      </c>
      <c r="NB137">
        <v>25</v>
      </c>
      <c r="NC137">
        <v>25</v>
      </c>
      <c r="ND137">
        <v>25</v>
      </c>
      <c r="NE137">
        <v>25</v>
      </c>
      <c r="NF137">
        <v>25</v>
      </c>
      <c r="NG137">
        <v>25</v>
      </c>
      <c r="NH137">
        <v>25</v>
      </c>
      <c r="NI137">
        <v>25</v>
      </c>
      <c r="NJ137">
        <v>25</v>
      </c>
      <c r="NK137">
        <v>25</v>
      </c>
      <c r="NL137">
        <v>25</v>
      </c>
      <c r="NM137">
        <v>25</v>
      </c>
      <c r="NN137">
        <v>25</v>
      </c>
      <c r="NO137">
        <v>25</v>
      </c>
      <c r="NP137">
        <v>25</v>
      </c>
      <c r="NQ137">
        <v>25</v>
      </c>
      <c r="NR137">
        <v>25</v>
      </c>
      <c r="NS137">
        <v>25</v>
      </c>
      <c r="NT137">
        <v>25</v>
      </c>
      <c r="NU137">
        <v>25</v>
      </c>
      <c r="NV137">
        <v>25</v>
      </c>
      <c r="NW137">
        <v>25</v>
      </c>
      <c r="NX137">
        <v>25</v>
      </c>
      <c r="NY137">
        <v>25</v>
      </c>
      <c r="NZ137">
        <v>25</v>
      </c>
      <c r="OA137">
        <v>25</v>
      </c>
      <c r="OB137">
        <v>25</v>
      </c>
      <c r="OC137">
        <v>25</v>
      </c>
      <c r="OD137">
        <v>25</v>
      </c>
      <c r="OE137">
        <v>25</v>
      </c>
      <c r="OF137">
        <v>25</v>
      </c>
      <c r="OG137">
        <v>25</v>
      </c>
      <c r="OH137">
        <v>25</v>
      </c>
      <c r="OI137">
        <v>25</v>
      </c>
      <c r="OJ137">
        <v>25</v>
      </c>
      <c r="OK137">
        <v>25</v>
      </c>
      <c r="OL137">
        <v>25</v>
      </c>
      <c r="OM137">
        <v>25</v>
      </c>
      <c r="ON137">
        <v>25</v>
      </c>
      <c r="OO137">
        <v>25</v>
      </c>
      <c r="OP137">
        <v>25</v>
      </c>
      <c r="OQ137">
        <v>25</v>
      </c>
      <c r="OR137">
        <v>25</v>
      </c>
      <c r="OS137">
        <v>25</v>
      </c>
      <c r="OT137">
        <v>25</v>
      </c>
      <c r="OU137">
        <v>25</v>
      </c>
      <c r="OV137">
        <v>25</v>
      </c>
      <c r="OW137">
        <v>25</v>
      </c>
      <c r="OX137">
        <v>25</v>
      </c>
      <c r="OY137">
        <v>25</v>
      </c>
      <c r="OZ137">
        <v>25</v>
      </c>
      <c r="PA137">
        <v>25</v>
      </c>
      <c r="PB137">
        <v>25</v>
      </c>
      <c r="PC137">
        <v>25</v>
      </c>
      <c r="PD137">
        <v>25</v>
      </c>
      <c r="PE137">
        <v>25</v>
      </c>
      <c r="PF137">
        <v>25</v>
      </c>
      <c r="PG137">
        <v>25</v>
      </c>
      <c r="PH137">
        <v>25</v>
      </c>
      <c r="PI137">
        <v>25</v>
      </c>
      <c r="PJ137">
        <v>25</v>
      </c>
      <c r="PK137">
        <v>25</v>
      </c>
      <c r="PL137">
        <v>25</v>
      </c>
      <c r="PM137">
        <v>25</v>
      </c>
      <c r="PN137">
        <v>25</v>
      </c>
      <c r="PO137">
        <v>25</v>
      </c>
      <c r="PP137">
        <v>25</v>
      </c>
      <c r="PQ137">
        <v>25</v>
      </c>
      <c r="PR137">
        <v>25</v>
      </c>
      <c r="PS137">
        <v>25</v>
      </c>
      <c r="PT137">
        <v>25</v>
      </c>
      <c r="PU137">
        <v>25</v>
      </c>
      <c r="PV137">
        <v>25</v>
      </c>
      <c r="PW137">
        <v>25</v>
      </c>
      <c r="PX137">
        <v>25</v>
      </c>
      <c r="PY137">
        <v>25</v>
      </c>
      <c r="PZ137">
        <v>25</v>
      </c>
      <c r="QA137">
        <v>25</v>
      </c>
      <c r="QB137">
        <v>25</v>
      </c>
      <c r="QC137">
        <v>25</v>
      </c>
      <c r="QD137">
        <v>25</v>
      </c>
      <c r="QE137">
        <v>25</v>
      </c>
      <c r="QF137">
        <v>25</v>
      </c>
      <c r="QG137">
        <v>25</v>
      </c>
      <c r="QH137">
        <v>25</v>
      </c>
      <c r="QI137">
        <v>25</v>
      </c>
      <c r="QJ137">
        <v>25</v>
      </c>
      <c r="QK137">
        <v>25</v>
      </c>
      <c r="QL137">
        <v>25</v>
      </c>
      <c r="QM137">
        <v>25</v>
      </c>
      <c r="QN137">
        <v>25</v>
      </c>
      <c r="QO137">
        <v>25</v>
      </c>
      <c r="QP137">
        <v>25</v>
      </c>
      <c r="QQ137">
        <v>25</v>
      </c>
      <c r="QR137">
        <v>25</v>
      </c>
      <c r="QS137">
        <v>25</v>
      </c>
      <c r="QT137">
        <v>25</v>
      </c>
      <c r="QU137">
        <v>25</v>
      </c>
      <c r="QV137">
        <v>25</v>
      </c>
      <c r="QW137">
        <v>25</v>
      </c>
      <c r="QX137">
        <v>25</v>
      </c>
      <c r="QY137">
        <v>25</v>
      </c>
      <c r="QZ137">
        <v>25</v>
      </c>
      <c r="RA137">
        <v>25</v>
      </c>
      <c r="RB137">
        <v>25</v>
      </c>
      <c r="RC137">
        <v>25</v>
      </c>
      <c r="RD137">
        <v>25</v>
      </c>
      <c r="RE137">
        <v>25</v>
      </c>
      <c r="RF137">
        <v>25</v>
      </c>
      <c r="RG137">
        <v>25</v>
      </c>
      <c r="RH137">
        <v>25</v>
      </c>
      <c r="RI137">
        <v>25</v>
      </c>
      <c r="RJ137">
        <v>25</v>
      </c>
      <c r="RK137">
        <v>25</v>
      </c>
      <c r="RL137">
        <v>25</v>
      </c>
      <c r="RM137">
        <v>25</v>
      </c>
      <c r="RN137">
        <v>25</v>
      </c>
      <c r="RO137">
        <v>25</v>
      </c>
      <c r="RP137">
        <v>25</v>
      </c>
      <c r="RQ137">
        <v>25</v>
      </c>
      <c r="RR137">
        <v>25</v>
      </c>
      <c r="RS137">
        <v>25</v>
      </c>
      <c r="RT137">
        <v>25</v>
      </c>
      <c r="RU137">
        <v>25</v>
      </c>
      <c r="RV137">
        <v>25</v>
      </c>
      <c r="RW137">
        <v>25</v>
      </c>
      <c r="RX137">
        <v>25</v>
      </c>
      <c r="RY137">
        <v>25</v>
      </c>
      <c r="RZ137">
        <v>25</v>
      </c>
      <c r="SA137">
        <v>25</v>
      </c>
      <c r="SB137">
        <v>25</v>
      </c>
      <c r="SC137">
        <v>25</v>
      </c>
      <c r="SD137">
        <v>25</v>
      </c>
      <c r="SE137">
        <v>25</v>
      </c>
      <c r="SF137">
        <v>25</v>
      </c>
      <c r="SG137">
        <v>25</v>
      </c>
      <c r="SH137">
        <v>25</v>
      </c>
      <c r="SI137">
        <v>25</v>
      </c>
      <c r="SJ137">
        <v>25</v>
      </c>
      <c r="SK137">
        <v>25</v>
      </c>
      <c r="SL137">
        <v>25</v>
      </c>
      <c r="SM137">
        <v>25</v>
      </c>
      <c r="SN137">
        <v>25</v>
      </c>
      <c r="SO137">
        <v>25</v>
      </c>
      <c r="SP137">
        <v>25</v>
      </c>
      <c r="SQ137">
        <v>25</v>
      </c>
      <c r="SR137">
        <v>25</v>
      </c>
      <c r="SS137">
        <v>25</v>
      </c>
      <c r="ST137">
        <v>25</v>
      </c>
      <c r="SU137">
        <v>25</v>
      </c>
      <c r="SV137">
        <v>25</v>
      </c>
      <c r="SW137">
        <v>25</v>
      </c>
      <c r="SX137">
        <v>25</v>
      </c>
      <c r="SY137">
        <v>25</v>
      </c>
      <c r="SZ137">
        <v>25</v>
      </c>
      <c r="TA137">
        <v>25</v>
      </c>
      <c r="TB137">
        <v>25</v>
      </c>
      <c r="TC137">
        <v>25</v>
      </c>
      <c r="TD137">
        <v>25</v>
      </c>
      <c r="TE137">
        <v>25</v>
      </c>
      <c r="TF137">
        <v>25</v>
      </c>
      <c r="TG137">
        <v>25</v>
      </c>
      <c r="TH137">
        <v>25</v>
      </c>
      <c r="TI137">
        <v>25</v>
      </c>
      <c r="TJ137">
        <v>25</v>
      </c>
      <c r="TK137">
        <v>25</v>
      </c>
      <c r="TL137">
        <v>25</v>
      </c>
      <c r="TM137">
        <v>25</v>
      </c>
      <c r="TN137">
        <v>25</v>
      </c>
      <c r="TO137">
        <v>25</v>
      </c>
      <c r="TP137">
        <v>25</v>
      </c>
      <c r="TQ137">
        <v>25</v>
      </c>
      <c r="TR137">
        <v>25</v>
      </c>
      <c r="TS137">
        <v>25</v>
      </c>
      <c r="TT137">
        <v>25</v>
      </c>
      <c r="TU137">
        <v>25</v>
      </c>
      <c r="TV137">
        <v>25</v>
      </c>
      <c r="TW137">
        <v>25</v>
      </c>
      <c r="TX137">
        <v>25</v>
      </c>
      <c r="TY137">
        <v>25</v>
      </c>
      <c r="TZ137">
        <v>25</v>
      </c>
      <c r="UA137">
        <v>25</v>
      </c>
      <c r="UB137">
        <v>25</v>
      </c>
      <c r="UC137">
        <v>25</v>
      </c>
      <c r="UD137">
        <v>25</v>
      </c>
      <c r="UE137">
        <v>25</v>
      </c>
      <c r="UF137">
        <v>25</v>
      </c>
      <c r="UG137">
        <v>25</v>
      </c>
      <c r="UH137">
        <v>25</v>
      </c>
      <c r="UI137">
        <v>25</v>
      </c>
      <c r="UJ137">
        <v>25</v>
      </c>
      <c r="UK137">
        <v>25</v>
      </c>
      <c r="UL137">
        <v>25</v>
      </c>
      <c r="UM137">
        <v>25</v>
      </c>
      <c r="UN137">
        <v>25</v>
      </c>
      <c r="UO137">
        <v>25</v>
      </c>
      <c r="UP137">
        <v>25</v>
      </c>
      <c r="UQ137">
        <v>25</v>
      </c>
      <c r="UR137">
        <v>25</v>
      </c>
      <c r="US137">
        <v>25</v>
      </c>
      <c r="UT137">
        <v>25</v>
      </c>
      <c r="UU137">
        <v>25</v>
      </c>
      <c r="UV137">
        <v>25</v>
      </c>
      <c r="UW137">
        <v>25</v>
      </c>
      <c r="UX137">
        <v>25</v>
      </c>
      <c r="UY137">
        <v>25</v>
      </c>
      <c r="UZ137">
        <v>25</v>
      </c>
      <c r="VA137">
        <v>25</v>
      </c>
      <c r="VB137">
        <v>25</v>
      </c>
      <c r="VC137">
        <v>25</v>
      </c>
      <c r="VD137">
        <v>25</v>
      </c>
      <c r="VE137">
        <v>25</v>
      </c>
      <c r="VF137">
        <v>25</v>
      </c>
      <c r="VG137">
        <v>25</v>
      </c>
      <c r="VH137">
        <v>25</v>
      </c>
      <c r="VI137">
        <v>25</v>
      </c>
      <c r="VJ137">
        <v>25</v>
      </c>
      <c r="VK137">
        <v>25</v>
      </c>
      <c r="VL137">
        <v>25</v>
      </c>
      <c r="VM137">
        <v>25</v>
      </c>
      <c r="VN137">
        <v>25</v>
      </c>
      <c r="VO137">
        <v>25</v>
      </c>
      <c r="VP137">
        <v>25</v>
      </c>
      <c r="VQ137">
        <v>25</v>
      </c>
      <c r="VR137">
        <v>25</v>
      </c>
      <c r="VS137">
        <v>25</v>
      </c>
      <c r="VT137">
        <v>25</v>
      </c>
      <c r="VU137">
        <v>25</v>
      </c>
      <c r="VV137">
        <v>25</v>
      </c>
      <c r="VW137">
        <v>25</v>
      </c>
      <c r="VX137">
        <v>25</v>
      </c>
      <c r="VY137">
        <v>25</v>
      </c>
      <c r="VZ137">
        <v>25</v>
      </c>
      <c r="WA137">
        <v>25</v>
      </c>
      <c r="WB137">
        <v>25</v>
      </c>
      <c r="WC137">
        <v>25</v>
      </c>
      <c r="WD137">
        <v>25</v>
      </c>
      <c r="WE137">
        <v>25</v>
      </c>
      <c r="WF137">
        <v>25</v>
      </c>
      <c r="WG137">
        <v>25</v>
      </c>
      <c r="WH137">
        <v>25</v>
      </c>
      <c r="WI137">
        <v>25</v>
      </c>
      <c r="WJ137">
        <v>25</v>
      </c>
      <c r="WK137">
        <v>25</v>
      </c>
      <c r="WL137">
        <v>25</v>
      </c>
      <c r="WM137">
        <v>25</v>
      </c>
      <c r="WN137">
        <v>25</v>
      </c>
      <c r="WO137">
        <v>25</v>
      </c>
      <c r="WP137">
        <v>25</v>
      </c>
      <c r="WQ137">
        <v>25</v>
      </c>
      <c r="WR137">
        <v>25</v>
      </c>
      <c r="WS137">
        <v>25</v>
      </c>
      <c r="WT137">
        <v>25</v>
      </c>
      <c r="WU137">
        <v>25</v>
      </c>
      <c r="WV137">
        <v>25</v>
      </c>
      <c r="WW137">
        <v>25</v>
      </c>
      <c r="WX137">
        <v>25</v>
      </c>
      <c r="WY137">
        <v>25</v>
      </c>
      <c r="WZ137">
        <v>25</v>
      </c>
      <c r="XA137">
        <v>25</v>
      </c>
      <c r="XB137">
        <v>25</v>
      </c>
      <c r="XC137">
        <v>25</v>
      </c>
      <c r="XD137">
        <v>25</v>
      </c>
      <c r="XE137">
        <v>25</v>
      </c>
      <c r="XF137">
        <v>25</v>
      </c>
      <c r="XG137">
        <v>25</v>
      </c>
      <c r="XH137">
        <v>25</v>
      </c>
      <c r="XI137">
        <v>25</v>
      </c>
      <c r="XJ137">
        <v>25</v>
      </c>
      <c r="XK137">
        <v>25</v>
      </c>
      <c r="XL137">
        <v>25</v>
      </c>
      <c r="XM137">
        <v>25</v>
      </c>
      <c r="XN137">
        <v>25</v>
      </c>
      <c r="XO137">
        <v>25</v>
      </c>
      <c r="XP137">
        <v>25</v>
      </c>
      <c r="XQ137">
        <v>25</v>
      </c>
      <c r="XR137">
        <v>25</v>
      </c>
      <c r="XS137">
        <v>25</v>
      </c>
      <c r="XT137">
        <v>25</v>
      </c>
      <c r="XU137">
        <v>25</v>
      </c>
      <c r="XV137">
        <v>25</v>
      </c>
      <c r="XW137">
        <v>25</v>
      </c>
      <c r="XX137">
        <v>25</v>
      </c>
      <c r="XY137">
        <v>25</v>
      </c>
      <c r="XZ137">
        <v>25</v>
      </c>
      <c r="YA137">
        <v>25</v>
      </c>
      <c r="YB137">
        <v>25</v>
      </c>
      <c r="YC137">
        <v>25</v>
      </c>
      <c r="YD137">
        <v>25</v>
      </c>
      <c r="YE137">
        <v>25</v>
      </c>
      <c r="YF137">
        <v>25</v>
      </c>
      <c r="YG137">
        <v>25</v>
      </c>
      <c r="YH137">
        <v>25</v>
      </c>
      <c r="YI137">
        <v>25</v>
      </c>
      <c r="YJ137">
        <v>25</v>
      </c>
      <c r="YK137">
        <v>25</v>
      </c>
      <c r="YL137">
        <v>25</v>
      </c>
      <c r="YM137">
        <v>25</v>
      </c>
      <c r="YN137">
        <v>25</v>
      </c>
      <c r="YO137">
        <v>25</v>
      </c>
      <c r="YP137">
        <v>25</v>
      </c>
      <c r="YQ137">
        <v>25</v>
      </c>
      <c r="YR137">
        <v>25</v>
      </c>
      <c r="YS137">
        <v>25</v>
      </c>
      <c r="YT137">
        <v>25</v>
      </c>
      <c r="YU137">
        <v>25</v>
      </c>
      <c r="YV137">
        <v>25</v>
      </c>
      <c r="YW137">
        <v>25</v>
      </c>
      <c r="YX137">
        <v>25</v>
      </c>
      <c r="YY137">
        <v>25</v>
      </c>
      <c r="YZ137">
        <v>25</v>
      </c>
      <c r="ZA137">
        <v>25</v>
      </c>
      <c r="ZB137">
        <v>25</v>
      </c>
      <c r="ZC137">
        <v>25</v>
      </c>
      <c r="ZD137">
        <v>25</v>
      </c>
      <c r="ZE137">
        <v>25</v>
      </c>
      <c r="ZF137">
        <v>25</v>
      </c>
      <c r="ZG137">
        <v>25</v>
      </c>
      <c r="ZH137">
        <v>25</v>
      </c>
      <c r="ZI137">
        <v>25</v>
      </c>
      <c r="ZJ137">
        <v>25</v>
      </c>
      <c r="ZK137">
        <v>25</v>
      </c>
      <c r="ZL137">
        <v>25</v>
      </c>
      <c r="ZM137">
        <v>25</v>
      </c>
      <c r="ZN137">
        <v>25</v>
      </c>
      <c r="ZO137">
        <v>25</v>
      </c>
      <c r="ZP137">
        <v>25</v>
      </c>
      <c r="ZQ137">
        <v>28</v>
      </c>
      <c r="ZR137">
        <v>28</v>
      </c>
      <c r="ZS137">
        <v>28</v>
      </c>
      <c r="ZT137">
        <v>28</v>
      </c>
      <c r="ZU137">
        <v>28</v>
      </c>
      <c r="ZV137">
        <v>28</v>
      </c>
      <c r="ZW137">
        <v>28</v>
      </c>
      <c r="ZX137">
        <v>28</v>
      </c>
      <c r="ZY137">
        <v>28</v>
      </c>
      <c r="ZZ137">
        <v>28</v>
      </c>
      <c r="AAA137">
        <v>28</v>
      </c>
      <c r="AAB137">
        <v>28</v>
      </c>
      <c r="AAC137">
        <v>28</v>
      </c>
      <c r="AAD137">
        <v>28</v>
      </c>
      <c r="AAE137">
        <v>28</v>
      </c>
      <c r="AAF137">
        <v>28</v>
      </c>
      <c r="AAG137">
        <v>28</v>
      </c>
      <c r="AAH137">
        <v>28</v>
      </c>
      <c r="AAI137">
        <v>28</v>
      </c>
      <c r="AAJ137">
        <v>28</v>
      </c>
      <c r="AAK137">
        <v>28</v>
      </c>
      <c r="AAL137">
        <v>28</v>
      </c>
      <c r="AAM137">
        <v>28</v>
      </c>
      <c r="AAN137">
        <v>28</v>
      </c>
      <c r="AAO137">
        <v>28</v>
      </c>
      <c r="AAP137">
        <v>28</v>
      </c>
      <c r="AAQ137">
        <v>28</v>
      </c>
      <c r="AAR137">
        <v>28</v>
      </c>
      <c r="AAS137">
        <v>28</v>
      </c>
      <c r="AAT137">
        <v>28</v>
      </c>
      <c r="AAU137">
        <v>28</v>
      </c>
      <c r="AAV137">
        <v>28</v>
      </c>
      <c r="AAW137">
        <v>28</v>
      </c>
      <c r="AAX137">
        <v>28</v>
      </c>
      <c r="AAY137">
        <v>28</v>
      </c>
      <c r="AAZ137">
        <v>28</v>
      </c>
      <c r="ABA137">
        <v>28</v>
      </c>
      <c r="ABB137">
        <v>28</v>
      </c>
      <c r="ABC137">
        <v>28</v>
      </c>
      <c r="ABD137">
        <v>28</v>
      </c>
      <c r="ABE137">
        <v>28</v>
      </c>
      <c r="ABF137">
        <v>28</v>
      </c>
      <c r="ABG137">
        <v>28</v>
      </c>
      <c r="ABH137">
        <v>28</v>
      </c>
      <c r="ABI137">
        <v>28</v>
      </c>
      <c r="ABJ137">
        <v>28</v>
      </c>
      <c r="ABK137">
        <v>28</v>
      </c>
      <c r="ABL137">
        <v>28</v>
      </c>
      <c r="ABM137">
        <v>28</v>
      </c>
      <c r="ABN137">
        <v>28</v>
      </c>
      <c r="ABO137">
        <v>28</v>
      </c>
      <c r="ABP137">
        <v>28</v>
      </c>
      <c r="ABQ137">
        <v>28</v>
      </c>
      <c r="ABR137">
        <v>28</v>
      </c>
      <c r="ABS137">
        <v>28</v>
      </c>
      <c r="ABT137">
        <v>28</v>
      </c>
      <c r="ABU137">
        <v>28</v>
      </c>
      <c r="ABV137">
        <v>28</v>
      </c>
      <c r="ABW137">
        <v>28</v>
      </c>
      <c r="ABX137">
        <v>28</v>
      </c>
      <c r="ABY137">
        <v>28</v>
      </c>
      <c r="ABZ137">
        <v>28</v>
      </c>
      <c r="ACA137">
        <v>28</v>
      </c>
      <c r="ACB137">
        <v>28</v>
      </c>
      <c r="ACC137">
        <v>28</v>
      </c>
      <c r="ACD137">
        <v>28</v>
      </c>
      <c r="ACE137">
        <v>28</v>
      </c>
      <c r="ACF137">
        <v>28</v>
      </c>
      <c r="ACG137">
        <v>28</v>
      </c>
      <c r="ACH137">
        <v>28</v>
      </c>
      <c r="ACI137">
        <v>28</v>
      </c>
      <c r="ACJ137">
        <v>28</v>
      </c>
      <c r="ACK137">
        <v>28</v>
      </c>
      <c r="ACL137">
        <v>28</v>
      </c>
      <c r="ACM137">
        <v>28</v>
      </c>
      <c r="ACN137">
        <v>28</v>
      </c>
      <c r="ACO137">
        <v>28</v>
      </c>
      <c r="ACP137">
        <v>28</v>
      </c>
      <c r="ACQ137">
        <v>28</v>
      </c>
      <c r="ACR137">
        <v>28</v>
      </c>
      <c r="ACS137">
        <v>28</v>
      </c>
      <c r="ACT137">
        <v>28</v>
      </c>
      <c r="ACU137">
        <v>28</v>
      </c>
      <c r="ACV137">
        <v>28</v>
      </c>
      <c r="ACW137">
        <v>28</v>
      </c>
      <c r="ACX137">
        <v>28</v>
      </c>
      <c r="ACY137">
        <v>28</v>
      </c>
      <c r="ACZ137">
        <v>28</v>
      </c>
      <c r="ADA137">
        <v>28</v>
      </c>
      <c r="ADB137">
        <v>28</v>
      </c>
      <c r="ADC137">
        <v>28</v>
      </c>
      <c r="ADD137">
        <v>28</v>
      </c>
      <c r="ADE137">
        <v>28</v>
      </c>
      <c r="ADF137">
        <v>28</v>
      </c>
      <c r="ADG137">
        <v>28</v>
      </c>
      <c r="ADH137">
        <v>28</v>
      </c>
      <c r="ADI137">
        <v>28</v>
      </c>
      <c r="ADJ137">
        <v>28</v>
      </c>
      <c r="ADK137">
        <v>28</v>
      </c>
      <c r="ADL137">
        <v>28</v>
      </c>
      <c r="ADM137">
        <v>28</v>
      </c>
      <c r="ADN137">
        <v>28</v>
      </c>
      <c r="ADO137">
        <v>28</v>
      </c>
      <c r="ADP137">
        <v>28</v>
      </c>
      <c r="ADQ137">
        <v>28</v>
      </c>
      <c r="ADR137">
        <v>28</v>
      </c>
      <c r="ADS137">
        <v>28</v>
      </c>
      <c r="ADT137">
        <v>28</v>
      </c>
      <c r="ADU137">
        <v>28</v>
      </c>
      <c r="ADV137">
        <v>28</v>
      </c>
      <c r="ADW137">
        <v>28</v>
      </c>
      <c r="ADX137">
        <v>28</v>
      </c>
      <c r="ADY137">
        <v>28</v>
      </c>
      <c r="ADZ137">
        <v>28</v>
      </c>
      <c r="AEA137">
        <v>28</v>
      </c>
      <c r="AEB137">
        <v>28</v>
      </c>
      <c r="AEC137">
        <v>28</v>
      </c>
      <c r="AED137">
        <v>28</v>
      </c>
      <c r="AEE137">
        <v>28</v>
      </c>
      <c r="AEF137">
        <v>28</v>
      </c>
      <c r="AEG137">
        <v>28</v>
      </c>
      <c r="AEH137">
        <v>28</v>
      </c>
      <c r="AEI137">
        <v>28</v>
      </c>
      <c r="AEJ137">
        <v>28</v>
      </c>
      <c r="AEK137">
        <v>28</v>
      </c>
      <c r="AEL137">
        <v>28</v>
      </c>
      <c r="AEM137">
        <v>28</v>
      </c>
      <c r="AEN137">
        <v>28</v>
      </c>
      <c r="AEO137">
        <v>28</v>
      </c>
      <c r="AEP137">
        <v>28</v>
      </c>
      <c r="AEQ137">
        <v>28</v>
      </c>
      <c r="AER137">
        <v>28</v>
      </c>
      <c r="AES137">
        <v>28</v>
      </c>
      <c r="AET137">
        <v>28</v>
      </c>
      <c r="AEU137">
        <v>28</v>
      </c>
      <c r="AEV137">
        <v>28</v>
      </c>
      <c r="AEW137">
        <v>28</v>
      </c>
      <c r="AEX137">
        <v>28</v>
      </c>
      <c r="AEY137">
        <v>28</v>
      </c>
      <c r="AEZ137">
        <v>28</v>
      </c>
      <c r="AFA137">
        <v>28</v>
      </c>
      <c r="AFB137">
        <v>28</v>
      </c>
      <c r="AFC137">
        <v>28</v>
      </c>
      <c r="AFD137">
        <v>28</v>
      </c>
      <c r="AFE137">
        <v>28</v>
      </c>
      <c r="AFF137">
        <v>28</v>
      </c>
      <c r="AFG137">
        <v>28</v>
      </c>
      <c r="AFH137">
        <v>28</v>
      </c>
      <c r="AFI137">
        <v>28</v>
      </c>
      <c r="AFJ137">
        <v>28</v>
      </c>
      <c r="AFK137">
        <v>28</v>
      </c>
      <c r="AFL137">
        <v>28</v>
      </c>
      <c r="AFM137">
        <v>28</v>
      </c>
      <c r="AFN137">
        <v>28</v>
      </c>
      <c r="AFO137">
        <v>28</v>
      </c>
      <c r="AFP137">
        <v>28</v>
      </c>
      <c r="AFQ137">
        <v>28</v>
      </c>
      <c r="AFR137">
        <v>28</v>
      </c>
      <c r="AFS137">
        <v>28</v>
      </c>
      <c r="AFT137">
        <v>28</v>
      </c>
      <c r="AFU137">
        <v>28</v>
      </c>
      <c r="AFV137">
        <v>28</v>
      </c>
      <c r="AFW137">
        <v>28</v>
      </c>
      <c r="AFX137">
        <v>28</v>
      </c>
      <c r="AFY137">
        <v>28</v>
      </c>
      <c r="AFZ137">
        <v>28</v>
      </c>
      <c r="AGA137">
        <v>28</v>
      </c>
      <c r="AGB137">
        <v>28</v>
      </c>
      <c r="AGC137">
        <v>28</v>
      </c>
      <c r="AGD137">
        <v>28</v>
      </c>
      <c r="AGE137">
        <v>28</v>
      </c>
      <c r="AGF137">
        <v>28</v>
      </c>
      <c r="AGG137">
        <v>28</v>
      </c>
      <c r="AGH137">
        <v>28</v>
      </c>
      <c r="AGI137">
        <v>28</v>
      </c>
      <c r="AGJ137">
        <v>28</v>
      </c>
      <c r="AGK137">
        <v>28</v>
      </c>
      <c r="AGL137">
        <v>28</v>
      </c>
      <c r="AGM137">
        <v>28</v>
      </c>
      <c r="AGN137">
        <v>28</v>
      </c>
      <c r="AGO137">
        <v>28</v>
      </c>
      <c r="AGP137">
        <v>28</v>
      </c>
      <c r="AGQ137">
        <v>28</v>
      </c>
      <c r="AGR137">
        <v>28</v>
      </c>
      <c r="AGS137">
        <v>28</v>
      </c>
      <c r="AGT137">
        <v>28</v>
      </c>
      <c r="AGU137">
        <v>28</v>
      </c>
      <c r="AGV137">
        <v>28</v>
      </c>
      <c r="AGW137">
        <v>28</v>
      </c>
      <c r="AGX137">
        <v>28</v>
      </c>
      <c r="AGY137">
        <v>28</v>
      </c>
      <c r="AGZ137">
        <v>28</v>
      </c>
      <c r="AHA137">
        <v>28</v>
      </c>
      <c r="AHB137">
        <v>28</v>
      </c>
      <c r="AHC137">
        <v>28</v>
      </c>
      <c r="AHD137">
        <v>28</v>
      </c>
      <c r="AHE137">
        <v>28</v>
      </c>
      <c r="AHF137">
        <v>28</v>
      </c>
      <c r="AHG137">
        <v>28</v>
      </c>
      <c r="AHH137">
        <v>28</v>
      </c>
      <c r="AHI137">
        <v>28</v>
      </c>
      <c r="AHJ137">
        <v>28</v>
      </c>
      <c r="AHK137">
        <v>28</v>
      </c>
      <c r="AHL137">
        <v>28</v>
      </c>
      <c r="AHM137">
        <v>28</v>
      </c>
      <c r="AHN137">
        <v>28</v>
      </c>
      <c r="AHO137">
        <v>28</v>
      </c>
      <c r="AHP137">
        <v>28</v>
      </c>
      <c r="AHQ137">
        <v>28</v>
      </c>
      <c r="AHR137">
        <v>28</v>
      </c>
      <c r="AHS137">
        <v>28</v>
      </c>
      <c r="AHT137">
        <v>28</v>
      </c>
      <c r="AHU137">
        <v>28</v>
      </c>
      <c r="AHV137">
        <v>28</v>
      </c>
      <c r="AHW137">
        <v>28</v>
      </c>
      <c r="AHX137">
        <v>28</v>
      </c>
      <c r="AHY137">
        <v>28</v>
      </c>
      <c r="AHZ137">
        <v>28</v>
      </c>
      <c r="AIA137">
        <v>28</v>
      </c>
      <c r="AIB137">
        <v>28</v>
      </c>
      <c r="AIC137">
        <v>28</v>
      </c>
      <c r="AID137">
        <v>28</v>
      </c>
      <c r="AIE137">
        <v>28</v>
      </c>
      <c r="AIF137">
        <v>28</v>
      </c>
      <c r="AIG137">
        <v>28</v>
      </c>
      <c r="AIH137">
        <v>28</v>
      </c>
      <c r="AII137">
        <v>28</v>
      </c>
      <c r="AIJ137">
        <v>28</v>
      </c>
      <c r="AIK137">
        <v>28</v>
      </c>
      <c r="AIL137">
        <v>28</v>
      </c>
      <c r="AIM137">
        <v>28</v>
      </c>
      <c r="AIN137">
        <v>28</v>
      </c>
      <c r="AIO137">
        <v>28</v>
      </c>
      <c r="AIP137">
        <v>28</v>
      </c>
      <c r="AIQ137">
        <v>28</v>
      </c>
      <c r="AIR137">
        <v>28</v>
      </c>
      <c r="AIS137">
        <v>28</v>
      </c>
      <c r="AIT137">
        <v>28</v>
      </c>
      <c r="AIU137">
        <v>28</v>
      </c>
      <c r="AIV137">
        <v>28</v>
      </c>
      <c r="AIW137">
        <v>28</v>
      </c>
      <c r="AIX137">
        <v>28</v>
      </c>
      <c r="AIY137">
        <v>28</v>
      </c>
      <c r="AIZ137">
        <v>28</v>
      </c>
      <c r="AJA137">
        <v>28</v>
      </c>
      <c r="AJB137">
        <v>28</v>
      </c>
      <c r="AJC137">
        <v>28</v>
      </c>
      <c r="AJD137">
        <v>28</v>
      </c>
      <c r="AJE137">
        <v>28</v>
      </c>
      <c r="AJF137">
        <v>28</v>
      </c>
      <c r="AJG137">
        <v>28</v>
      </c>
      <c r="AJH137">
        <v>28</v>
      </c>
      <c r="AJI137">
        <v>28</v>
      </c>
      <c r="AJJ137">
        <v>28</v>
      </c>
      <c r="AJK137">
        <v>28</v>
      </c>
      <c r="AJL137">
        <v>28</v>
      </c>
      <c r="AJM137">
        <v>28</v>
      </c>
      <c r="AJN137">
        <v>28</v>
      </c>
      <c r="AJO137">
        <v>28</v>
      </c>
      <c r="AJP137">
        <v>28</v>
      </c>
      <c r="AJQ137">
        <v>28</v>
      </c>
      <c r="AJR137">
        <v>21</v>
      </c>
      <c r="AJS137">
        <v>25</v>
      </c>
      <c r="AJT137">
        <v>25</v>
      </c>
      <c r="AJU137">
        <v>25</v>
      </c>
      <c r="AJV137">
        <v>25</v>
      </c>
      <c r="AJW137">
        <v>25</v>
      </c>
      <c r="AJX137">
        <v>25</v>
      </c>
      <c r="AJY137">
        <v>25</v>
      </c>
      <c r="AJZ137">
        <v>21</v>
      </c>
      <c r="AKA137">
        <v>25</v>
      </c>
      <c r="AKB137">
        <v>25</v>
      </c>
      <c r="AKC137">
        <v>25</v>
      </c>
      <c r="AKD137">
        <v>25</v>
      </c>
      <c r="AKE137">
        <v>25</v>
      </c>
      <c r="AKF137">
        <v>25</v>
      </c>
      <c r="AKG137">
        <v>25</v>
      </c>
      <c r="AKH137">
        <v>28</v>
      </c>
      <c r="AKN137">
        <v>28</v>
      </c>
      <c r="AKO137">
        <v>28</v>
      </c>
      <c r="AKP137">
        <v>28</v>
      </c>
      <c r="AKQ137">
        <v>28</v>
      </c>
      <c r="AKR137">
        <v>28</v>
      </c>
      <c r="AKS137">
        <v>28</v>
      </c>
      <c r="AKT137">
        <v>28</v>
      </c>
      <c r="AKU137">
        <v>28</v>
      </c>
      <c r="AKV137">
        <v>28</v>
      </c>
      <c r="AKW137">
        <v>28</v>
      </c>
    </row>
    <row r="138" spans="1:985" ht="14.4" customHeight="1" x14ac:dyDescent="0.55000000000000004">
      <c r="A138" t="s">
        <v>458</v>
      </c>
      <c r="B138">
        <v>365</v>
      </c>
      <c r="C138" s="1" t="s">
        <v>763</v>
      </c>
      <c r="CA138">
        <v>365</v>
      </c>
      <c r="CB138">
        <v>365</v>
      </c>
      <c r="CC138">
        <v>365</v>
      </c>
      <c r="CD138">
        <v>365</v>
      </c>
      <c r="CE138">
        <v>365</v>
      </c>
      <c r="CF138">
        <v>365</v>
      </c>
      <c r="CG138">
        <v>365</v>
      </c>
      <c r="CH138">
        <v>365</v>
      </c>
      <c r="CI138">
        <v>365</v>
      </c>
      <c r="CJ138">
        <v>365</v>
      </c>
      <c r="CK138">
        <v>365</v>
      </c>
      <c r="CL138">
        <v>365</v>
      </c>
      <c r="CM138">
        <v>365</v>
      </c>
      <c r="CN138">
        <v>365</v>
      </c>
      <c r="CO138">
        <v>365</v>
      </c>
      <c r="CP138">
        <v>365</v>
      </c>
      <c r="CQ138">
        <v>365</v>
      </c>
      <c r="CR138">
        <v>365</v>
      </c>
      <c r="CS138">
        <v>365</v>
      </c>
      <c r="CT138">
        <v>365</v>
      </c>
      <c r="CU138">
        <v>365</v>
      </c>
      <c r="CV138">
        <v>365</v>
      </c>
      <c r="CW138">
        <v>365</v>
      </c>
      <c r="CX138">
        <v>365</v>
      </c>
      <c r="CY138">
        <v>365</v>
      </c>
      <c r="CZ138">
        <v>365</v>
      </c>
      <c r="DA138">
        <v>365</v>
      </c>
      <c r="DB138">
        <v>365</v>
      </c>
      <c r="DC138">
        <v>365</v>
      </c>
      <c r="DD138">
        <v>365</v>
      </c>
      <c r="DE138">
        <v>365</v>
      </c>
      <c r="DF138">
        <v>365</v>
      </c>
      <c r="DG138">
        <v>365</v>
      </c>
      <c r="DH138">
        <v>365</v>
      </c>
      <c r="DI138">
        <v>365</v>
      </c>
      <c r="DJ138">
        <v>365</v>
      </c>
      <c r="DK138">
        <v>365</v>
      </c>
      <c r="DL138">
        <v>365</v>
      </c>
      <c r="DM138">
        <v>365</v>
      </c>
      <c r="DN138">
        <v>365</v>
      </c>
      <c r="DO138">
        <v>365</v>
      </c>
      <c r="DP138">
        <v>365</v>
      </c>
      <c r="DQ138">
        <v>365</v>
      </c>
      <c r="DR138">
        <v>365</v>
      </c>
      <c r="DS138">
        <v>365</v>
      </c>
      <c r="DT138">
        <v>365</v>
      </c>
      <c r="DU138">
        <v>365</v>
      </c>
      <c r="DV138">
        <v>365</v>
      </c>
      <c r="DW138">
        <v>365</v>
      </c>
      <c r="DX138">
        <v>365</v>
      </c>
      <c r="DY138">
        <v>365</v>
      </c>
      <c r="DZ138">
        <v>365</v>
      </c>
      <c r="EA138">
        <v>365</v>
      </c>
      <c r="EB138">
        <v>365</v>
      </c>
      <c r="EC138">
        <v>365</v>
      </c>
      <c r="ED138">
        <v>365</v>
      </c>
      <c r="EE138">
        <v>365</v>
      </c>
      <c r="EF138">
        <v>365</v>
      </c>
      <c r="EG138">
        <v>365</v>
      </c>
      <c r="EH138">
        <v>365</v>
      </c>
      <c r="EI138">
        <v>365</v>
      </c>
      <c r="EJ138">
        <v>365</v>
      </c>
      <c r="EK138">
        <v>365</v>
      </c>
      <c r="EL138">
        <v>365</v>
      </c>
      <c r="EM138">
        <v>365</v>
      </c>
      <c r="EN138">
        <v>365</v>
      </c>
      <c r="EO138">
        <v>365</v>
      </c>
      <c r="EP138">
        <v>365</v>
      </c>
      <c r="EQ138">
        <v>365</v>
      </c>
      <c r="ER138">
        <v>365</v>
      </c>
      <c r="ES138">
        <v>365</v>
      </c>
      <c r="ET138">
        <v>365</v>
      </c>
      <c r="EU138">
        <v>365</v>
      </c>
      <c r="EV138">
        <v>365</v>
      </c>
      <c r="EW138">
        <v>365</v>
      </c>
      <c r="EX138">
        <v>365</v>
      </c>
      <c r="EY138">
        <v>365</v>
      </c>
      <c r="EZ138">
        <v>365</v>
      </c>
      <c r="FA138">
        <v>365</v>
      </c>
      <c r="FB138">
        <v>365</v>
      </c>
      <c r="FC138">
        <v>365</v>
      </c>
      <c r="FD138">
        <v>365</v>
      </c>
      <c r="FE138">
        <v>365</v>
      </c>
      <c r="FF138">
        <v>365</v>
      </c>
      <c r="FG138">
        <v>365</v>
      </c>
      <c r="FH138">
        <v>365</v>
      </c>
      <c r="FI138">
        <v>365</v>
      </c>
      <c r="FJ138">
        <v>365</v>
      </c>
      <c r="FK138">
        <v>365</v>
      </c>
      <c r="FL138">
        <v>365</v>
      </c>
      <c r="FM138">
        <v>365</v>
      </c>
      <c r="FN138">
        <v>365</v>
      </c>
      <c r="FO138">
        <v>365</v>
      </c>
      <c r="FP138">
        <v>365</v>
      </c>
      <c r="FQ138">
        <v>365</v>
      </c>
      <c r="FR138">
        <v>365</v>
      </c>
      <c r="FS138">
        <v>365</v>
      </c>
      <c r="FT138">
        <v>365</v>
      </c>
      <c r="FU138">
        <v>365</v>
      </c>
      <c r="FV138">
        <v>365</v>
      </c>
      <c r="FW138">
        <v>365</v>
      </c>
      <c r="FX138">
        <v>365</v>
      </c>
      <c r="FY138">
        <v>365</v>
      </c>
      <c r="FZ138">
        <v>365</v>
      </c>
      <c r="GA138">
        <v>365</v>
      </c>
      <c r="GB138">
        <v>365</v>
      </c>
      <c r="GC138">
        <v>365</v>
      </c>
      <c r="GD138">
        <v>365</v>
      </c>
      <c r="GE138">
        <v>365</v>
      </c>
      <c r="GF138">
        <v>365</v>
      </c>
      <c r="GG138">
        <v>365</v>
      </c>
      <c r="GH138">
        <v>365</v>
      </c>
      <c r="GI138">
        <v>365</v>
      </c>
      <c r="GJ138">
        <v>365</v>
      </c>
      <c r="GK138">
        <v>365</v>
      </c>
      <c r="GL138">
        <v>365</v>
      </c>
      <c r="GM138">
        <v>365</v>
      </c>
      <c r="GN138">
        <v>365</v>
      </c>
      <c r="GO138">
        <v>365</v>
      </c>
      <c r="GP138">
        <v>365</v>
      </c>
      <c r="GQ138">
        <v>365</v>
      </c>
      <c r="GR138">
        <v>365</v>
      </c>
      <c r="GS138">
        <v>365</v>
      </c>
      <c r="GT138">
        <v>365</v>
      </c>
      <c r="GU138">
        <v>365</v>
      </c>
      <c r="GV138">
        <v>365</v>
      </c>
      <c r="GW138">
        <v>365</v>
      </c>
      <c r="GX138">
        <v>365</v>
      </c>
      <c r="GY138">
        <v>365</v>
      </c>
      <c r="GZ138">
        <v>365</v>
      </c>
      <c r="HA138">
        <v>365</v>
      </c>
      <c r="HB138">
        <v>365</v>
      </c>
      <c r="HC138">
        <v>365</v>
      </c>
      <c r="HD138">
        <v>365</v>
      </c>
      <c r="HE138">
        <v>365</v>
      </c>
      <c r="HF138">
        <v>365</v>
      </c>
      <c r="HG138">
        <v>365</v>
      </c>
      <c r="HH138">
        <v>365</v>
      </c>
      <c r="HI138">
        <v>365</v>
      </c>
      <c r="HJ138">
        <v>365</v>
      </c>
      <c r="HK138">
        <v>365</v>
      </c>
      <c r="HL138">
        <v>365</v>
      </c>
      <c r="HM138">
        <v>365</v>
      </c>
      <c r="HN138">
        <v>365</v>
      </c>
      <c r="HO138">
        <v>365</v>
      </c>
      <c r="HP138">
        <v>365</v>
      </c>
      <c r="HQ138">
        <v>365</v>
      </c>
      <c r="HR138">
        <v>365</v>
      </c>
      <c r="HS138">
        <v>365</v>
      </c>
      <c r="HT138">
        <v>365</v>
      </c>
      <c r="HU138">
        <v>365</v>
      </c>
      <c r="HV138">
        <v>365</v>
      </c>
      <c r="HW138">
        <v>365</v>
      </c>
      <c r="HX138">
        <v>365</v>
      </c>
      <c r="HY138">
        <v>365</v>
      </c>
      <c r="HZ138">
        <v>365</v>
      </c>
      <c r="IA138">
        <v>365</v>
      </c>
      <c r="IB138">
        <v>365</v>
      </c>
      <c r="IC138">
        <v>365</v>
      </c>
      <c r="ID138">
        <v>365</v>
      </c>
      <c r="IE138">
        <v>365</v>
      </c>
      <c r="IF138">
        <v>365</v>
      </c>
      <c r="IG138">
        <v>365</v>
      </c>
      <c r="IH138">
        <v>365</v>
      </c>
      <c r="II138">
        <v>365</v>
      </c>
      <c r="IJ138">
        <v>365</v>
      </c>
      <c r="IK138">
        <v>365</v>
      </c>
      <c r="IL138">
        <v>365</v>
      </c>
      <c r="IM138">
        <v>365</v>
      </c>
      <c r="IN138">
        <v>365</v>
      </c>
      <c r="IO138">
        <v>365</v>
      </c>
      <c r="IP138">
        <v>365</v>
      </c>
      <c r="IQ138">
        <v>365</v>
      </c>
      <c r="IR138">
        <v>365</v>
      </c>
      <c r="IS138">
        <v>365</v>
      </c>
      <c r="IT138">
        <v>365</v>
      </c>
      <c r="IU138">
        <v>365</v>
      </c>
      <c r="IV138">
        <v>365</v>
      </c>
      <c r="IW138">
        <v>365</v>
      </c>
      <c r="IX138">
        <v>365</v>
      </c>
      <c r="IY138">
        <v>365</v>
      </c>
      <c r="IZ138">
        <v>365</v>
      </c>
      <c r="JA138">
        <v>365</v>
      </c>
      <c r="JB138">
        <v>365</v>
      </c>
      <c r="JC138">
        <v>365</v>
      </c>
      <c r="JD138">
        <v>365</v>
      </c>
      <c r="JE138">
        <v>365</v>
      </c>
      <c r="JF138">
        <v>365</v>
      </c>
      <c r="JG138">
        <v>365</v>
      </c>
      <c r="JH138">
        <v>365</v>
      </c>
      <c r="JI138">
        <v>365</v>
      </c>
      <c r="JJ138">
        <v>365</v>
      </c>
      <c r="JK138">
        <v>365</v>
      </c>
      <c r="JL138">
        <v>365</v>
      </c>
      <c r="JM138">
        <v>365</v>
      </c>
      <c r="JN138">
        <v>365</v>
      </c>
      <c r="JO138">
        <v>365</v>
      </c>
      <c r="JP138">
        <v>365</v>
      </c>
      <c r="JQ138">
        <v>365</v>
      </c>
      <c r="JR138">
        <v>365</v>
      </c>
      <c r="JS138">
        <v>365</v>
      </c>
      <c r="JT138">
        <v>365</v>
      </c>
      <c r="JU138">
        <v>365</v>
      </c>
      <c r="JV138">
        <v>365</v>
      </c>
      <c r="JW138">
        <v>365</v>
      </c>
      <c r="JX138">
        <v>365</v>
      </c>
      <c r="JY138">
        <v>365</v>
      </c>
      <c r="JZ138">
        <v>365</v>
      </c>
      <c r="KA138">
        <v>365</v>
      </c>
      <c r="KB138">
        <v>365</v>
      </c>
      <c r="KC138">
        <v>365</v>
      </c>
      <c r="KD138">
        <v>365</v>
      </c>
      <c r="KE138">
        <v>365</v>
      </c>
      <c r="KF138">
        <v>365</v>
      </c>
      <c r="KG138">
        <v>365</v>
      </c>
      <c r="KH138">
        <v>365</v>
      </c>
      <c r="KI138">
        <v>365</v>
      </c>
      <c r="KJ138">
        <v>365</v>
      </c>
      <c r="KK138">
        <v>365</v>
      </c>
      <c r="KL138">
        <v>365</v>
      </c>
      <c r="KM138">
        <v>365</v>
      </c>
      <c r="KN138">
        <v>365</v>
      </c>
      <c r="KO138">
        <v>365</v>
      </c>
      <c r="KP138">
        <v>365</v>
      </c>
      <c r="KQ138">
        <v>365</v>
      </c>
      <c r="KR138">
        <v>365</v>
      </c>
      <c r="KS138">
        <v>365</v>
      </c>
      <c r="KT138">
        <v>365</v>
      </c>
      <c r="KU138">
        <v>365</v>
      </c>
      <c r="KV138">
        <v>365</v>
      </c>
      <c r="KW138">
        <v>365</v>
      </c>
      <c r="KX138">
        <v>365</v>
      </c>
      <c r="KY138">
        <v>365</v>
      </c>
      <c r="KZ138">
        <v>365</v>
      </c>
      <c r="LA138">
        <v>365</v>
      </c>
      <c r="LB138">
        <v>365</v>
      </c>
      <c r="LC138">
        <v>365</v>
      </c>
      <c r="LD138">
        <v>365</v>
      </c>
      <c r="LE138">
        <v>365</v>
      </c>
      <c r="LF138">
        <v>365</v>
      </c>
      <c r="LG138">
        <v>365</v>
      </c>
      <c r="LH138">
        <v>365</v>
      </c>
      <c r="LI138">
        <v>365</v>
      </c>
      <c r="LJ138">
        <v>365</v>
      </c>
      <c r="LK138">
        <v>365</v>
      </c>
      <c r="LL138">
        <v>365</v>
      </c>
      <c r="LM138">
        <v>365</v>
      </c>
      <c r="LN138">
        <v>365</v>
      </c>
      <c r="LO138">
        <v>365</v>
      </c>
      <c r="LP138">
        <v>365</v>
      </c>
      <c r="LQ138">
        <v>365</v>
      </c>
      <c r="LR138">
        <v>365</v>
      </c>
      <c r="LS138">
        <v>365</v>
      </c>
      <c r="LT138">
        <v>365</v>
      </c>
      <c r="LU138">
        <v>365</v>
      </c>
      <c r="LV138">
        <v>365</v>
      </c>
      <c r="LW138">
        <v>365</v>
      </c>
      <c r="LX138">
        <v>365</v>
      </c>
      <c r="LY138">
        <v>365</v>
      </c>
      <c r="LZ138">
        <v>365</v>
      </c>
      <c r="MA138">
        <v>365</v>
      </c>
      <c r="MB138">
        <v>365</v>
      </c>
      <c r="MC138">
        <v>365</v>
      </c>
      <c r="MD138">
        <v>365</v>
      </c>
      <c r="ME138">
        <v>365</v>
      </c>
      <c r="MF138">
        <v>365</v>
      </c>
      <c r="MG138">
        <v>366</v>
      </c>
      <c r="MH138">
        <v>366</v>
      </c>
      <c r="MI138">
        <v>366</v>
      </c>
      <c r="MJ138">
        <v>366</v>
      </c>
      <c r="MK138">
        <v>366</v>
      </c>
      <c r="ML138">
        <v>366</v>
      </c>
      <c r="MM138">
        <v>366</v>
      </c>
      <c r="MN138">
        <v>366</v>
      </c>
      <c r="MO138">
        <v>366</v>
      </c>
      <c r="MP138">
        <v>366</v>
      </c>
      <c r="MQ138">
        <v>366</v>
      </c>
      <c r="MR138">
        <v>366</v>
      </c>
      <c r="MS138">
        <v>366</v>
      </c>
      <c r="MT138">
        <v>366</v>
      </c>
      <c r="MU138">
        <v>366</v>
      </c>
      <c r="MV138">
        <v>366</v>
      </c>
      <c r="MW138">
        <v>366</v>
      </c>
      <c r="MX138">
        <v>366</v>
      </c>
      <c r="MY138">
        <v>366</v>
      </c>
      <c r="MZ138">
        <v>366</v>
      </c>
      <c r="NA138">
        <v>366</v>
      </c>
      <c r="NB138">
        <v>366</v>
      </c>
      <c r="NC138">
        <v>366</v>
      </c>
      <c r="ND138">
        <v>366</v>
      </c>
      <c r="NE138">
        <v>366</v>
      </c>
      <c r="NF138">
        <v>366</v>
      </c>
      <c r="NG138">
        <v>366</v>
      </c>
      <c r="NH138">
        <v>366</v>
      </c>
      <c r="NI138">
        <v>366</v>
      </c>
      <c r="NJ138">
        <v>366</v>
      </c>
      <c r="NK138">
        <v>366</v>
      </c>
      <c r="NL138">
        <v>366</v>
      </c>
      <c r="NM138">
        <v>366</v>
      </c>
      <c r="NN138">
        <v>366</v>
      </c>
      <c r="NO138">
        <v>366</v>
      </c>
      <c r="NP138">
        <v>366</v>
      </c>
      <c r="NQ138">
        <v>366</v>
      </c>
      <c r="NR138">
        <v>366</v>
      </c>
      <c r="NS138">
        <v>366</v>
      </c>
      <c r="NT138">
        <v>366</v>
      </c>
      <c r="NU138">
        <v>366</v>
      </c>
      <c r="NV138">
        <v>366</v>
      </c>
      <c r="NW138">
        <v>366</v>
      </c>
      <c r="NX138">
        <v>366</v>
      </c>
      <c r="NY138">
        <v>366</v>
      </c>
      <c r="NZ138">
        <v>366</v>
      </c>
      <c r="OA138">
        <v>366</v>
      </c>
      <c r="OB138">
        <v>366</v>
      </c>
      <c r="OC138">
        <v>366</v>
      </c>
      <c r="OD138">
        <v>366</v>
      </c>
      <c r="OE138">
        <v>366</v>
      </c>
      <c r="OF138">
        <v>366</v>
      </c>
      <c r="OG138">
        <v>366</v>
      </c>
      <c r="OH138">
        <v>366</v>
      </c>
      <c r="OI138">
        <v>366</v>
      </c>
      <c r="OJ138">
        <v>366</v>
      </c>
      <c r="OK138">
        <v>366</v>
      </c>
      <c r="OL138">
        <v>366</v>
      </c>
      <c r="OM138">
        <v>366</v>
      </c>
      <c r="ON138">
        <v>366</v>
      </c>
      <c r="OO138">
        <v>366</v>
      </c>
      <c r="OP138">
        <v>366</v>
      </c>
      <c r="OQ138">
        <v>366</v>
      </c>
      <c r="OR138">
        <v>366</v>
      </c>
      <c r="OS138">
        <v>366</v>
      </c>
      <c r="OT138">
        <v>366</v>
      </c>
      <c r="OU138">
        <v>366</v>
      </c>
      <c r="OV138">
        <v>366</v>
      </c>
      <c r="OW138">
        <v>366</v>
      </c>
      <c r="OX138">
        <v>366</v>
      </c>
      <c r="OY138">
        <v>366</v>
      </c>
      <c r="OZ138">
        <v>366</v>
      </c>
      <c r="PA138">
        <v>366</v>
      </c>
      <c r="PB138">
        <v>366</v>
      </c>
      <c r="PC138">
        <v>366</v>
      </c>
      <c r="PD138">
        <v>366</v>
      </c>
      <c r="PE138">
        <v>366</v>
      </c>
      <c r="PF138">
        <v>366</v>
      </c>
      <c r="PG138">
        <v>366</v>
      </c>
      <c r="PH138">
        <v>366</v>
      </c>
      <c r="PI138">
        <v>366</v>
      </c>
      <c r="PJ138">
        <v>366</v>
      </c>
      <c r="PK138">
        <v>366</v>
      </c>
      <c r="PL138">
        <v>366</v>
      </c>
      <c r="PM138">
        <v>366</v>
      </c>
      <c r="PN138">
        <v>366</v>
      </c>
      <c r="PO138">
        <v>366</v>
      </c>
      <c r="PP138">
        <v>366</v>
      </c>
      <c r="PQ138">
        <v>366</v>
      </c>
      <c r="PR138">
        <v>366</v>
      </c>
      <c r="PS138">
        <v>366</v>
      </c>
      <c r="PT138">
        <v>366</v>
      </c>
      <c r="PU138">
        <v>366</v>
      </c>
      <c r="PV138">
        <v>366</v>
      </c>
      <c r="PW138">
        <v>366</v>
      </c>
      <c r="PX138">
        <v>366</v>
      </c>
      <c r="PY138">
        <v>366</v>
      </c>
      <c r="PZ138">
        <v>366</v>
      </c>
      <c r="QA138">
        <v>366</v>
      </c>
      <c r="QB138">
        <v>366</v>
      </c>
      <c r="QC138">
        <v>366</v>
      </c>
      <c r="QD138">
        <v>366</v>
      </c>
      <c r="QE138">
        <v>366</v>
      </c>
      <c r="QF138">
        <v>366</v>
      </c>
      <c r="QG138">
        <v>366</v>
      </c>
      <c r="QH138">
        <v>366</v>
      </c>
      <c r="QI138">
        <v>366</v>
      </c>
      <c r="QJ138">
        <v>366</v>
      </c>
      <c r="QK138">
        <v>366</v>
      </c>
      <c r="QL138">
        <v>366</v>
      </c>
      <c r="QM138">
        <v>366</v>
      </c>
      <c r="QN138">
        <v>366</v>
      </c>
      <c r="QO138">
        <v>366</v>
      </c>
      <c r="QP138">
        <v>366</v>
      </c>
      <c r="QQ138">
        <v>366</v>
      </c>
      <c r="QR138">
        <v>366</v>
      </c>
      <c r="QS138">
        <v>366</v>
      </c>
      <c r="QT138">
        <v>366</v>
      </c>
      <c r="QU138">
        <v>366</v>
      </c>
      <c r="QV138">
        <v>366</v>
      </c>
      <c r="QW138">
        <v>366</v>
      </c>
      <c r="QX138">
        <v>366</v>
      </c>
      <c r="QY138">
        <v>366</v>
      </c>
      <c r="QZ138">
        <v>366</v>
      </c>
      <c r="RA138">
        <v>366</v>
      </c>
      <c r="RB138">
        <v>366</v>
      </c>
      <c r="RC138">
        <v>366</v>
      </c>
      <c r="RD138">
        <v>366</v>
      </c>
      <c r="RE138">
        <v>366</v>
      </c>
      <c r="RF138">
        <v>366</v>
      </c>
      <c r="RG138">
        <v>366</v>
      </c>
      <c r="RH138">
        <v>366</v>
      </c>
      <c r="RI138">
        <v>366</v>
      </c>
      <c r="RJ138">
        <v>366</v>
      </c>
      <c r="RK138">
        <v>366</v>
      </c>
      <c r="RL138">
        <v>366</v>
      </c>
      <c r="RM138">
        <v>366</v>
      </c>
      <c r="RN138">
        <v>366</v>
      </c>
      <c r="RO138">
        <v>366</v>
      </c>
      <c r="RP138">
        <v>366</v>
      </c>
      <c r="RQ138">
        <v>366</v>
      </c>
      <c r="RR138">
        <v>366</v>
      </c>
      <c r="RS138">
        <v>366</v>
      </c>
      <c r="RT138">
        <v>366</v>
      </c>
      <c r="RU138">
        <v>366</v>
      </c>
      <c r="RV138">
        <v>366</v>
      </c>
      <c r="RW138">
        <v>366</v>
      </c>
      <c r="RX138">
        <v>366</v>
      </c>
      <c r="RY138">
        <v>366</v>
      </c>
      <c r="RZ138">
        <v>366</v>
      </c>
      <c r="SA138">
        <v>366</v>
      </c>
      <c r="SB138">
        <v>366</v>
      </c>
      <c r="SC138">
        <v>366</v>
      </c>
      <c r="SD138">
        <v>366</v>
      </c>
      <c r="SE138">
        <v>366</v>
      </c>
      <c r="SF138">
        <v>366</v>
      </c>
      <c r="SG138">
        <v>366</v>
      </c>
      <c r="SH138">
        <v>366</v>
      </c>
      <c r="SI138">
        <v>366</v>
      </c>
      <c r="SJ138">
        <v>366</v>
      </c>
      <c r="SK138">
        <v>366</v>
      </c>
      <c r="SL138">
        <v>366</v>
      </c>
      <c r="SM138">
        <v>366</v>
      </c>
      <c r="SN138">
        <v>366</v>
      </c>
      <c r="SO138">
        <v>366</v>
      </c>
      <c r="SP138">
        <v>366</v>
      </c>
      <c r="SQ138">
        <v>366</v>
      </c>
      <c r="SR138">
        <v>366</v>
      </c>
      <c r="SS138">
        <v>366</v>
      </c>
      <c r="ST138">
        <v>366</v>
      </c>
      <c r="SU138">
        <v>366</v>
      </c>
      <c r="SV138">
        <v>366</v>
      </c>
      <c r="SW138">
        <v>366</v>
      </c>
      <c r="SX138">
        <v>366</v>
      </c>
      <c r="SY138">
        <v>365</v>
      </c>
      <c r="SZ138">
        <v>365</v>
      </c>
      <c r="TA138">
        <v>365</v>
      </c>
      <c r="TB138">
        <v>365</v>
      </c>
      <c r="TC138">
        <v>365</v>
      </c>
      <c r="TD138">
        <v>365</v>
      </c>
      <c r="TE138">
        <v>365</v>
      </c>
      <c r="TF138">
        <v>365</v>
      </c>
      <c r="TG138">
        <v>365</v>
      </c>
      <c r="TH138">
        <v>365</v>
      </c>
      <c r="TI138">
        <v>365</v>
      </c>
      <c r="TJ138">
        <v>365</v>
      </c>
      <c r="TK138">
        <v>365</v>
      </c>
      <c r="TL138">
        <v>365</v>
      </c>
      <c r="TM138">
        <v>365</v>
      </c>
      <c r="TN138">
        <v>365</v>
      </c>
      <c r="TO138">
        <v>365</v>
      </c>
      <c r="TP138">
        <v>365</v>
      </c>
      <c r="TQ138">
        <v>365</v>
      </c>
      <c r="TR138">
        <v>365</v>
      </c>
      <c r="TS138">
        <v>365</v>
      </c>
      <c r="TT138">
        <v>365</v>
      </c>
      <c r="TU138">
        <v>365</v>
      </c>
      <c r="TV138">
        <v>365</v>
      </c>
      <c r="TW138">
        <v>365</v>
      </c>
      <c r="TX138">
        <v>365</v>
      </c>
      <c r="TY138">
        <v>365</v>
      </c>
      <c r="TZ138">
        <v>365</v>
      </c>
      <c r="UA138">
        <v>365</v>
      </c>
      <c r="UB138">
        <v>365</v>
      </c>
      <c r="UC138">
        <v>365</v>
      </c>
      <c r="UD138">
        <v>365</v>
      </c>
      <c r="UE138">
        <v>365</v>
      </c>
      <c r="UF138">
        <v>365</v>
      </c>
      <c r="UG138">
        <v>365</v>
      </c>
      <c r="UH138">
        <v>365</v>
      </c>
      <c r="UI138">
        <v>365</v>
      </c>
      <c r="UJ138">
        <v>365</v>
      </c>
      <c r="UK138">
        <v>365</v>
      </c>
      <c r="UL138">
        <v>365</v>
      </c>
      <c r="UM138">
        <v>365</v>
      </c>
      <c r="UN138">
        <v>365</v>
      </c>
      <c r="UO138">
        <v>365</v>
      </c>
      <c r="UP138">
        <v>365</v>
      </c>
      <c r="UQ138">
        <v>365</v>
      </c>
      <c r="UR138">
        <v>365</v>
      </c>
      <c r="US138">
        <v>365</v>
      </c>
      <c r="UT138">
        <v>365</v>
      </c>
      <c r="UU138">
        <v>365</v>
      </c>
      <c r="UV138">
        <v>365</v>
      </c>
      <c r="UW138">
        <v>365</v>
      </c>
      <c r="UX138">
        <v>365</v>
      </c>
      <c r="UY138">
        <v>365</v>
      </c>
      <c r="UZ138">
        <v>365</v>
      </c>
      <c r="VA138">
        <v>365</v>
      </c>
      <c r="VB138">
        <v>365</v>
      </c>
      <c r="VC138">
        <v>365</v>
      </c>
      <c r="VD138">
        <v>365</v>
      </c>
      <c r="VE138">
        <v>365</v>
      </c>
      <c r="VF138">
        <v>365</v>
      </c>
      <c r="VG138">
        <v>365</v>
      </c>
      <c r="VH138">
        <v>365</v>
      </c>
      <c r="VI138">
        <v>365</v>
      </c>
      <c r="VJ138">
        <v>365</v>
      </c>
      <c r="VK138">
        <v>365</v>
      </c>
      <c r="VL138">
        <v>365</v>
      </c>
      <c r="VM138">
        <v>365</v>
      </c>
      <c r="VN138">
        <v>365</v>
      </c>
      <c r="VO138">
        <v>365</v>
      </c>
      <c r="VP138">
        <v>365</v>
      </c>
      <c r="VQ138">
        <v>365</v>
      </c>
      <c r="VR138">
        <v>365</v>
      </c>
      <c r="VS138">
        <v>365</v>
      </c>
      <c r="VT138">
        <v>365</v>
      </c>
      <c r="VU138">
        <v>365</v>
      </c>
      <c r="VV138">
        <v>365</v>
      </c>
      <c r="VW138">
        <v>365</v>
      </c>
      <c r="VX138">
        <v>365</v>
      </c>
      <c r="VY138">
        <v>365</v>
      </c>
      <c r="VZ138">
        <v>365</v>
      </c>
      <c r="WA138">
        <v>365</v>
      </c>
      <c r="WB138">
        <v>365</v>
      </c>
      <c r="WC138">
        <v>365</v>
      </c>
      <c r="WD138">
        <v>365</v>
      </c>
      <c r="WE138">
        <v>365</v>
      </c>
      <c r="WF138">
        <v>365</v>
      </c>
      <c r="WG138">
        <v>365</v>
      </c>
      <c r="WH138">
        <v>365</v>
      </c>
      <c r="WI138">
        <v>365</v>
      </c>
      <c r="WJ138">
        <v>365</v>
      </c>
      <c r="WK138">
        <v>365</v>
      </c>
      <c r="WL138">
        <v>365</v>
      </c>
      <c r="WM138">
        <v>365</v>
      </c>
      <c r="WN138">
        <v>365</v>
      </c>
      <c r="WO138">
        <v>365</v>
      </c>
      <c r="WP138">
        <v>365</v>
      </c>
      <c r="WQ138">
        <v>365</v>
      </c>
      <c r="WR138">
        <v>365</v>
      </c>
      <c r="WS138">
        <v>365</v>
      </c>
      <c r="WT138">
        <v>365</v>
      </c>
      <c r="WU138">
        <v>365</v>
      </c>
      <c r="WV138">
        <v>365</v>
      </c>
      <c r="WW138">
        <v>365</v>
      </c>
      <c r="WX138">
        <v>365</v>
      </c>
      <c r="WY138">
        <v>365</v>
      </c>
      <c r="WZ138">
        <v>365</v>
      </c>
      <c r="XA138">
        <v>365</v>
      </c>
      <c r="XB138">
        <v>365</v>
      </c>
      <c r="XC138">
        <v>365</v>
      </c>
      <c r="XD138">
        <v>365</v>
      </c>
      <c r="XE138">
        <v>365</v>
      </c>
      <c r="XF138">
        <v>365</v>
      </c>
      <c r="XG138">
        <v>365</v>
      </c>
      <c r="XH138">
        <v>365</v>
      </c>
      <c r="XI138">
        <v>365</v>
      </c>
      <c r="XJ138">
        <v>365</v>
      </c>
      <c r="XK138">
        <v>365</v>
      </c>
      <c r="XL138">
        <v>365</v>
      </c>
      <c r="XM138">
        <v>365</v>
      </c>
      <c r="XN138">
        <v>365</v>
      </c>
      <c r="XO138">
        <v>365</v>
      </c>
      <c r="XP138">
        <v>365</v>
      </c>
      <c r="XQ138">
        <v>365</v>
      </c>
      <c r="XR138">
        <v>365</v>
      </c>
      <c r="XS138">
        <v>365</v>
      </c>
      <c r="XT138">
        <v>365</v>
      </c>
      <c r="XU138">
        <v>365</v>
      </c>
      <c r="XV138">
        <v>365</v>
      </c>
      <c r="XW138">
        <v>365</v>
      </c>
      <c r="XX138">
        <v>365</v>
      </c>
      <c r="XY138">
        <v>365</v>
      </c>
      <c r="XZ138">
        <v>365</v>
      </c>
      <c r="YA138">
        <v>365</v>
      </c>
      <c r="YB138">
        <v>365</v>
      </c>
      <c r="YC138">
        <v>365</v>
      </c>
      <c r="YD138">
        <v>365</v>
      </c>
      <c r="YE138">
        <v>365</v>
      </c>
      <c r="YF138">
        <v>365</v>
      </c>
      <c r="YG138">
        <v>365</v>
      </c>
      <c r="YH138">
        <v>365</v>
      </c>
      <c r="YI138">
        <v>365</v>
      </c>
      <c r="YJ138">
        <v>365</v>
      </c>
      <c r="YK138">
        <v>365</v>
      </c>
      <c r="YL138">
        <v>365</v>
      </c>
      <c r="YM138">
        <v>365</v>
      </c>
      <c r="YN138">
        <v>365</v>
      </c>
      <c r="YO138">
        <v>365</v>
      </c>
      <c r="YP138">
        <v>365</v>
      </c>
      <c r="YQ138">
        <v>365</v>
      </c>
      <c r="YR138">
        <v>365</v>
      </c>
      <c r="YS138">
        <v>365</v>
      </c>
      <c r="YT138">
        <v>365</v>
      </c>
      <c r="YU138">
        <v>365</v>
      </c>
      <c r="YV138">
        <v>365</v>
      </c>
      <c r="YW138">
        <v>365</v>
      </c>
      <c r="YX138">
        <v>365</v>
      </c>
      <c r="YY138">
        <v>365</v>
      </c>
      <c r="YZ138">
        <v>365</v>
      </c>
      <c r="ZA138">
        <v>365</v>
      </c>
      <c r="ZB138">
        <v>365</v>
      </c>
      <c r="ZC138">
        <v>365</v>
      </c>
      <c r="ZD138">
        <v>365</v>
      </c>
      <c r="ZE138">
        <v>365</v>
      </c>
      <c r="ZF138">
        <v>365</v>
      </c>
      <c r="ZG138">
        <v>365</v>
      </c>
      <c r="ZH138">
        <v>365</v>
      </c>
      <c r="ZI138">
        <v>365</v>
      </c>
      <c r="ZJ138">
        <v>365</v>
      </c>
      <c r="ZK138">
        <v>365</v>
      </c>
      <c r="ZL138">
        <v>365</v>
      </c>
      <c r="ZM138">
        <v>365</v>
      </c>
      <c r="ZN138">
        <v>365</v>
      </c>
      <c r="ZO138">
        <v>365</v>
      </c>
      <c r="ZP138">
        <v>365</v>
      </c>
      <c r="ZQ138">
        <v>365</v>
      </c>
      <c r="ZR138">
        <v>365</v>
      </c>
      <c r="ZS138">
        <v>365</v>
      </c>
      <c r="ZT138">
        <v>365</v>
      </c>
      <c r="ZU138">
        <v>365</v>
      </c>
      <c r="ZV138">
        <v>365</v>
      </c>
      <c r="ZW138">
        <v>365</v>
      </c>
      <c r="ZX138">
        <v>365</v>
      </c>
      <c r="ZY138">
        <v>365</v>
      </c>
      <c r="ZZ138">
        <v>365</v>
      </c>
      <c r="AAA138">
        <v>365</v>
      </c>
      <c r="AAB138">
        <v>365</v>
      </c>
      <c r="AAC138">
        <v>365</v>
      </c>
      <c r="AAD138">
        <v>365</v>
      </c>
      <c r="AAE138">
        <v>365</v>
      </c>
      <c r="AAF138">
        <v>365</v>
      </c>
      <c r="AAG138">
        <v>365</v>
      </c>
      <c r="AAH138">
        <v>365</v>
      </c>
      <c r="AAI138">
        <v>365</v>
      </c>
      <c r="AAJ138">
        <v>365</v>
      </c>
      <c r="AAK138">
        <v>365</v>
      </c>
      <c r="AAL138">
        <v>365</v>
      </c>
      <c r="AAM138">
        <v>365</v>
      </c>
      <c r="AAN138">
        <v>365</v>
      </c>
      <c r="AAO138">
        <v>365</v>
      </c>
      <c r="AAP138">
        <v>365</v>
      </c>
      <c r="AAQ138">
        <v>365</v>
      </c>
      <c r="AAR138">
        <v>365</v>
      </c>
      <c r="AAS138">
        <v>365</v>
      </c>
      <c r="AAT138">
        <v>365</v>
      </c>
      <c r="AAU138">
        <v>365</v>
      </c>
      <c r="AAV138">
        <v>365</v>
      </c>
      <c r="AAW138">
        <v>365</v>
      </c>
      <c r="AAX138">
        <v>365</v>
      </c>
      <c r="AAY138">
        <v>365</v>
      </c>
      <c r="AAZ138">
        <v>365</v>
      </c>
      <c r="ABA138">
        <v>365</v>
      </c>
      <c r="ABB138">
        <v>365</v>
      </c>
      <c r="ABC138">
        <v>365</v>
      </c>
      <c r="ABD138">
        <v>365</v>
      </c>
      <c r="ABE138">
        <v>365</v>
      </c>
      <c r="ABF138">
        <v>365</v>
      </c>
      <c r="ABG138">
        <v>365</v>
      </c>
      <c r="ABH138">
        <v>365</v>
      </c>
      <c r="ABI138">
        <v>365</v>
      </c>
      <c r="ABJ138">
        <v>365</v>
      </c>
      <c r="ABK138">
        <v>365</v>
      </c>
      <c r="ABL138">
        <v>365</v>
      </c>
      <c r="ABM138">
        <v>365</v>
      </c>
      <c r="ABN138">
        <v>365</v>
      </c>
      <c r="ABO138">
        <v>365</v>
      </c>
      <c r="ABP138">
        <v>365</v>
      </c>
      <c r="ABQ138">
        <v>365</v>
      </c>
      <c r="ABR138">
        <v>365</v>
      </c>
      <c r="ABS138">
        <v>365</v>
      </c>
      <c r="ABT138">
        <v>365</v>
      </c>
      <c r="ABU138">
        <v>365</v>
      </c>
      <c r="ABV138">
        <v>365</v>
      </c>
      <c r="ABW138">
        <v>365</v>
      </c>
      <c r="ABX138">
        <v>365</v>
      </c>
      <c r="ABY138">
        <v>365</v>
      </c>
      <c r="ABZ138">
        <v>365</v>
      </c>
      <c r="ACA138">
        <v>365</v>
      </c>
      <c r="ACB138">
        <v>365</v>
      </c>
      <c r="ACC138">
        <v>365</v>
      </c>
      <c r="ACD138">
        <v>365</v>
      </c>
      <c r="ACE138">
        <v>365</v>
      </c>
      <c r="ACF138">
        <v>365</v>
      </c>
      <c r="ACG138">
        <v>365</v>
      </c>
      <c r="ACH138">
        <v>365</v>
      </c>
      <c r="ACI138">
        <v>365</v>
      </c>
      <c r="ACJ138">
        <v>365</v>
      </c>
      <c r="ACK138">
        <v>365</v>
      </c>
      <c r="ACL138">
        <v>365</v>
      </c>
      <c r="ACM138">
        <v>365</v>
      </c>
      <c r="ACN138">
        <v>365</v>
      </c>
      <c r="ACO138">
        <v>365</v>
      </c>
      <c r="ACP138">
        <v>365</v>
      </c>
      <c r="ACQ138">
        <v>365</v>
      </c>
      <c r="ACR138">
        <v>365</v>
      </c>
      <c r="ACS138">
        <v>365</v>
      </c>
      <c r="ACT138">
        <v>365</v>
      </c>
      <c r="ACU138">
        <v>365</v>
      </c>
      <c r="ACV138">
        <v>365</v>
      </c>
      <c r="ACW138">
        <v>365</v>
      </c>
      <c r="ACX138">
        <v>365</v>
      </c>
      <c r="ACY138">
        <v>365</v>
      </c>
      <c r="ACZ138">
        <v>365</v>
      </c>
      <c r="ADA138">
        <v>365</v>
      </c>
      <c r="ADB138">
        <v>365</v>
      </c>
      <c r="ADC138">
        <v>365</v>
      </c>
      <c r="ADD138">
        <v>365</v>
      </c>
      <c r="ADE138">
        <v>365</v>
      </c>
      <c r="ADF138">
        <v>365</v>
      </c>
      <c r="ADG138">
        <v>365</v>
      </c>
      <c r="ADH138">
        <v>365</v>
      </c>
      <c r="ADI138">
        <v>365</v>
      </c>
      <c r="ADJ138">
        <v>365</v>
      </c>
      <c r="ADK138">
        <v>365</v>
      </c>
      <c r="ADL138">
        <v>365</v>
      </c>
      <c r="ADM138">
        <v>365</v>
      </c>
      <c r="ADN138">
        <v>365</v>
      </c>
      <c r="ADO138">
        <v>365</v>
      </c>
      <c r="ADP138">
        <v>365</v>
      </c>
      <c r="ADQ138">
        <v>365</v>
      </c>
      <c r="ADR138">
        <v>365</v>
      </c>
      <c r="ADS138">
        <v>365</v>
      </c>
      <c r="ADT138">
        <v>365</v>
      </c>
      <c r="ADU138">
        <v>365</v>
      </c>
      <c r="ADV138">
        <v>365</v>
      </c>
      <c r="ADW138">
        <v>365</v>
      </c>
      <c r="ADX138">
        <v>365</v>
      </c>
      <c r="ADY138">
        <v>365</v>
      </c>
      <c r="ADZ138">
        <v>365</v>
      </c>
      <c r="AEA138">
        <v>365</v>
      </c>
      <c r="AEB138">
        <v>365</v>
      </c>
      <c r="AEC138">
        <v>365</v>
      </c>
      <c r="AED138">
        <v>365</v>
      </c>
      <c r="AEE138">
        <v>365</v>
      </c>
      <c r="AEF138">
        <v>365</v>
      </c>
      <c r="AEG138">
        <v>365</v>
      </c>
      <c r="AEH138">
        <v>365</v>
      </c>
      <c r="AEI138">
        <v>365</v>
      </c>
      <c r="AEJ138">
        <v>365</v>
      </c>
      <c r="AEK138">
        <v>365</v>
      </c>
      <c r="AEL138">
        <v>365</v>
      </c>
      <c r="AEM138">
        <v>365</v>
      </c>
      <c r="AEN138">
        <v>365</v>
      </c>
      <c r="AEO138">
        <v>365</v>
      </c>
      <c r="AEP138">
        <v>365</v>
      </c>
      <c r="AEQ138">
        <v>365</v>
      </c>
      <c r="AER138">
        <v>365</v>
      </c>
      <c r="AES138">
        <v>365</v>
      </c>
      <c r="AET138">
        <v>365</v>
      </c>
      <c r="AEU138">
        <v>365</v>
      </c>
      <c r="AEV138">
        <v>365</v>
      </c>
      <c r="AEW138">
        <v>365</v>
      </c>
      <c r="AEX138">
        <v>365</v>
      </c>
      <c r="AEY138">
        <v>365</v>
      </c>
      <c r="AEZ138">
        <v>365</v>
      </c>
      <c r="AFA138">
        <v>365</v>
      </c>
      <c r="AFB138">
        <v>365</v>
      </c>
      <c r="AFC138">
        <v>365</v>
      </c>
      <c r="AFD138">
        <v>365</v>
      </c>
      <c r="AFE138">
        <v>365</v>
      </c>
      <c r="AFF138">
        <v>365</v>
      </c>
      <c r="AFG138">
        <v>365</v>
      </c>
      <c r="AFH138">
        <v>365</v>
      </c>
      <c r="AFI138">
        <v>365</v>
      </c>
      <c r="AFJ138">
        <v>365</v>
      </c>
      <c r="AFK138">
        <v>365</v>
      </c>
      <c r="AFL138">
        <v>365</v>
      </c>
      <c r="AFM138">
        <v>365</v>
      </c>
      <c r="AFN138">
        <v>365</v>
      </c>
      <c r="AFO138">
        <v>365</v>
      </c>
      <c r="AFP138">
        <v>365</v>
      </c>
      <c r="AFQ138">
        <v>365</v>
      </c>
      <c r="AFR138">
        <v>365</v>
      </c>
      <c r="AFS138">
        <v>365</v>
      </c>
      <c r="AFT138">
        <v>365</v>
      </c>
      <c r="AFU138">
        <v>365</v>
      </c>
      <c r="AFV138">
        <v>365</v>
      </c>
      <c r="AFW138">
        <v>365</v>
      </c>
      <c r="AFX138">
        <v>365</v>
      </c>
      <c r="AFY138">
        <v>365</v>
      </c>
      <c r="AFZ138">
        <v>365</v>
      </c>
      <c r="AGA138">
        <v>365</v>
      </c>
      <c r="AGB138">
        <v>365</v>
      </c>
      <c r="AGC138">
        <v>365</v>
      </c>
      <c r="AGD138">
        <v>365</v>
      </c>
      <c r="AGE138">
        <v>365</v>
      </c>
      <c r="AGF138">
        <v>365</v>
      </c>
      <c r="AGG138">
        <v>365</v>
      </c>
      <c r="AGH138">
        <v>365</v>
      </c>
      <c r="AGI138">
        <v>365</v>
      </c>
      <c r="AGJ138">
        <v>365</v>
      </c>
      <c r="AGK138">
        <v>365</v>
      </c>
      <c r="AGL138">
        <v>365</v>
      </c>
      <c r="AGM138">
        <v>365</v>
      </c>
      <c r="AGN138">
        <v>365</v>
      </c>
      <c r="AGO138">
        <v>365</v>
      </c>
      <c r="AGP138">
        <v>365</v>
      </c>
      <c r="AGQ138">
        <v>365</v>
      </c>
      <c r="AGR138">
        <v>365</v>
      </c>
      <c r="AGS138">
        <v>365</v>
      </c>
      <c r="AGT138">
        <v>365</v>
      </c>
      <c r="AGU138">
        <v>365</v>
      </c>
      <c r="AGV138">
        <v>365</v>
      </c>
      <c r="AGW138">
        <v>365</v>
      </c>
      <c r="AGX138">
        <v>365</v>
      </c>
      <c r="AGY138">
        <v>365</v>
      </c>
      <c r="AGZ138">
        <v>365</v>
      </c>
      <c r="AHA138">
        <v>365</v>
      </c>
      <c r="AHB138">
        <v>365</v>
      </c>
      <c r="AHC138">
        <v>365</v>
      </c>
      <c r="AHD138">
        <v>365</v>
      </c>
      <c r="AHE138">
        <v>365</v>
      </c>
      <c r="AHF138">
        <v>365</v>
      </c>
      <c r="AHG138">
        <v>365</v>
      </c>
      <c r="AHH138">
        <v>365</v>
      </c>
      <c r="AHI138">
        <v>365</v>
      </c>
      <c r="AHJ138">
        <v>365</v>
      </c>
      <c r="AHK138">
        <v>365</v>
      </c>
      <c r="AHL138">
        <v>365</v>
      </c>
      <c r="AHM138">
        <v>365</v>
      </c>
      <c r="AHN138">
        <v>365</v>
      </c>
      <c r="AHO138">
        <v>365</v>
      </c>
      <c r="AHP138">
        <v>365</v>
      </c>
      <c r="AHQ138">
        <v>365</v>
      </c>
      <c r="AHR138">
        <v>365</v>
      </c>
      <c r="AHS138">
        <v>365</v>
      </c>
      <c r="AHT138">
        <v>365</v>
      </c>
      <c r="AHU138">
        <v>365</v>
      </c>
      <c r="AHV138">
        <v>365</v>
      </c>
      <c r="AHW138">
        <v>365</v>
      </c>
      <c r="AHX138">
        <v>365</v>
      </c>
      <c r="AHY138">
        <v>365</v>
      </c>
      <c r="AHZ138">
        <v>365</v>
      </c>
      <c r="AIA138">
        <v>365</v>
      </c>
      <c r="AIB138">
        <v>365</v>
      </c>
      <c r="AIC138">
        <v>365</v>
      </c>
      <c r="AID138">
        <v>365</v>
      </c>
      <c r="AIE138">
        <v>365</v>
      </c>
      <c r="AIF138">
        <v>365</v>
      </c>
      <c r="AIG138">
        <v>365</v>
      </c>
      <c r="AIH138">
        <v>365</v>
      </c>
      <c r="AII138">
        <v>365</v>
      </c>
      <c r="AIJ138">
        <v>365</v>
      </c>
      <c r="AIK138">
        <v>365</v>
      </c>
      <c r="AIL138">
        <v>365</v>
      </c>
      <c r="AIM138">
        <v>365</v>
      </c>
      <c r="AIN138">
        <v>365</v>
      </c>
      <c r="AIO138">
        <v>365</v>
      </c>
      <c r="AIP138">
        <v>365</v>
      </c>
      <c r="AIQ138">
        <v>365</v>
      </c>
      <c r="AIR138">
        <v>365</v>
      </c>
      <c r="AIS138">
        <v>365</v>
      </c>
      <c r="AIT138">
        <v>365</v>
      </c>
      <c r="AIU138">
        <v>365</v>
      </c>
      <c r="AIV138">
        <v>365</v>
      </c>
      <c r="AIW138">
        <v>365</v>
      </c>
      <c r="AIX138">
        <v>365</v>
      </c>
      <c r="AIY138">
        <v>365</v>
      </c>
      <c r="AIZ138">
        <v>365</v>
      </c>
      <c r="AJA138">
        <v>365</v>
      </c>
      <c r="AJB138">
        <v>365</v>
      </c>
      <c r="AJC138">
        <v>365</v>
      </c>
      <c r="AJD138">
        <v>365</v>
      </c>
      <c r="AJE138">
        <v>365</v>
      </c>
      <c r="AJF138">
        <v>365</v>
      </c>
      <c r="AJG138">
        <v>365</v>
      </c>
      <c r="AJH138">
        <v>365</v>
      </c>
      <c r="AJI138">
        <v>365</v>
      </c>
      <c r="AJJ138">
        <v>365</v>
      </c>
      <c r="AJK138">
        <v>365</v>
      </c>
      <c r="AJL138">
        <v>365</v>
      </c>
      <c r="AJM138">
        <v>365</v>
      </c>
      <c r="AJN138">
        <v>365</v>
      </c>
      <c r="AJO138">
        <v>365</v>
      </c>
      <c r="AJP138">
        <v>365</v>
      </c>
      <c r="AJQ138">
        <v>365</v>
      </c>
      <c r="AJR138">
        <v>365</v>
      </c>
      <c r="AJS138">
        <v>365</v>
      </c>
      <c r="AJT138">
        <v>365</v>
      </c>
      <c r="AJU138">
        <v>365</v>
      </c>
      <c r="AJV138">
        <v>365</v>
      </c>
      <c r="AJW138">
        <v>365</v>
      </c>
      <c r="AJX138">
        <v>365</v>
      </c>
      <c r="AJY138">
        <v>365</v>
      </c>
      <c r="AJZ138">
        <v>365</v>
      </c>
      <c r="AKA138">
        <v>365</v>
      </c>
      <c r="AKB138">
        <v>365</v>
      </c>
      <c r="AKC138">
        <v>365</v>
      </c>
      <c r="AKD138">
        <v>365</v>
      </c>
      <c r="AKE138">
        <v>365</v>
      </c>
      <c r="AKF138">
        <v>365</v>
      </c>
      <c r="AKG138">
        <v>365</v>
      </c>
    </row>
    <row r="139" spans="1:985" ht="14.4" customHeight="1" x14ac:dyDescent="0.55000000000000004">
      <c r="A139" t="s">
        <v>459</v>
      </c>
      <c r="B139">
        <v>1000</v>
      </c>
      <c r="C139" s="1" t="s">
        <v>764</v>
      </c>
      <c r="CA139">
        <v>1000</v>
      </c>
      <c r="CB139">
        <v>1000</v>
      </c>
      <c r="CC139">
        <v>1000</v>
      </c>
      <c r="CD139">
        <v>1000</v>
      </c>
      <c r="CE139">
        <v>1000</v>
      </c>
      <c r="CF139">
        <v>1000</v>
      </c>
      <c r="CG139">
        <v>1000</v>
      </c>
      <c r="CH139">
        <v>1000</v>
      </c>
      <c r="CI139">
        <v>1000</v>
      </c>
      <c r="CJ139">
        <v>1000</v>
      </c>
      <c r="CK139">
        <v>1000</v>
      </c>
      <c r="CL139">
        <v>1000</v>
      </c>
      <c r="CM139">
        <v>1000</v>
      </c>
      <c r="CN139">
        <v>1000</v>
      </c>
      <c r="CO139">
        <v>1000</v>
      </c>
      <c r="CP139">
        <v>1000</v>
      </c>
      <c r="CQ139">
        <v>1000</v>
      </c>
      <c r="CR139">
        <v>1000</v>
      </c>
      <c r="CS139">
        <v>1000</v>
      </c>
      <c r="CT139">
        <v>1000</v>
      </c>
      <c r="CU139">
        <v>1000</v>
      </c>
      <c r="CV139">
        <v>1000</v>
      </c>
      <c r="CW139">
        <v>1000</v>
      </c>
      <c r="CX139">
        <v>1000</v>
      </c>
      <c r="CY139">
        <v>1000</v>
      </c>
      <c r="CZ139">
        <v>1000</v>
      </c>
      <c r="DA139">
        <v>1000</v>
      </c>
      <c r="DB139">
        <v>1000</v>
      </c>
      <c r="DC139">
        <v>1000</v>
      </c>
      <c r="DD139">
        <v>1000</v>
      </c>
      <c r="DE139">
        <v>1000</v>
      </c>
      <c r="DF139">
        <v>1000</v>
      </c>
      <c r="DG139">
        <v>1000</v>
      </c>
      <c r="DH139">
        <v>1000</v>
      </c>
      <c r="DI139">
        <v>1000</v>
      </c>
      <c r="DJ139">
        <v>1000</v>
      </c>
      <c r="DK139">
        <v>1000</v>
      </c>
      <c r="DL139">
        <v>1000</v>
      </c>
      <c r="DM139">
        <v>1000</v>
      </c>
      <c r="DN139">
        <v>1000</v>
      </c>
      <c r="DO139">
        <v>1000</v>
      </c>
      <c r="DP139">
        <v>1000</v>
      </c>
      <c r="DQ139">
        <v>1000</v>
      </c>
      <c r="DR139">
        <v>1000</v>
      </c>
      <c r="DS139">
        <v>1000</v>
      </c>
      <c r="DT139">
        <v>1000</v>
      </c>
      <c r="DU139">
        <v>1000</v>
      </c>
      <c r="DV139">
        <v>1000</v>
      </c>
      <c r="DW139">
        <v>1000</v>
      </c>
      <c r="DX139">
        <v>1000</v>
      </c>
      <c r="DY139">
        <v>1000</v>
      </c>
      <c r="DZ139">
        <v>1000</v>
      </c>
      <c r="EA139">
        <v>1000</v>
      </c>
      <c r="EB139">
        <v>1000</v>
      </c>
      <c r="EC139">
        <v>1000</v>
      </c>
      <c r="ED139">
        <v>1000</v>
      </c>
      <c r="EE139">
        <v>1000</v>
      </c>
      <c r="EF139">
        <v>1000</v>
      </c>
      <c r="EG139">
        <v>1000</v>
      </c>
      <c r="EH139">
        <v>1000</v>
      </c>
      <c r="EI139">
        <v>1000</v>
      </c>
      <c r="EJ139">
        <v>1000</v>
      </c>
      <c r="EK139">
        <v>1000</v>
      </c>
      <c r="EL139">
        <v>1000</v>
      </c>
      <c r="EM139">
        <v>1000</v>
      </c>
      <c r="EN139">
        <v>1000</v>
      </c>
      <c r="EO139">
        <v>1000</v>
      </c>
      <c r="EP139">
        <v>1000</v>
      </c>
      <c r="EQ139">
        <v>1000</v>
      </c>
      <c r="ER139">
        <v>1000</v>
      </c>
      <c r="ES139">
        <v>1000</v>
      </c>
      <c r="ET139">
        <v>1000</v>
      </c>
      <c r="EU139">
        <v>1000</v>
      </c>
      <c r="EV139">
        <v>1000</v>
      </c>
      <c r="EW139">
        <v>1000</v>
      </c>
      <c r="EX139">
        <v>1000</v>
      </c>
      <c r="EY139">
        <v>1000</v>
      </c>
      <c r="EZ139">
        <v>1000</v>
      </c>
      <c r="FA139">
        <v>1000</v>
      </c>
      <c r="FB139">
        <v>1000</v>
      </c>
      <c r="FC139">
        <v>1000</v>
      </c>
      <c r="FD139">
        <v>1000</v>
      </c>
      <c r="FE139">
        <v>1000</v>
      </c>
      <c r="FF139">
        <v>1000</v>
      </c>
      <c r="FG139">
        <v>1000</v>
      </c>
      <c r="FH139">
        <v>1000</v>
      </c>
      <c r="FI139">
        <v>1000</v>
      </c>
      <c r="FJ139">
        <v>1000</v>
      </c>
      <c r="FK139">
        <v>1000</v>
      </c>
      <c r="FL139">
        <v>1000</v>
      </c>
      <c r="FM139">
        <v>1000</v>
      </c>
      <c r="FN139">
        <v>1000</v>
      </c>
      <c r="FO139">
        <v>1000</v>
      </c>
      <c r="FP139">
        <v>1000</v>
      </c>
      <c r="FQ139">
        <v>1000</v>
      </c>
      <c r="FR139">
        <v>1000</v>
      </c>
      <c r="FS139">
        <v>1000</v>
      </c>
      <c r="FT139">
        <v>1000</v>
      </c>
      <c r="FU139">
        <v>1000</v>
      </c>
      <c r="FV139">
        <v>1000</v>
      </c>
      <c r="FW139">
        <v>1000</v>
      </c>
      <c r="FX139">
        <v>1000</v>
      </c>
      <c r="FY139">
        <v>1000</v>
      </c>
      <c r="FZ139">
        <v>1000</v>
      </c>
      <c r="GA139">
        <v>1000</v>
      </c>
      <c r="GB139">
        <v>1000</v>
      </c>
      <c r="GC139">
        <v>1000</v>
      </c>
      <c r="GD139">
        <v>1000</v>
      </c>
      <c r="GE139">
        <v>1000</v>
      </c>
      <c r="GF139">
        <v>1000</v>
      </c>
      <c r="GG139">
        <v>1000</v>
      </c>
      <c r="GH139">
        <v>1000</v>
      </c>
      <c r="GI139">
        <v>1000</v>
      </c>
      <c r="GJ139">
        <v>1000</v>
      </c>
      <c r="GK139">
        <v>1000</v>
      </c>
      <c r="GL139">
        <v>1000</v>
      </c>
      <c r="GM139">
        <v>1000</v>
      </c>
      <c r="GN139">
        <v>1000</v>
      </c>
      <c r="GO139">
        <v>1000</v>
      </c>
      <c r="GP139">
        <v>1000</v>
      </c>
      <c r="GQ139">
        <v>1000</v>
      </c>
      <c r="GR139">
        <v>1000</v>
      </c>
      <c r="GS139">
        <v>1000</v>
      </c>
      <c r="GT139">
        <v>1000</v>
      </c>
      <c r="GU139">
        <v>1000</v>
      </c>
      <c r="GV139">
        <v>1000</v>
      </c>
      <c r="GW139">
        <v>1000</v>
      </c>
      <c r="GX139">
        <v>1000</v>
      </c>
      <c r="GY139">
        <v>1000</v>
      </c>
      <c r="GZ139">
        <v>1000</v>
      </c>
      <c r="HA139">
        <v>1000</v>
      </c>
      <c r="HB139">
        <v>1000</v>
      </c>
      <c r="HC139">
        <v>1000</v>
      </c>
      <c r="HD139">
        <v>1000</v>
      </c>
      <c r="HE139">
        <v>1000</v>
      </c>
      <c r="HF139">
        <v>1000</v>
      </c>
      <c r="HG139">
        <v>1000</v>
      </c>
      <c r="HH139">
        <v>1000</v>
      </c>
      <c r="HI139">
        <v>1000</v>
      </c>
      <c r="HJ139">
        <v>1000</v>
      </c>
      <c r="HK139">
        <v>1000</v>
      </c>
      <c r="HL139">
        <v>1000</v>
      </c>
      <c r="HM139">
        <v>1000</v>
      </c>
      <c r="HN139">
        <v>1000</v>
      </c>
      <c r="HO139">
        <v>1000</v>
      </c>
      <c r="HP139">
        <v>1000</v>
      </c>
      <c r="HQ139">
        <v>1000</v>
      </c>
      <c r="HR139">
        <v>1000</v>
      </c>
      <c r="HS139">
        <v>1000</v>
      </c>
      <c r="HT139">
        <v>1000</v>
      </c>
      <c r="HU139">
        <v>1000</v>
      </c>
      <c r="HV139">
        <v>1000</v>
      </c>
      <c r="HW139">
        <v>1000</v>
      </c>
      <c r="HX139">
        <v>1000</v>
      </c>
      <c r="HY139">
        <v>1000</v>
      </c>
      <c r="HZ139">
        <v>1000</v>
      </c>
      <c r="IA139">
        <v>1000</v>
      </c>
      <c r="IB139">
        <v>1000</v>
      </c>
      <c r="IC139">
        <v>1000</v>
      </c>
      <c r="ID139">
        <v>1000</v>
      </c>
      <c r="IE139">
        <v>1000</v>
      </c>
      <c r="IF139">
        <v>1000</v>
      </c>
      <c r="IG139">
        <v>1000</v>
      </c>
      <c r="IH139">
        <v>1000</v>
      </c>
      <c r="II139">
        <v>1000</v>
      </c>
      <c r="IJ139">
        <v>1000</v>
      </c>
      <c r="IK139">
        <v>1000</v>
      </c>
      <c r="IL139">
        <v>1000</v>
      </c>
      <c r="IM139">
        <v>1000</v>
      </c>
      <c r="IN139">
        <v>1000</v>
      </c>
      <c r="IO139">
        <v>1000</v>
      </c>
      <c r="IP139">
        <v>1000</v>
      </c>
      <c r="IQ139">
        <v>1000</v>
      </c>
      <c r="IR139">
        <v>1000</v>
      </c>
      <c r="IS139">
        <v>1000</v>
      </c>
      <c r="IT139">
        <v>1000</v>
      </c>
      <c r="IU139">
        <v>1000</v>
      </c>
      <c r="IV139">
        <v>1000</v>
      </c>
      <c r="IW139">
        <v>1000</v>
      </c>
      <c r="IX139">
        <v>1000</v>
      </c>
      <c r="IY139">
        <v>1000</v>
      </c>
      <c r="IZ139">
        <v>1000</v>
      </c>
      <c r="JA139">
        <v>1000</v>
      </c>
      <c r="JB139">
        <v>1000</v>
      </c>
      <c r="JC139">
        <v>1000</v>
      </c>
      <c r="JD139">
        <v>1000</v>
      </c>
      <c r="JE139">
        <v>1000</v>
      </c>
      <c r="JF139">
        <v>1000</v>
      </c>
      <c r="JG139">
        <v>1000</v>
      </c>
      <c r="JH139">
        <v>1000</v>
      </c>
      <c r="JI139">
        <v>1000</v>
      </c>
      <c r="JJ139">
        <v>1000</v>
      </c>
      <c r="JK139">
        <v>1000</v>
      </c>
      <c r="JL139">
        <v>1000</v>
      </c>
      <c r="JM139">
        <v>1000</v>
      </c>
      <c r="JN139">
        <v>1000</v>
      </c>
      <c r="JO139">
        <v>1000</v>
      </c>
      <c r="JP139">
        <v>1000</v>
      </c>
      <c r="JQ139">
        <v>1000</v>
      </c>
      <c r="JR139">
        <v>1000</v>
      </c>
      <c r="JS139">
        <v>1000</v>
      </c>
      <c r="JT139">
        <v>1000</v>
      </c>
      <c r="JU139">
        <v>1000</v>
      </c>
      <c r="JV139">
        <v>1000</v>
      </c>
      <c r="JW139">
        <v>1000</v>
      </c>
      <c r="JX139">
        <v>1000</v>
      </c>
      <c r="JY139">
        <v>1000</v>
      </c>
      <c r="JZ139">
        <v>1000</v>
      </c>
      <c r="KA139">
        <v>1000</v>
      </c>
      <c r="KB139">
        <v>1000</v>
      </c>
      <c r="KC139">
        <v>1000</v>
      </c>
      <c r="KD139">
        <v>1000</v>
      </c>
      <c r="KE139">
        <v>1000</v>
      </c>
      <c r="KF139">
        <v>1000</v>
      </c>
      <c r="KG139">
        <v>1000</v>
      </c>
      <c r="KH139">
        <v>1000</v>
      </c>
      <c r="KI139">
        <v>1000</v>
      </c>
      <c r="KJ139">
        <v>1000</v>
      </c>
      <c r="KK139">
        <v>1000</v>
      </c>
      <c r="KL139">
        <v>1000</v>
      </c>
      <c r="KM139">
        <v>1000</v>
      </c>
      <c r="KN139">
        <v>1000</v>
      </c>
      <c r="KO139">
        <v>1000</v>
      </c>
      <c r="KP139">
        <v>1000</v>
      </c>
      <c r="KQ139">
        <v>1000</v>
      </c>
      <c r="KR139">
        <v>1000</v>
      </c>
      <c r="KS139">
        <v>1000</v>
      </c>
      <c r="KT139">
        <v>1000</v>
      </c>
      <c r="KU139">
        <v>1000</v>
      </c>
      <c r="KV139">
        <v>1000</v>
      </c>
      <c r="KW139">
        <v>1000</v>
      </c>
      <c r="KX139">
        <v>1000</v>
      </c>
      <c r="KY139">
        <v>1000</v>
      </c>
      <c r="KZ139">
        <v>1000</v>
      </c>
      <c r="LA139">
        <v>1000</v>
      </c>
      <c r="LB139">
        <v>1000</v>
      </c>
      <c r="LC139">
        <v>1000</v>
      </c>
      <c r="LD139">
        <v>1000</v>
      </c>
      <c r="LE139">
        <v>1000</v>
      </c>
      <c r="LF139">
        <v>1000</v>
      </c>
      <c r="LG139">
        <v>1000</v>
      </c>
      <c r="LH139">
        <v>1000</v>
      </c>
      <c r="LI139">
        <v>1000</v>
      </c>
      <c r="LJ139">
        <v>1000</v>
      </c>
      <c r="LK139">
        <v>1000</v>
      </c>
      <c r="LL139">
        <v>1000</v>
      </c>
      <c r="LM139">
        <v>1000</v>
      </c>
      <c r="LN139">
        <v>1000</v>
      </c>
      <c r="LO139">
        <v>1000</v>
      </c>
      <c r="LP139">
        <v>1000</v>
      </c>
      <c r="LQ139">
        <v>1000</v>
      </c>
      <c r="LR139">
        <v>1000</v>
      </c>
      <c r="LS139">
        <v>1000</v>
      </c>
      <c r="LT139">
        <v>1000</v>
      </c>
      <c r="LU139">
        <v>1000</v>
      </c>
      <c r="LV139">
        <v>1000</v>
      </c>
      <c r="LW139">
        <v>1000</v>
      </c>
      <c r="LX139">
        <v>1000</v>
      </c>
      <c r="LY139">
        <v>1000</v>
      </c>
      <c r="LZ139">
        <v>1000</v>
      </c>
      <c r="MA139">
        <v>1000</v>
      </c>
      <c r="MB139">
        <v>1000</v>
      </c>
      <c r="MC139">
        <v>1000</v>
      </c>
      <c r="MD139">
        <v>1000</v>
      </c>
      <c r="ME139">
        <v>1000</v>
      </c>
      <c r="MF139">
        <v>1000</v>
      </c>
      <c r="MG139">
        <v>1000</v>
      </c>
      <c r="MH139">
        <v>1000</v>
      </c>
      <c r="MI139">
        <v>1000</v>
      </c>
      <c r="MJ139">
        <v>1000</v>
      </c>
      <c r="MK139">
        <v>1000</v>
      </c>
      <c r="ML139">
        <v>1000</v>
      </c>
      <c r="MM139">
        <v>1000</v>
      </c>
      <c r="MN139">
        <v>1000</v>
      </c>
      <c r="MO139">
        <v>1000</v>
      </c>
      <c r="MP139">
        <v>1000</v>
      </c>
      <c r="MQ139">
        <v>1000</v>
      </c>
      <c r="MR139">
        <v>1000</v>
      </c>
      <c r="MS139">
        <v>1000</v>
      </c>
      <c r="MT139">
        <v>1000</v>
      </c>
      <c r="MU139">
        <v>1000</v>
      </c>
      <c r="MV139">
        <v>1000</v>
      </c>
      <c r="MW139">
        <v>1000</v>
      </c>
      <c r="MX139">
        <v>1000</v>
      </c>
      <c r="MY139">
        <v>1000</v>
      </c>
      <c r="MZ139">
        <v>1000</v>
      </c>
      <c r="NA139">
        <v>1000</v>
      </c>
      <c r="NB139">
        <v>1000</v>
      </c>
      <c r="NC139">
        <v>1000</v>
      </c>
      <c r="ND139">
        <v>1000</v>
      </c>
      <c r="NE139">
        <v>1000</v>
      </c>
      <c r="NF139">
        <v>1000</v>
      </c>
      <c r="NG139">
        <v>1000</v>
      </c>
      <c r="NH139">
        <v>1000</v>
      </c>
      <c r="NI139">
        <v>1000</v>
      </c>
      <c r="NJ139">
        <v>1000</v>
      </c>
      <c r="NK139">
        <v>1000</v>
      </c>
      <c r="NL139">
        <v>1000</v>
      </c>
      <c r="NM139">
        <v>1000</v>
      </c>
      <c r="NN139">
        <v>1000</v>
      </c>
      <c r="NO139">
        <v>1000</v>
      </c>
      <c r="NP139">
        <v>1000</v>
      </c>
      <c r="NQ139">
        <v>1000</v>
      </c>
      <c r="NR139">
        <v>1000</v>
      </c>
      <c r="NS139">
        <v>1000</v>
      </c>
      <c r="NT139">
        <v>1000</v>
      </c>
      <c r="NU139">
        <v>1000</v>
      </c>
      <c r="NV139">
        <v>1000</v>
      </c>
      <c r="NW139">
        <v>1000</v>
      </c>
      <c r="NX139">
        <v>1000</v>
      </c>
      <c r="NY139">
        <v>1000</v>
      </c>
      <c r="NZ139">
        <v>1000</v>
      </c>
      <c r="OA139">
        <v>1000</v>
      </c>
      <c r="OB139">
        <v>1000</v>
      </c>
      <c r="OC139">
        <v>1000</v>
      </c>
      <c r="OD139">
        <v>1000</v>
      </c>
      <c r="OE139">
        <v>1000</v>
      </c>
      <c r="OF139">
        <v>1000</v>
      </c>
      <c r="OG139">
        <v>1000</v>
      </c>
      <c r="OH139">
        <v>1000</v>
      </c>
      <c r="OI139">
        <v>1000</v>
      </c>
      <c r="OJ139">
        <v>1000</v>
      </c>
      <c r="OK139">
        <v>1000</v>
      </c>
      <c r="OL139">
        <v>1000</v>
      </c>
      <c r="OM139">
        <v>1000</v>
      </c>
      <c r="ON139">
        <v>1000</v>
      </c>
      <c r="OO139">
        <v>1000</v>
      </c>
      <c r="OP139">
        <v>1000</v>
      </c>
      <c r="OQ139">
        <v>1000</v>
      </c>
      <c r="OR139">
        <v>1000</v>
      </c>
      <c r="OS139">
        <v>1000</v>
      </c>
      <c r="OT139">
        <v>1000</v>
      </c>
      <c r="OU139">
        <v>1000</v>
      </c>
      <c r="OV139">
        <v>1000</v>
      </c>
      <c r="OW139">
        <v>1000</v>
      </c>
      <c r="OX139">
        <v>1000</v>
      </c>
      <c r="OY139">
        <v>1000</v>
      </c>
      <c r="OZ139">
        <v>1000</v>
      </c>
      <c r="PA139">
        <v>1000</v>
      </c>
      <c r="PB139">
        <v>1000</v>
      </c>
      <c r="PC139">
        <v>1000</v>
      </c>
      <c r="PD139">
        <v>1000</v>
      </c>
      <c r="PE139">
        <v>1000</v>
      </c>
      <c r="PF139">
        <v>1000</v>
      </c>
      <c r="PG139">
        <v>1000</v>
      </c>
      <c r="PH139">
        <v>1000</v>
      </c>
      <c r="PI139">
        <v>1000</v>
      </c>
      <c r="PJ139">
        <v>1000</v>
      </c>
      <c r="PK139">
        <v>1000</v>
      </c>
      <c r="PL139">
        <v>1000</v>
      </c>
      <c r="PM139">
        <v>1000</v>
      </c>
      <c r="PN139">
        <v>1000</v>
      </c>
      <c r="PO139">
        <v>1000</v>
      </c>
      <c r="PP139">
        <v>1000</v>
      </c>
      <c r="PQ139">
        <v>1000</v>
      </c>
      <c r="PR139">
        <v>1000</v>
      </c>
      <c r="PS139">
        <v>1000</v>
      </c>
      <c r="PT139">
        <v>1000</v>
      </c>
      <c r="PU139">
        <v>1000</v>
      </c>
      <c r="PV139">
        <v>1000</v>
      </c>
      <c r="PW139">
        <v>1000</v>
      </c>
      <c r="PX139">
        <v>1000</v>
      </c>
      <c r="PY139">
        <v>1000</v>
      </c>
      <c r="PZ139">
        <v>1000</v>
      </c>
      <c r="QA139">
        <v>1000</v>
      </c>
      <c r="QB139">
        <v>1000</v>
      </c>
      <c r="QC139">
        <v>1000</v>
      </c>
      <c r="QD139">
        <v>1000</v>
      </c>
      <c r="QE139">
        <v>1000</v>
      </c>
      <c r="QF139">
        <v>1000</v>
      </c>
      <c r="QG139">
        <v>1000</v>
      </c>
      <c r="QH139">
        <v>1000</v>
      </c>
      <c r="QI139">
        <v>1000</v>
      </c>
      <c r="QJ139">
        <v>1000</v>
      </c>
      <c r="QK139">
        <v>1000</v>
      </c>
      <c r="QL139">
        <v>1000</v>
      </c>
      <c r="QM139">
        <v>1000</v>
      </c>
      <c r="QN139">
        <v>1000</v>
      </c>
      <c r="QO139">
        <v>1000</v>
      </c>
      <c r="QP139">
        <v>1000</v>
      </c>
      <c r="QQ139">
        <v>1000</v>
      </c>
      <c r="QR139">
        <v>1000</v>
      </c>
      <c r="QS139">
        <v>1000</v>
      </c>
      <c r="QT139">
        <v>1000</v>
      </c>
      <c r="QU139">
        <v>1000</v>
      </c>
      <c r="QV139">
        <v>1000</v>
      </c>
      <c r="QW139">
        <v>1000</v>
      </c>
      <c r="QX139">
        <v>1000</v>
      </c>
      <c r="QY139">
        <v>1000</v>
      </c>
      <c r="QZ139">
        <v>1000</v>
      </c>
      <c r="RA139">
        <v>1000</v>
      </c>
      <c r="RB139">
        <v>1000</v>
      </c>
      <c r="RC139">
        <v>1000</v>
      </c>
      <c r="RD139">
        <v>1000</v>
      </c>
      <c r="RE139">
        <v>1000</v>
      </c>
      <c r="RF139">
        <v>1000</v>
      </c>
      <c r="RG139">
        <v>1000</v>
      </c>
      <c r="RH139">
        <v>1000</v>
      </c>
      <c r="RI139">
        <v>1000</v>
      </c>
      <c r="RJ139">
        <v>1000</v>
      </c>
      <c r="RK139">
        <v>1000</v>
      </c>
      <c r="RL139">
        <v>1000</v>
      </c>
      <c r="RM139">
        <v>1000</v>
      </c>
      <c r="RN139">
        <v>1000</v>
      </c>
      <c r="RO139">
        <v>1000</v>
      </c>
      <c r="RP139">
        <v>1000</v>
      </c>
      <c r="RQ139">
        <v>1000</v>
      </c>
      <c r="RR139">
        <v>1000</v>
      </c>
      <c r="RS139">
        <v>1000</v>
      </c>
      <c r="RT139">
        <v>1000</v>
      </c>
      <c r="RU139">
        <v>1000</v>
      </c>
      <c r="RV139">
        <v>1000</v>
      </c>
      <c r="RW139">
        <v>1000</v>
      </c>
      <c r="RX139">
        <v>1000</v>
      </c>
      <c r="RY139">
        <v>1000</v>
      </c>
      <c r="RZ139">
        <v>1000</v>
      </c>
      <c r="SA139">
        <v>1000</v>
      </c>
      <c r="SB139">
        <v>1000</v>
      </c>
      <c r="SC139">
        <v>1000</v>
      </c>
      <c r="SD139">
        <v>1000</v>
      </c>
      <c r="SE139">
        <v>1000</v>
      </c>
      <c r="SF139">
        <v>1000</v>
      </c>
      <c r="SG139">
        <v>1000</v>
      </c>
      <c r="SH139">
        <v>1000</v>
      </c>
      <c r="SI139">
        <v>1000</v>
      </c>
      <c r="SJ139">
        <v>1000</v>
      </c>
      <c r="SK139">
        <v>1000</v>
      </c>
      <c r="SL139">
        <v>1000</v>
      </c>
      <c r="SM139">
        <v>1000</v>
      </c>
      <c r="SN139">
        <v>1000</v>
      </c>
      <c r="SO139">
        <v>1000</v>
      </c>
      <c r="SP139">
        <v>1000</v>
      </c>
      <c r="SQ139">
        <v>1000</v>
      </c>
      <c r="SR139">
        <v>1000</v>
      </c>
      <c r="SS139">
        <v>1000</v>
      </c>
      <c r="ST139">
        <v>1000</v>
      </c>
      <c r="SU139">
        <v>1000</v>
      </c>
      <c r="SV139">
        <v>1000</v>
      </c>
      <c r="SW139">
        <v>1000</v>
      </c>
      <c r="SX139">
        <v>1000</v>
      </c>
      <c r="SY139">
        <v>1000</v>
      </c>
      <c r="SZ139">
        <v>1000</v>
      </c>
      <c r="TA139">
        <v>1000</v>
      </c>
      <c r="TB139">
        <v>1000</v>
      </c>
      <c r="TC139">
        <v>1000</v>
      </c>
      <c r="TD139">
        <v>1000</v>
      </c>
      <c r="TE139">
        <v>1000</v>
      </c>
      <c r="TF139">
        <v>1000</v>
      </c>
      <c r="TG139">
        <v>1000</v>
      </c>
      <c r="TH139">
        <v>1000</v>
      </c>
      <c r="TI139">
        <v>1000</v>
      </c>
      <c r="TJ139">
        <v>1000</v>
      </c>
      <c r="TK139">
        <v>1000</v>
      </c>
      <c r="TL139">
        <v>1000</v>
      </c>
      <c r="TM139">
        <v>1000</v>
      </c>
      <c r="TN139">
        <v>1000</v>
      </c>
      <c r="TO139">
        <v>1000</v>
      </c>
      <c r="TP139">
        <v>1000</v>
      </c>
      <c r="TQ139">
        <v>1000</v>
      </c>
      <c r="TR139">
        <v>1000</v>
      </c>
      <c r="TS139">
        <v>1000</v>
      </c>
      <c r="TT139">
        <v>1000</v>
      </c>
      <c r="TU139">
        <v>1000</v>
      </c>
      <c r="TV139">
        <v>1000</v>
      </c>
      <c r="TW139">
        <v>1000</v>
      </c>
      <c r="TX139">
        <v>1000</v>
      </c>
      <c r="TY139">
        <v>1000</v>
      </c>
      <c r="TZ139">
        <v>1000</v>
      </c>
      <c r="UA139">
        <v>1000</v>
      </c>
      <c r="UB139">
        <v>1000</v>
      </c>
      <c r="UC139">
        <v>1000</v>
      </c>
      <c r="UD139">
        <v>1000</v>
      </c>
      <c r="UE139">
        <v>1000</v>
      </c>
      <c r="UF139">
        <v>1000</v>
      </c>
      <c r="UG139">
        <v>1000</v>
      </c>
      <c r="UH139">
        <v>1000</v>
      </c>
      <c r="UI139">
        <v>1000</v>
      </c>
      <c r="UJ139">
        <v>1000</v>
      </c>
      <c r="UK139">
        <v>1000</v>
      </c>
      <c r="UL139">
        <v>1000</v>
      </c>
      <c r="UM139">
        <v>1000</v>
      </c>
      <c r="UN139">
        <v>1000</v>
      </c>
      <c r="UO139">
        <v>1000</v>
      </c>
      <c r="UP139">
        <v>1000</v>
      </c>
      <c r="UQ139">
        <v>1000</v>
      </c>
      <c r="UR139">
        <v>1000</v>
      </c>
      <c r="US139">
        <v>1000</v>
      </c>
      <c r="UT139">
        <v>1000</v>
      </c>
      <c r="UU139">
        <v>1000</v>
      </c>
      <c r="UV139">
        <v>1000</v>
      </c>
      <c r="UW139">
        <v>1000</v>
      </c>
      <c r="UX139">
        <v>1000</v>
      </c>
      <c r="UY139">
        <v>1000</v>
      </c>
      <c r="UZ139">
        <v>1000</v>
      </c>
      <c r="VA139">
        <v>1000</v>
      </c>
      <c r="VB139">
        <v>1000</v>
      </c>
      <c r="VC139">
        <v>1000</v>
      </c>
      <c r="VD139">
        <v>1000</v>
      </c>
      <c r="VE139">
        <v>1000</v>
      </c>
      <c r="VF139">
        <v>1000</v>
      </c>
      <c r="VG139">
        <v>1000</v>
      </c>
      <c r="VH139">
        <v>1000</v>
      </c>
      <c r="VI139">
        <v>1000</v>
      </c>
      <c r="VJ139">
        <v>1000</v>
      </c>
      <c r="VK139">
        <v>1000</v>
      </c>
      <c r="VL139">
        <v>1000</v>
      </c>
      <c r="VM139">
        <v>1000</v>
      </c>
      <c r="VN139">
        <v>1000</v>
      </c>
      <c r="VO139">
        <v>1000</v>
      </c>
      <c r="VP139">
        <v>1000</v>
      </c>
      <c r="VQ139">
        <v>1000</v>
      </c>
      <c r="VR139">
        <v>1000</v>
      </c>
      <c r="VS139">
        <v>1000</v>
      </c>
      <c r="VT139">
        <v>1000</v>
      </c>
      <c r="VU139">
        <v>1000</v>
      </c>
      <c r="VV139">
        <v>1000</v>
      </c>
      <c r="VW139">
        <v>1000</v>
      </c>
      <c r="VX139">
        <v>1000</v>
      </c>
      <c r="VY139">
        <v>1000</v>
      </c>
      <c r="VZ139">
        <v>1000</v>
      </c>
      <c r="WA139">
        <v>1000</v>
      </c>
      <c r="WB139">
        <v>1000</v>
      </c>
      <c r="WC139">
        <v>1000</v>
      </c>
      <c r="WD139">
        <v>1000</v>
      </c>
      <c r="WE139">
        <v>1000</v>
      </c>
      <c r="WF139">
        <v>1000</v>
      </c>
      <c r="WG139">
        <v>1000</v>
      </c>
      <c r="WH139">
        <v>1000</v>
      </c>
      <c r="WI139">
        <v>1000</v>
      </c>
      <c r="WJ139">
        <v>1000</v>
      </c>
      <c r="WK139">
        <v>1000</v>
      </c>
      <c r="WL139">
        <v>1000</v>
      </c>
      <c r="WM139">
        <v>1000</v>
      </c>
      <c r="WN139">
        <v>1000</v>
      </c>
      <c r="WO139">
        <v>1000</v>
      </c>
      <c r="WP139">
        <v>1000</v>
      </c>
      <c r="WQ139">
        <v>1000</v>
      </c>
      <c r="WR139">
        <v>1000</v>
      </c>
      <c r="WS139">
        <v>1000</v>
      </c>
      <c r="WT139">
        <v>1000</v>
      </c>
      <c r="WU139">
        <v>1000</v>
      </c>
      <c r="WV139">
        <v>1000</v>
      </c>
      <c r="WW139">
        <v>1000</v>
      </c>
      <c r="WX139">
        <v>1000</v>
      </c>
      <c r="WY139">
        <v>1000</v>
      </c>
      <c r="WZ139">
        <v>1000</v>
      </c>
      <c r="XA139">
        <v>1000</v>
      </c>
      <c r="XB139">
        <v>1000</v>
      </c>
      <c r="XC139">
        <v>1000</v>
      </c>
      <c r="XD139">
        <v>1000</v>
      </c>
      <c r="XE139">
        <v>1000</v>
      </c>
      <c r="XF139">
        <v>1000</v>
      </c>
      <c r="XG139">
        <v>1000</v>
      </c>
      <c r="XH139">
        <v>1000</v>
      </c>
      <c r="XI139">
        <v>1000</v>
      </c>
      <c r="XJ139">
        <v>1000</v>
      </c>
      <c r="XK139">
        <v>1000</v>
      </c>
      <c r="XL139">
        <v>1000</v>
      </c>
      <c r="XM139">
        <v>1000</v>
      </c>
      <c r="XN139">
        <v>1000</v>
      </c>
      <c r="XO139">
        <v>1000</v>
      </c>
      <c r="XP139">
        <v>1000</v>
      </c>
      <c r="XQ139">
        <v>1000</v>
      </c>
      <c r="XR139">
        <v>1000</v>
      </c>
      <c r="XS139">
        <v>1000</v>
      </c>
      <c r="XT139">
        <v>1000</v>
      </c>
      <c r="XU139">
        <v>1000</v>
      </c>
      <c r="XV139">
        <v>1000</v>
      </c>
      <c r="XW139">
        <v>1000</v>
      </c>
      <c r="XX139">
        <v>1000</v>
      </c>
      <c r="XY139">
        <v>1000</v>
      </c>
      <c r="XZ139">
        <v>1000</v>
      </c>
      <c r="YA139">
        <v>1000</v>
      </c>
      <c r="YB139">
        <v>1000</v>
      </c>
      <c r="YC139">
        <v>1000</v>
      </c>
      <c r="YD139">
        <v>1000</v>
      </c>
      <c r="YE139">
        <v>1000</v>
      </c>
      <c r="YF139">
        <v>1000</v>
      </c>
      <c r="YG139">
        <v>1000</v>
      </c>
      <c r="YH139">
        <v>1000</v>
      </c>
      <c r="YI139">
        <v>1000</v>
      </c>
      <c r="YJ139">
        <v>1000</v>
      </c>
      <c r="YK139">
        <v>1000</v>
      </c>
      <c r="YL139">
        <v>1000</v>
      </c>
      <c r="YM139">
        <v>1000</v>
      </c>
      <c r="YN139">
        <v>1000</v>
      </c>
      <c r="YO139">
        <v>1000</v>
      </c>
      <c r="YP139">
        <v>1000</v>
      </c>
      <c r="YQ139">
        <v>1000</v>
      </c>
      <c r="YR139">
        <v>1000</v>
      </c>
      <c r="YS139">
        <v>1000</v>
      </c>
      <c r="YT139">
        <v>1000</v>
      </c>
      <c r="YU139">
        <v>1000</v>
      </c>
      <c r="YV139">
        <v>1000</v>
      </c>
      <c r="YW139">
        <v>1000</v>
      </c>
      <c r="YX139">
        <v>1000</v>
      </c>
      <c r="YY139">
        <v>1000</v>
      </c>
      <c r="YZ139">
        <v>1000</v>
      </c>
      <c r="ZA139">
        <v>1000</v>
      </c>
      <c r="ZB139">
        <v>1000</v>
      </c>
      <c r="ZC139">
        <v>1000</v>
      </c>
      <c r="ZD139">
        <v>1000</v>
      </c>
      <c r="ZE139">
        <v>1000</v>
      </c>
      <c r="ZF139">
        <v>1000</v>
      </c>
      <c r="ZG139">
        <v>1000</v>
      </c>
      <c r="ZH139">
        <v>1000</v>
      </c>
      <c r="ZI139">
        <v>1000</v>
      </c>
      <c r="ZJ139">
        <v>1000</v>
      </c>
      <c r="ZK139">
        <v>1000</v>
      </c>
      <c r="ZL139">
        <v>1000</v>
      </c>
      <c r="ZM139">
        <v>1000</v>
      </c>
      <c r="ZN139">
        <v>1000</v>
      </c>
      <c r="ZO139">
        <v>1000</v>
      </c>
      <c r="ZP139">
        <v>1000</v>
      </c>
      <c r="ZQ139">
        <v>1000</v>
      </c>
      <c r="ZR139">
        <v>1000</v>
      </c>
      <c r="ZS139">
        <v>1000</v>
      </c>
      <c r="ZT139">
        <v>1000</v>
      </c>
      <c r="ZU139">
        <v>1000</v>
      </c>
      <c r="ZV139">
        <v>1000</v>
      </c>
      <c r="ZW139">
        <v>1000</v>
      </c>
      <c r="ZX139">
        <v>1000</v>
      </c>
      <c r="ZY139">
        <v>1000</v>
      </c>
      <c r="ZZ139">
        <v>1000</v>
      </c>
      <c r="AAA139">
        <v>1000</v>
      </c>
      <c r="AAB139">
        <v>1000</v>
      </c>
      <c r="AAC139">
        <v>1000</v>
      </c>
      <c r="AAD139">
        <v>1000</v>
      </c>
      <c r="AAE139">
        <v>1000</v>
      </c>
      <c r="AAF139">
        <v>1000</v>
      </c>
      <c r="AAG139">
        <v>1000</v>
      </c>
      <c r="AAH139">
        <v>1000</v>
      </c>
      <c r="AAI139">
        <v>1000</v>
      </c>
      <c r="AAJ139">
        <v>1000</v>
      </c>
      <c r="AAK139">
        <v>1000</v>
      </c>
      <c r="AAL139">
        <v>1000</v>
      </c>
      <c r="AAM139">
        <v>1000</v>
      </c>
      <c r="AAN139">
        <v>1000</v>
      </c>
      <c r="AAO139">
        <v>1000</v>
      </c>
      <c r="AAP139">
        <v>1000</v>
      </c>
      <c r="AAQ139">
        <v>1000</v>
      </c>
      <c r="AAR139">
        <v>1000</v>
      </c>
      <c r="AAS139">
        <v>1000</v>
      </c>
      <c r="AAT139">
        <v>1000</v>
      </c>
      <c r="AAU139">
        <v>1000</v>
      </c>
      <c r="AAV139">
        <v>1000</v>
      </c>
      <c r="AAW139">
        <v>1000</v>
      </c>
      <c r="AAX139">
        <v>1000</v>
      </c>
      <c r="AAY139">
        <v>1000</v>
      </c>
      <c r="AAZ139">
        <v>1000</v>
      </c>
      <c r="ABA139">
        <v>1000</v>
      </c>
      <c r="ABB139">
        <v>1000</v>
      </c>
      <c r="ABC139">
        <v>1000</v>
      </c>
      <c r="ABD139">
        <v>1000</v>
      </c>
      <c r="ABE139">
        <v>1000</v>
      </c>
      <c r="ABF139">
        <v>1000</v>
      </c>
      <c r="ABG139">
        <v>1000</v>
      </c>
      <c r="ABH139">
        <v>1000</v>
      </c>
      <c r="ABI139">
        <v>1000</v>
      </c>
      <c r="ABJ139">
        <v>1000</v>
      </c>
      <c r="ABK139">
        <v>1000</v>
      </c>
      <c r="ABL139">
        <v>1000</v>
      </c>
      <c r="ABM139">
        <v>1000</v>
      </c>
      <c r="ABN139">
        <v>1000</v>
      </c>
      <c r="ABO139">
        <v>1000</v>
      </c>
      <c r="ABP139">
        <v>1000</v>
      </c>
      <c r="ABQ139">
        <v>1000</v>
      </c>
      <c r="ABR139">
        <v>1000</v>
      </c>
      <c r="ABS139">
        <v>1000</v>
      </c>
      <c r="ABT139">
        <v>1000</v>
      </c>
      <c r="ABU139">
        <v>1000</v>
      </c>
      <c r="ABV139">
        <v>1000</v>
      </c>
      <c r="ABW139">
        <v>1000</v>
      </c>
      <c r="ABX139">
        <v>1000</v>
      </c>
      <c r="ABY139">
        <v>1000</v>
      </c>
      <c r="ABZ139">
        <v>1000</v>
      </c>
      <c r="ACA139">
        <v>1000</v>
      </c>
      <c r="ACB139">
        <v>1000</v>
      </c>
      <c r="ACC139">
        <v>1000</v>
      </c>
      <c r="ACD139">
        <v>1000</v>
      </c>
      <c r="ACE139">
        <v>1000</v>
      </c>
      <c r="ACF139">
        <v>1000</v>
      </c>
      <c r="ACG139">
        <v>1000</v>
      </c>
      <c r="ACH139">
        <v>1000</v>
      </c>
      <c r="ACI139">
        <v>1000</v>
      </c>
      <c r="ACJ139">
        <v>1000</v>
      </c>
      <c r="ACK139">
        <v>1000</v>
      </c>
      <c r="ACL139">
        <v>1000</v>
      </c>
      <c r="ACM139">
        <v>1000</v>
      </c>
      <c r="ACN139">
        <v>1000</v>
      </c>
      <c r="ACO139">
        <v>1000</v>
      </c>
      <c r="ACP139">
        <v>1000</v>
      </c>
      <c r="ACQ139">
        <v>1000</v>
      </c>
      <c r="ACR139">
        <v>1000</v>
      </c>
      <c r="ACS139">
        <v>1000</v>
      </c>
      <c r="ACT139">
        <v>1000</v>
      </c>
      <c r="ACU139">
        <v>1000</v>
      </c>
      <c r="ACV139">
        <v>1000</v>
      </c>
      <c r="ACW139">
        <v>1000</v>
      </c>
      <c r="ACX139">
        <v>1000</v>
      </c>
      <c r="ACY139">
        <v>1000</v>
      </c>
      <c r="ACZ139">
        <v>1000</v>
      </c>
      <c r="ADA139">
        <v>1000</v>
      </c>
      <c r="ADB139">
        <v>1000</v>
      </c>
      <c r="ADC139">
        <v>1000</v>
      </c>
      <c r="ADD139">
        <v>1000</v>
      </c>
      <c r="ADE139">
        <v>1000</v>
      </c>
      <c r="ADF139">
        <v>1000</v>
      </c>
      <c r="ADG139">
        <v>1000</v>
      </c>
      <c r="ADH139">
        <v>1000</v>
      </c>
      <c r="ADI139">
        <v>1000</v>
      </c>
      <c r="ADJ139">
        <v>1000</v>
      </c>
      <c r="ADK139">
        <v>1000</v>
      </c>
      <c r="ADL139">
        <v>1000</v>
      </c>
      <c r="ADM139">
        <v>1000</v>
      </c>
      <c r="ADN139">
        <v>1000</v>
      </c>
      <c r="ADO139">
        <v>1000</v>
      </c>
      <c r="ADP139">
        <v>1000</v>
      </c>
      <c r="ADQ139">
        <v>1000</v>
      </c>
      <c r="ADR139">
        <v>1000</v>
      </c>
      <c r="ADS139">
        <v>1000</v>
      </c>
      <c r="ADT139">
        <v>1000</v>
      </c>
      <c r="ADU139">
        <v>1000</v>
      </c>
      <c r="ADV139">
        <v>1000</v>
      </c>
      <c r="ADW139">
        <v>1000</v>
      </c>
      <c r="ADX139">
        <v>1000</v>
      </c>
      <c r="ADY139">
        <v>1000</v>
      </c>
      <c r="ADZ139">
        <v>1000</v>
      </c>
      <c r="AEA139">
        <v>1000</v>
      </c>
      <c r="AEB139">
        <v>1000</v>
      </c>
      <c r="AEC139">
        <v>1000</v>
      </c>
      <c r="AED139">
        <v>1000</v>
      </c>
      <c r="AEE139">
        <v>1000</v>
      </c>
      <c r="AEF139">
        <v>1000</v>
      </c>
      <c r="AEG139">
        <v>1000</v>
      </c>
      <c r="AEH139">
        <v>1000</v>
      </c>
      <c r="AEI139">
        <v>1000</v>
      </c>
      <c r="AEJ139">
        <v>1000</v>
      </c>
      <c r="AEK139">
        <v>1000</v>
      </c>
      <c r="AEL139">
        <v>1000</v>
      </c>
      <c r="AEM139">
        <v>1000</v>
      </c>
      <c r="AEN139">
        <v>1000</v>
      </c>
      <c r="AEO139">
        <v>1000</v>
      </c>
      <c r="AEP139">
        <v>1000</v>
      </c>
      <c r="AEQ139">
        <v>1000</v>
      </c>
      <c r="AER139">
        <v>1000</v>
      </c>
      <c r="AES139">
        <v>1000</v>
      </c>
      <c r="AET139">
        <v>1000</v>
      </c>
      <c r="AEU139">
        <v>1000</v>
      </c>
      <c r="AEV139">
        <v>1000</v>
      </c>
      <c r="AEW139">
        <v>1000</v>
      </c>
      <c r="AEX139">
        <v>1000</v>
      </c>
      <c r="AEY139">
        <v>1000</v>
      </c>
      <c r="AEZ139">
        <v>1000</v>
      </c>
      <c r="AFA139">
        <v>1000</v>
      </c>
      <c r="AFB139">
        <v>1000</v>
      </c>
      <c r="AFC139">
        <v>1000</v>
      </c>
      <c r="AFD139">
        <v>1000</v>
      </c>
      <c r="AFE139">
        <v>1000</v>
      </c>
      <c r="AFF139">
        <v>1000</v>
      </c>
      <c r="AFG139">
        <v>1000</v>
      </c>
      <c r="AFH139">
        <v>1000</v>
      </c>
      <c r="AFI139">
        <v>1000</v>
      </c>
      <c r="AFJ139">
        <v>1000</v>
      </c>
      <c r="AFK139">
        <v>1000</v>
      </c>
      <c r="AFL139">
        <v>1000</v>
      </c>
      <c r="AFM139">
        <v>1000</v>
      </c>
      <c r="AFN139">
        <v>1000</v>
      </c>
      <c r="AFO139">
        <v>1000</v>
      </c>
      <c r="AFP139">
        <v>1000</v>
      </c>
      <c r="AFQ139">
        <v>1000</v>
      </c>
      <c r="AFR139">
        <v>1000</v>
      </c>
      <c r="AFS139">
        <v>1000</v>
      </c>
      <c r="AFT139">
        <v>1000</v>
      </c>
      <c r="AFU139">
        <v>1000</v>
      </c>
      <c r="AFV139">
        <v>1000</v>
      </c>
      <c r="AFW139">
        <v>1000</v>
      </c>
      <c r="AFX139">
        <v>1000</v>
      </c>
      <c r="AFY139">
        <v>1000</v>
      </c>
      <c r="AFZ139">
        <v>1000</v>
      </c>
      <c r="AGA139">
        <v>1000</v>
      </c>
      <c r="AGB139">
        <v>1000</v>
      </c>
      <c r="AGC139">
        <v>1000</v>
      </c>
      <c r="AGD139">
        <v>1000</v>
      </c>
      <c r="AGE139">
        <v>1000</v>
      </c>
      <c r="AGF139">
        <v>1000</v>
      </c>
      <c r="AGG139">
        <v>1000</v>
      </c>
      <c r="AGH139">
        <v>1000</v>
      </c>
      <c r="AGI139">
        <v>1000</v>
      </c>
      <c r="AGJ139">
        <v>1000</v>
      </c>
      <c r="AGK139">
        <v>1000</v>
      </c>
      <c r="AGL139">
        <v>1000</v>
      </c>
      <c r="AGM139">
        <v>1000</v>
      </c>
      <c r="AGN139">
        <v>1000</v>
      </c>
      <c r="AGO139">
        <v>1000</v>
      </c>
      <c r="AGP139">
        <v>1000</v>
      </c>
      <c r="AGQ139">
        <v>1000</v>
      </c>
      <c r="AGR139">
        <v>1000</v>
      </c>
      <c r="AGS139">
        <v>1000</v>
      </c>
      <c r="AGT139">
        <v>1000</v>
      </c>
      <c r="AGU139">
        <v>1000</v>
      </c>
      <c r="AGV139">
        <v>1000</v>
      </c>
      <c r="AGW139">
        <v>1000</v>
      </c>
      <c r="AGX139">
        <v>1000</v>
      </c>
      <c r="AGY139">
        <v>1000</v>
      </c>
      <c r="AGZ139">
        <v>1000</v>
      </c>
      <c r="AHA139">
        <v>1000</v>
      </c>
      <c r="AHB139">
        <v>1000</v>
      </c>
      <c r="AHC139">
        <v>1000</v>
      </c>
      <c r="AHD139">
        <v>1000</v>
      </c>
      <c r="AHE139">
        <v>1000</v>
      </c>
      <c r="AHF139">
        <v>1000</v>
      </c>
      <c r="AHG139">
        <v>1000</v>
      </c>
      <c r="AHH139">
        <v>1000</v>
      </c>
      <c r="AHI139">
        <v>1000</v>
      </c>
      <c r="AHJ139">
        <v>1000</v>
      </c>
      <c r="AHK139">
        <v>1000</v>
      </c>
      <c r="AHL139">
        <v>1000</v>
      </c>
      <c r="AHM139">
        <v>1000</v>
      </c>
      <c r="AHN139">
        <v>1000</v>
      </c>
      <c r="AHO139">
        <v>1000</v>
      </c>
      <c r="AHP139">
        <v>1000</v>
      </c>
      <c r="AHQ139">
        <v>1000</v>
      </c>
      <c r="AHR139">
        <v>1000</v>
      </c>
      <c r="AHS139">
        <v>1000</v>
      </c>
      <c r="AHT139">
        <v>1000</v>
      </c>
      <c r="AHU139">
        <v>1000</v>
      </c>
      <c r="AHV139">
        <v>1000</v>
      </c>
      <c r="AHW139">
        <v>1000</v>
      </c>
      <c r="AHX139">
        <v>1000</v>
      </c>
      <c r="AHY139">
        <v>1000</v>
      </c>
      <c r="AHZ139">
        <v>1000</v>
      </c>
      <c r="AIA139">
        <v>1000</v>
      </c>
      <c r="AIB139">
        <v>1000</v>
      </c>
      <c r="AIC139">
        <v>1000</v>
      </c>
      <c r="AID139">
        <v>1000</v>
      </c>
      <c r="AIE139">
        <v>1000</v>
      </c>
      <c r="AIF139">
        <v>1000</v>
      </c>
      <c r="AIG139">
        <v>1000</v>
      </c>
      <c r="AIH139">
        <v>1000</v>
      </c>
      <c r="AII139">
        <v>1000</v>
      </c>
      <c r="AIJ139">
        <v>1000</v>
      </c>
      <c r="AIK139">
        <v>1000</v>
      </c>
      <c r="AIL139">
        <v>1000</v>
      </c>
      <c r="AIM139">
        <v>1000</v>
      </c>
      <c r="AIN139">
        <v>1000</v>
      </c>
      <c r="AIO139">
        <v>1000</v>
      </c>
      <c r="AIP139">
        <v>1000</v>
      </c>
      <c r="AIQ139">
        <v>1000</v>
      </c>
      <c r="AIR139">
        <v>1000</v>
      </c>
      <c r="AIS139">
        <v>1000</v>
      </c>
      <c r="AIT139">
        <v>1000</v>
      </c>
      <c r="AIU139">
        <v>1000</v>
      </c>
      <c r="AIV139">
        <v>1000</v>
      </c>
      <c r="AIW139">
        <v>1000</v>
      </c>
      <c r="AIX139">
        <v>1000</v>
      </c>
      <c r="AIY139">
        <v>1000</v>
      </c>
      <c r="AIZ139">
        <v>1000</v>
      </c>
      <c r="AJA139">
        <v>1000</v>
      </c>
      <c r="AJB139">
        <v>1000</v>
      </c>
      <c r="AJC139">
        <v>1000</v>
      </c>
      <c r="AJD139">
        <v>1000</v>
      </c>
      <c r="AJE139">
        <v>1000</v>
      </c>
      <c r="AJF139">
        <v>1000</v>
      </c>
      <c r="AJG139">
        <v>1000</v>
      </c>
      <c r="AJH139">
        <v>1000</v>
      </c>
      <c r="AJI139">
        <v>1000</v>
      </c>
      <c r="AJJ139">
        <v>1000</v>
      </c>
      <c r="AJK139">
        <v>1000</v>
      </c>
      <c r="AJL139">
        <v>1000</v>
      </c>
      <c r="AJM139">
        <v>1000</v>
      </c>
      <c r="AJN139">
        <v>1000</v>
      </c>
      <c r="AJO139">
        <v>1000</v>
      </c>
      <c r="AJP139">
        <v>1000</v>
      </c>
      <c r="AJQ139">
        <v>1000</v>
      </c>
      <c r="AJR139">
        <v>1000</v>
      </c>
      <c r="AJS139">
        <v>1000</v>
      </c>
      <c r="AJT139">
        <v>1000</v>
      </c>
      <c r="AJU139">
        <v>1000</v>
      </c>
      <c r="AJV139">
        <v>1000</v>
      </c>
      <c r="AJW139">
        <v>1000</v>
      </c>
      <c r="AJX139">
        <v>1000</v>
      </c>
      <c r="AJY139">
        <v>1000</v>
      </c>
      <c r="AJZ139">
        <v>1000</v>
      </c>
      <c r="AKA139">
        <v>1000</v>
      </c>
      <c r="AKB139">
        <v>1000</v>
      </c>
      <c r="AKC139">
        <v>1000</v>
      </c>
      <c r="AKD139">
        <v>1000</v>
      </c>
      <c r="AKE139">
        <v>1000</v>
      </c>
      <c r="AKF139">
        <v>1000</v>
      </c>
      <c r="AKG139">
        <v>1000</v>
      </c>
    </row>
    <row r="140" spans="1:985" ht="14.4" customHeight="1" x14ac:dyDescent="0.55000000000000004">
      <c r="A140" t="s">
        <v>18</v>
      </c>
      <c r="B140" t="s">
        <v>652</v>
      </c>
      <c r="C140" s="1" t="s">
        <v>765</v>
      </c>
      <c r="CA140">
        <v>0.3</v>
      </c>
      <c r="CB140">
        <v>0.3</v>
      </c>
      <c r="CC140">
        <v>0.3</v>
      </c>
      <c r="CD140">
        <v>0.3</v>
      </c>
      <c r="CE140">
        <v>0.3</v>
      </c>
      <c r="CF140">
        <v>0.3</v>
      </c>
      <c r="CG140">
        <v>0.3</v>
      </c>
      <c r="CH140">
        <v>0.3</v>
      </c>
      <c r="CI140">
        <v>0.3</v>
      </c>
      <c r="CJ140">
        <v>0.3</v>
      </c>
      <c r="CK140">
        <v>0.3</v>
      </c>
      <c r="CL140">
        <v>0.3</v>
      </c>
      <c r="CM140">
        <v>0.3</v>
      </c>
      <c r="CN140">
        <v>0.3</v>
      </c>
      <c r="CO140">
        <v>0.3</v>
      </c>
      <c r="CP140">
        <v>0.3</v>
      </c>
      <c r="CQ140">
        <v>0.3</v>
      </c>
      <c r="CR140">
        <v>0.3</v>
      </c>
      <c r="CS140">
        <v>0.3</v>
      </c>
      <c r="CT140">
        <v>0.3</v>
      </c>
      <c r="CU140">
        <v>0.3</v>
      </c>
      <c r="CV140">
        <v>0.3</v>
      </c>
      <c r="CW140">
        <v>0.3</v>
      </c>
      <c r="CX140">
        <v>0.3</v>
      </c>
      <c r="CY140">
        <v>0.3</v>
      </c>
      <c r="CZ140">
        <v>0.3</v>
      </c>
      <c r="DA140">
        <v>0.3</v>
      </c>
      <c r="DB140">
        <v>0.3</v>
      </c>
      <c r="DC140">
        <v>0.3</v>
      </c>
      <c r="DD140">
        <v>0.3</v>
      </c>
      <c r="DE140">
        <v>0.3</v>
      </c>
      <c r="DF140">
        <v>0.3</v>
      </c>
      <c r="DG140">
        <v>0.3</v>
      </c>
      <c r="DH140">
        <v>0.3</v>
      </c>
      <c r="DI140">
        <v>0.3</v>
      </c>
      <c r="DJ140">
        <v>0.3</v>
      </c>
      <c r="DK140">
        <v>0.3</v>
      </c>
      <c r="DL140">
        <v>0.3</v>
      </c>
      <c r="DM140">
        <v>0.3</v>
      </c>
      <c r="DN140">
        <v>0.3</v>
      </c>
      <c r="DO140">
        <v>0.3</v>
      </c>
      <c r="DP140">
        <v>0.3</v>
      </c>
      <c r="DQ140">
        <v>0.3</v>
      </c>
      <c r="DR140">
        <v>0.3</v>
      </c>
      <c r="DS140">
        <v>0.3</v>
      </c>
      <c r="DT140">
        <v>0.3</v>
      </c>
      <c r="DU140">
        <v>0.3</v>
      </c>
      <c r="DV140">
        <v>0.3</v>
      </c>
      <c r="DW140">
        <v>0.3</v>
      </c>
      <c r="DX140">
        <v>0.3</v>
      </c>
      <c r="DY140">
        <v>0.3</v>
      </c>
      <c r="DZ140">
        <v>0.3</v>
      </c>
      <c r="EA140">
        <v>0.3</v>
      </c>
      <c r="EB140">
        <v>0.3</v>
      </c>
      <c r="EC140">
        <v>0.3</v>
      </c>
      <c r="ED140">
        <v>0.3</v>
      </c>
      <c r="EE140">
        <v>0.3</v>
      </c>
      <c r="EF140">
        <v>0.3</v>
      </c>
      <c r="EG140">
        <v>0.3</v>
      </c>
      <c r="EH140">
        <v>0.3</v>
      </c>
      <c r="EI140">
        <v>0.3</v>
      </c>
      <c r="EJ140">
        <v>0.3</v>
      </c>
      <c r="EK140">
        <v>0.3</v>
      </c>
      <c r="EL140">
        <v>0.3</v>
      </c>
      <c r="EM140">
        <v>0.3</v>
      </c>
      <c r="EN140">
        <v>0.3</v>
      </c>
      <c r="EO140">
        <v>0.3</v>
      </c>
      <c r="EP140">
        <v>0.3</v>
      </c>
      <c r="EQ140">
        <v>0.3</v>
      </c>
      <c r="ER140">
        <v>0.3</v>
      </c>
      <c r="ES140">
        <v>0.3</v>
      </c>
      <c r="ET140">
        <v>0.3</v>
      </c>
      <c r="EU140">
        <v>0.3</v>
      </c>
      <c r="EV140">
        <v>0.3</v>
      </c>
      <c r="EW140">
        <v>0.3</v>
      </c>
      <c r="EX140">
        <v>0.3</v>
      </c>
      <c r="EY140">
        <v>0.3</v>
      </c>
      <c r="EZ140">
        <v>0.3</v>
      </c>
      <c r="FA140">
        <v>0.3</v>
      </c>
      <c r="FB140">
        <v>0.3</v>
      </c>
      <c r="FC140">
        <v>0.3</v>
      </c>
      <c r="FD140">
        <v>0.3</v>
      </c>
      <c r="FE140">
        <v>0.3</v>
      </c>
      <c r="FF140">
        <v>0.3</v>
      </c>
      <c r="FG140">
        <v>0.3</v>
      </c>
      <c r="FH140">
        <v>0.3</v>
      </c>
      <c r="FI140">
        <v>0.3</v>
      </c>
      <c r="FJ140">
        <v>0.3</v>
      </c>
      <c r="FK140">
        <v>0.3</v>
      </c>
      <c r="FL140">
        <v>0.3</v>
      </c>
      <c r="FM140">
        <v>0.3</v>
      </c>
      <c r="FN140">
        <v>0.3</v>
      </c>
      <c r="FO140">
        <v>0.3</v>
      </c>
      <c r="FP140">
        <v>0.3</v>
      </c>
      <c r="FQ140">
        <v>0.3</v>
      </c>
      <c r="FR140">
        <v>0.3</v>
      </c>
      <c r="FS140">
        <v>0.3</v>
      </c>
      <c r="FT140">
        <v>0.3</v>
      </c>
      <c r="FU140">
        <v>0.3</v>
      </c>
      <c r="FV140">
        <v>0.3</v>
      </c>
      <c r="FW140">
        <v>0.3</v>
      </c>
      <c r="FX140">
        <v>0.3</v>
      </c>
      <c r="FY140">
        <v>0.3</v>
      </c>
      <c r="FZ140">
        <v>0.3</v>
      </c>
      <c r="GA140">
        <v>0.3</v>
      </c>
      <c r="GB140">
        <v>0.3</v>
      </c>
      <c r="GC140">
        <v>0.3</v>
      </c>
      <c r="GD140">
        <v>0.3</v>
      </c>
      <c r="GE140">
        <v>0.3</v>
      </c>
      <c r="GF140">
        <v>0.3</v>
      </c>
      <c r="GG140">
        <v>0.3</v>
      </c>
      <c r="GH140">
        <v>0.3</v>
      </c>
      <c r="GI140">
        <v>0.3</v>
      </c>
      <c r="GJ140">
        <v>0.3</v>
      </c>
      <c r="GK140">
        <v>0.3</v>
      </c>
      <c r="GL140">
        <v>0.3</v>
      </c>
      <c r="GM140">
        <v>0.3</v>
      </c>
      <c r="GN140">
        <v>0.3</v>
      </c>
      <c r="GO140">
        <v>0.3</v>
      </c>
      <c r="GP140">
        <v>0.3</v>
      </c>
      <c r="GQ140">
        <v>0.3</v>
      </c>
      <c r="GR140">
        <v>0.3</v>
      </c>
      <c r="GS140">
        <v>0.3</v>
      </c>
      <c r="GT140">
        <v>0.3</v>
      </c>
      <c r="GU140">
        <v>0.3</v>
      </c>
      <c r="GV140">
        <v>0.3</v>
      </c>
      <c r="GW140">
        <v>0.3</v>
      </c>
      <c r="GX140">
        <v>0.3</v>
      </c>
      <c r="GY140">
        <v>0.3</v>
      </c>
      <c r="GZ140">
        <v>0.3</v>
      </c>
      <c r="HA140">
        <v>0.3</v>
      </c>
      <c r="HB140">
        <v>0.3</v>
      </c>
      <c r="HC140">
        <v>0.3</v>
      </c>
      <c r="HD140">
        <v>0.3</v>
      </c>
      <c r="HE140">
        <v>0.3</v>
      </c>
      <c r="HF140">
        <v>0.3</v>
      </c>
      <c r="HG140">
        <v>0.3</v>
      </c>
      <c r="HH140">
        <v>0.3</v>
      </c>
      <c r="HI140">
        <v>0.3</v>
      </c>
      <c r="HJ140">
        <v>0.3</v>
      </c>
      <c r="HK140">
        <v>0.3</v>
      </c>
      <c r="HL140">
        <v>0.3</v>
      </c>
      <c r="HM140">
        <v>0.3</v>
      </c>
      <c r="HN140">
        <v>0.3</v>
      </c>
      <c r="HO140">
        <v>0.3</v>
      </c>
      <c r="HP140">
        <v>0.3</v>
      </c>
      <c r="HQ140">
        <v>0.3</v>
      </c>
      <c r="HR140">
        <v>0.3</v>
      </c>
      <c r="HS140">
        <v>0.3</v>
      </c>
      <c r="HT140">
        <v>0.3</v>
      </c>
      <c r="HU140">
        <v>0.3</v>
      </c>
      <c r="HV140">
        <v>0.3</v>
      </c>
      <c r="HW140">
        <v>0.3</v>
      </c>
      <c r="HX140">
        <v>0.3</v>
      </c>
      <c r="HY140">
        <v>0.3</v>
      </c>
      <c r="HZ140">
        <v>0.3</v>
      </c>
      <c r="IA140">
        <v>0.3</v>
      </c>
      <c r="IB140">
        <v>0.3</v>
      </c>
      <c r="IC140">
        <v>0.3</v>
      </c>
      <c r="ID140">
        <v>0.3</v>
      </c>
      <c r="IE140">
        <v>0.3</v>
      </c>
      <c r="IF140">
        <v>0.3</v>
      </c>
      <c r="IG140">
        <v>0.3</v>
      </c>
      <c r="IH140">
        <v>0.3</v>
      </c>
      <c r="II140">
        <v>0.3</v>
      </c>
      <c r="IJ140">
        <v>0.3</v>
      </c>
      <c r="IK140">
        <v>0.3</v>
      </c>
      <c r="IL140">
        <v>0.3</v>
      </c>
      <c r="IM140">
        <v>0.3</v>
      </c>
      <c r="IN140">
        <v>0.3</v>
      </c>
      <c r="IO140">
        <v>0.3</v>
      </c>
      <c r="IP140">
        <v>0.3</v>
      </c>
      <c r="IQ140">
        <v>0.3</v>
      </c>
      <c r="IR140">
        <v>0.3</v>
      </c>
      <c r="IS140">
        <v>0.3</v>
      </c>
      <c r="IT140">
        <v>0.3</v>
      </c>
      <c r="IU140">
        <v>0.3</v>
      </c>
      <c r="IV140">
        <v>0.3</v>
      </c>
      <c r="IW140">
        <v>0.3</v>
      </c>
      <c r="IX140">
        <v>0.3</v>
      </c>
      <c r="IY140">
        <v>0.3</v>
      </c>
      <c r="IZ140">
        <v>0.3</v>
      </c>
      <c r="JA140">
        <v>0.3</v>
      </c>
      <c r="JB140">
        <v>0.3</v>
      </c>
      <c r="JC140">
        <v>0.3</v>
      </c>
      <c r="JD140">
        <v>0.3</v>
      </c>
      <c r="JE140">
        <v>0.3</v>
      </c>
      <c r="JF140">
        <v>0.3</v>
      </c>
      <c r="JG140">
        <v>0.3</v>
      </c>
      <c r="JH140">
        <v>0.3</v>
      </c>
      <c r="JI140">
        <v>0.3</v>
      </c>
      <c r="JJ140">
        <v>0.3</v>
      </c>
      <c r="JK140">
        <v>0.3</v>
      </c>
      <c r="JL140">
        <v>0.3</v>
      </c>
      <c r="JM140">
        <v>0.3</v>
      </c>
      <c r="JN140">
        <v>0.3</v>
      </c>
      <c r="JO140">
        <v>0.3</v>
      </c>
      <c r="JP140">
        <v>0.3</v>
      </c>
      <c r="JQ140">
        <v>0.3</v>
      </c>
      <c r="JR140">
        <v>0.3</v>
      </c>
      <c r="JS140">
        <v>0.3</v>
      </c>
      <c r="JT140">
        <v>0.3</v>
      </c>
      <c r="JU140">
        <v>0.3</v>
      </c>
      <c r="JV140">
        <v>0.3</v>
      </c>
      <c r="JW140">
        <v>0.3</v>
      </c>
      <c r="JX140">
        <v>0.3</v>
      </c>
      <c r="JY140">
        <v>0.3</v>
      </c>
      <c r="JZ140">
        <v>0.3</v>
      </c>
      <c r="KA140">
        <v>0.3</v>
      </c>
      <c r="KB140">
        <v>0.3</v>
      </c>
      <c r="KC140">
        <v>0.3</v>
      </c>
      <c r="KD140">
        <v>0.3</v>
      </c>
      <c r="KE140">
        <v>0.3</v>
      </c>
      <c r="KF140">
        <v>0.3</v>
      </c>
      <c r="KG140">
        <v>0.3</v>
      </c>
      <c r="KH140">
        <v>0.3</v>
      </c>
      <c r="KI140">
        <v>0.3</v>
      </c>
      <c r="KJ140">
        <v>0.3</v>
      </c>
      <c r="KK140">
        <v>0.3</v>
      </c>
      <c r="KL140">
        <v>0.3</v>
      </c>
      <c r="KM140">
        <v>0.3</v>
      </c>
      <c r="KN140">
        <v>0.3</v>
      </c>
      <c r="KO140">
        <v>0.3</v>
      </c>
      <c r="KP140">
        <v>0.3</v>
      </c>
      <c r="KQ140">
        <v>0.3</v>
      </c>
      <c r="KR140">
        <v>0.3</v>
      </c>
      <c r="KS140">
        <v>0.3</v>
      </c>
      <c r="KT140">
        <v>0.3</v>
      </c>
      <c r="KU140">
        <v>0.3</v>
      </c>
      <c r="KV140">
        <v>0.3</v>
      </c>
      <c r="KW140">
        <v>0.3</v>
      </c>
      <c r="KX140">
        <v>0.3</v>
      </c>
      <c r="KY140">
        <v>0.3</v>
      </c>
      <c r="KZ140">
        <v>0.3</v>
      </c>
      <c r="LA140">
        <v>0.3</v>
      </c>
      <c r="LB140">
        <v>0.3</v>
      </c>
      <c r="LC140">
        <v>0.3</v>
      </c>
      <c r="LD140">
        <v>0.3</v>
      </c>
      <c r="LE140">
        <v>0.3</v>
      </c>
      <c r="LF140">
        <v>0.3</v>
      </c>
      <c r="LG140">
        <v>0.3</v>
      </c>
      <c r="LH140">
        <v>0.3</v>
      </c>
      <c r="LI140">
        <v>0.3</v>
      </c>
      <c r="LJ140">
        <v>0.3</v>
      </c>
      <c r="LK140">
        <v>0.3</v>
      </c>
      <c r="LL140">
        <v>0.3</v>
      </c>
      <c r="LM140">
        <v>0.3</v>
      </c>
      <c r="LN140">
        <v>0.3</v>
      </c>
      <c r="LO140">
        <v>0.3</v>
      </c>
      <c r="LP140">
        <v>0.3</v>
      </c>
      <c r="LQ140">
        <v>0.3</v>
      </c>
      <c r="LR140">
        <v>0.3</v>
      </c>
      <c r="LS140">
        <v>0.3</v>
      </c>
      <c r="LT140">
        <v>0.3</v>
      </c>
      <c r="LU140">
        <v>0.3</v>
      </c>
      <c r="LV140">
        <v>0.3</v>
      </c>
      <c r="LW140">
        <v>0.3</v>
      </c>
      <c r="LX140">
        <v>0.3</v>
      </c>
      <c r="LY140">
        <v>0.3</v>
      </c>
      <c r="LZ140">
        <v>0.3</v>
      </c>
      <c r="MA140">
        <v>0.3</v>
      </c>
      <c r="MB140">
        <v>0.3</v>
      </c>
      <c r="MC140">
        <v>0.3</v>
      </c>
      <c r="MD140">
        <v>0.3</v>
      </c>
      <c r="ME140">
        <v>0.3</v>
      </c>
      <c r="MF140">
        <v>0.3</v>
      </c>
      <c r="MG140">
        <v>0.3</v>
      </c>
      <c r="MH140">
        <v>0.3</v>
      </c>
      <c r="MI140">
        <v>0.3</v>
      </c>
      <c r="MJ140">
        <v>0.3</v>
      </c>
      <c r="MK140">
        <v>0.3</v>
      </c>
      <c r="ML140">
        <v>0.3</v>
      </c>
      <c r="MM140">
        <v>0.3</v>
      </c>
      <c r="MN140">
        <v>0.3</v>
      </c>
      <c r="MO140">
        <v>0.3</v>
      </c>
      <c r="MP140">
        <v>0.3</v>
      </c>
      <c r="MQ140">
        <v>0.3</v>
      </c>
      <c r="MR140">
        <v>0.3</v>
      </c>
      <c r="MS140">
        <v>0.3</v>
      </c>
      <c r="MT140">
        <v>0.3</v>
      </c>
      <c r="MU140">
        <v>0.3</v>
      </c>
      <c r="MV140">
        <v>0.3</v>
      </c>
      <c r="MW140">
        <v>0.3</v>
      </c>
      <c r="MX140">
        <v>0.3</v>
      </c>
      <c r="MY140">
        <v>0.3</v>
      </c>
      <c r="MZ140">
        <v>0.3</v>
      </c>
      <c r="NA140">
        <v>0.3</v>
      </c>
      <c r="NB140">
        <v>0.3</v>
      </c>
      <c r="NC140">
        <v>0.3</v>
      </c>
      <c r="ND140">
        <v>0.3</v>
      </c>
      <c r="NE140">
        <v>0.3</v>
      </c>
      <c r="NF140">
        <v>0.3</v>
      </c>
      <c r="NG140">
        <v>0.3</v>
      </c>
      <c r="NH140">
        <v>0.3</v>
      </c>
      <c r="NI140">
        <v>0.3</v>
      </c>
      <c r="NJ140">
        <v>0.3</v>
      </c>
      <c r="NK140">
        <v>0.3</v>
      </c>
      <c r="NL140">
        <v>0.3</v>
      </c>
      <c r="NM140">
        <v>0.3</v>
      </c>
      <c r="NN140">
        <v>0.3</v>
      </c>
      <c r="NO140">
        <v>0.3</v>
      </c>
      <c r="NP140">
        <v>0.3</v>
      </c>
      <c r="NQ140">
        <v>0.3</v>
      </c>
      <c r="NR140">
        <v>0.3</v>
      </c>
      <c r="NS140">
        <v>0.3</v>
      </c>
      <c r="NT140">
        <v>0.3</v>
      </c>
      <c r="NU140">
        <v>0.3</v>
      </c>
      <c r="NV140">
        <v>0.3</v>
      </c>
      <c r="NW140">
        <v>0.3</v>
      </c>
      <c r="NX140">
        <v>0.3</v>
      </c>
      <c r="NY140">
        <v>0.3</v>
      </c>
      <c r="NZ140">
        <v>0.3</v>
      </c>
      <c r="OA140">
        <v>0.3</v>
      </c>
      <c r="OB140">
        <v>0.3</v>
      </c>
      <c r="OC140">
        <v>0.3</v>
      </c>
      <c r="OD140">
        <v>0.3</v>
      </c>
      <c r="OE140">
        <v>0.3</v>
      </c>
      <c r="OF140">
        <v>0.3</v>
      </c>
      <c r="OG140">
        <v>0.3</v>
      </c>
      <c r="OH140">
        <v>0.3</v>
      </c>
      <c r="OI140">
        <v>0.3</v>
      </c>
      <c r="OJ140">
        <v>0.3</v>
      </c>
      <c r="OK140">
        <v>0.3</v>
      </c>
      <c r="OL140">
        <v>0.3</v>
      </c>
      <c r="OM140">
        <v>0.3</v>
      </c>
      <c r="ON140">
        <v>0.3</v>
      </c>
      <c r="OO140">
        <v>0.3</v>
      </c>
      <c r="OP140">
        <v>0.3</v>
      </c>
      <c r="OQ140">
        <v>0.3</v>
      </c>
      <c r="OR140">
        <v>0.3</v>
      </c>
      <c r="OS140">
        <v>0.3</v>
      </c>
      <c r="OT140">
        <v>0.3</v>
      </c>
      <c r="OU140">
        <v>0.3</v>
      </c>
      <c r="OV140">
        <v>0.3</v>
      </c>
      <c r="OW140">
        <v>0.3</v>
      </c>
      <c r="OX140">
        <v>0.3</v>
      </c>
      <c r="OY140">
        <v>0.3</v>
      </c>
      <c r="OZ140">
        <v>0.3</v>
      </c>
      <c r="PA140">
        <v>0.3</v>
      </c>
      <c r="PB140">
        <v>0.3</v>
      </c>
      <c r="PC140">
        <v>0.3</v>
      </c>
      <c r="PD140">
        <v>0.3</v>
      </c>
      <c r="PE140">
        <v>0.3</v>
      </c>
      <c r="PF140">
        <v>0.3</v>
      </c>
      <c r="PG140">
        <v>0.3</v>
      </c>
      <c r="PH140">
        <v>0.3</v>
      </c>
      <c r="PI140">
        <v>0.3</v>
      </c>
      <c r="PJ140">
        <v>0.3</v>
      </c>
      <c r="PK140">
        <v>0.3</v>
      </c>
      <c r="PL140">
        <v>0.3</v>
      </c>
      <c r="PM140">
        <v>0.3</v>
      </c>
      <c r="PN140">
        <v>0.3</v>
      </c>
      <c r="PO140">
        <v>0.3</v>
      </c>
      <c r="PP140">
        <v>0.3</v>
      </c>
      <c r="PQ140">
        <v>0.3</v>
      </c>
      <c r="PR140">
        <v>0.3</v>
      </c>
      <c r="PS140">
        <v>0.3</v>
      </c>
      <c r="PT140">
        <v>0.3</v>
      </c>
      <c r="PU140">
        <v>0.3</v>
      </c>
      <c r="PV140">
        <v>0.3</v>
      </c>
      <c r="PW140">
        <v>0.3</v>
      </c>
      <c r="PX140">
        <v>0.3</v>
      </c>
      <c r="PY140">
        <v>0.3</v>
      </c>
      <c r="PZ140">
        <v>0.3</v>
      </c>
      <c r="QA140">
        <v>0.3</v>
      </c>
      <c r="QB140">
        <v>0.3</v>
      </c>
      <c r="QC140">
        <v>0.3</v>
      </c>
      <c r="QD140">
        <v>0.3</v>
      </c>
      <c r="QE140">
        <v>0.3</v>
      </c>
      <c r="QF140">
        <v>0.3</v>
      </c>
      <c r="QG140">
        <v>0.3</v>
      </c>
      <c r="QH140">
        <v>0.3</v>
      </c>
      <c r="QI140">
        <v>0.3</v>
      </c>
      <c r="QJ140">
        <v>0.3</v>
      </c>
      <c r="QK140">
        <v>0.3</v>
      </c>
      <c r="QL140">
        <v>0.3</v>
      </c>
      <c r="QM140">
        <v>0.3</v>
      </c>
      <c r="QN140">
        <v>0.3</v>
      </c>
      <c r="QO140">
        <v>0.3</v>
      </c>
      <c r="QP140">
        <v>0.3</v>
      </c>
      <c r="QQ140">
        <v>0.3</v>
      </c>
      <c r="QR140">
        <v>0.3</v>
      </c>
      <c r="QS140">
        <v>0.3</v>
      </c>
      <c r="QT140">
        <v>0.3</v>
      </c>
      <c r="QU140">
        <v>0.3</v>
      </c>
      <c r="QV140">
        <v>0.3</v>
      </c>
      <c r="QW140">
        <v>0.3</v>
      </c>
      <c r="QX140">
        <v>0.3</v>
      </c>
      <c r="QY140">
        <v>0.3</v>
      </c>
      <c r="QZ140">
        <v>0.3</v>
      </c>
      <c r="RA140">
        <v>0.3</v>
      </c>
      <c r="RB140">
        <v>0.3</v>
      </c>
      <c r="RC140">
        <v>0.3</v>
      </c>
      <c r="RD140">
        <v>0.3</v>
      </c>
      <c r="RE140">
        <v>0.3</v>
      </c>
      <c r="RF140">
        <v>0.3</v>
      </c>
      <c r="RG140">
        <v>0.3</v>
      </c>
      <c r="RH140">
        <v>0.3</v>
      </c>
      <c r="RI140">
        <v>0.3</v>
      </c>
      <c r="RJ140">
        <v>0.3</v>
      </c>
      <c r="RK140">
        <v>0.3</v>
      </c>
      <c r="RL140">
        <v>0.3</v>
      </c>
      <c r="RM140">
        <v>0.3</v>
      </c>
      <c r="RN140">
        <v>0.3</v>
      </c>
      <c r="RO140">
        <v>0.3</v>
      </c>
      <c r="RP140">
        <v>0.3</v>
      </c>
      <c r="RQ140">
        <v>0.3</v>
      </c>
      <c r="RR140">
        <v>0.3</v>
      </c>
      <c r="RS140">
        <v>0.3</v>
      </c>
      <c r="RT140">
        <v>0.3</v>
      </c>
      <c r="RU140">
        <v>0.3</v>
      </c>
      <c r="RV140">
        <v>0.3</v>
      </c>
      <c r="RW140">
        <v>0.3</v>
      </c>
      <c r="RX140">
        <v>0.3</v>
      </c>
      <c r="RY140">
        <v>0.3</v>
      </c>
      <c r="RZ140">
        <v>0.3</v>
      </c>
      <c r="SA140">
        <v>0.3</v>
      </c>
      <c r="SB140">
        <v>0.3</v>
      </c>
      <c r="SC140">
        <v>0.3</v>
      </c>
      <c r="SD140">
        <v>0.3</v>
      </c>
      <c r="SE140">
        <v>0.3</v>
      </c>
      <c r="SF140">
        <v>0.3</v>
      </c>
      <c r="SG140">
        <v>0.3</v>
      </c>
      <c r="SH140">
        <v>0.3</v>
      </c>
      <c r="SI140">
        <v>0.3</v>
      </c>
      <c r="SJ140">
        <v>0.3</v>
      </c>
      <c r="SK140">
        <v>0.3</v>
      </c>
      <c r="SL140">
        <v>0.3</v>
      </c>
      <c r="SM140">
        <v>0.3</v>
      </c>
      <c r="SN140">
        <v>0.3</v>
      </c>
      <c r="SO140">
        <v>0.3</v>
      </c>
      <c r="SP140">
        <v>0.3</v>
      </c>
      <c r="SQ140">
        <v>0.3</v>
      </c>
      <c r="SR140">
        <v>0.3</v>
      </c>
      <c r="SS140">
        <v>0.3</v>
      </c>
      <c r="ST140">
        <v>0.3</v>
      </c>
      <c r="SU140">
        <v>0.3</v>
      </c>
      <c r="SV140">
        <v>0.3</v>
      </c>
      <c r="SW140">
        <v>0.3</v>
      </c>
      <c r="SX140">
        <v>0.3</v>
      </c>
      <c r="SY140">
        <v>0.3</v>
      </c>
      <c r="SZ140">
        <v>0.3</v>
      </c>
      <c r="TA140">
        <v>0.3</v>
      </c>
      <c r="TB140">
        <v>0.3</v>
      </c>
      <c r="TC140">
        <v>0.3</v>
      </c>
      <c r="TD140">
        <v>0.3</v>
      </c>
      <c r="TE140">
        <v>0.3</v>
      </c>
      <c r="TF140">
        <v>0.3</v>
      </c>
      <c r="TG140">
        <v>0.3</v>
      </c>
      <c r="TH140">
        <v>0.3</v>
      </c>
      <c r="TI140">
        <v>0.3</v>
      </c>
      <c r="TJ140">
        <v>0.3</v>
      </c>
      <c r="TK140">
        <v>0.3</v>
      </c>
      <c r="TL140">
        <v>0.3</v>
      </c>
      <c r="TM140">
        <v>0.3</v>
      </c>
      <c r="TN140">
        <v>0.3</v>
      </c>
      <c r="TO140">
        <v>0.3</v>
      </c>
      <c r="TP140">
        <v>0.3</v>
      </c>
      <c r="TQ140">
        <v>0.3</v>
      </c>
      <c r="TR140">
        <v>0.3</v>
      </c>
      <c r="TS140">
        <v>0.3</v>
      </c>
      <c r="TT140">
        <v>0.3</v>
      </c>
      <c r="TU140">
        <v>0.3</v>
      </c>
      <c r="TV140">
        <v>0.3</v>
      </c>
      <c r="TW140">
        <v>0.3</v>
      </c>
      <c r="TX140">
        <v>0.3</v>
      </c>
      <c r="TY140">
        <v>0.3</v>
      </c>
      <c r="TZ140">
        <v>0.3</v>
      </c>
      <c r="UA140">
        <v>0.3</v>
      </c>
      <c r="UB140">
        <v>0.3</v>
      </c>
      <c r="UC140">
        <v>0.3</v>
      </c>
      <c r="UD140">
        <v>0.3</v>
      </c>
      <c r="UE140">
        <v>0.3</v>
      </c>
      <c r="UF140">
        <v>0.3</v>
      </c>
      <c r="UG140">
        <v>0.3</v>
      </c>
      <c r="UH140">
        <v>0.3</v>
      </c>
      <c r="UI140">
        <v>0.3</v>
      </c>
      <c r="UJ140">
        <v>0.3</v>
      </c>
      <c r="UK140">
        <v>0.3</v>
      </c>
      <c r="UL140">
        <v>0.3</v>
      </c>
      <c r="UM140">
        <v>0.3</v>
      </c>
      <c r="UN140">
        <v>0.3</v>
      </c>
      <c r="UO140">
        <v>0.3</v>
      </c>
      <c r="UP140">
        <v>0.3</v>
      </c>
      <c r="UQ140">
        <v>0.3</v>
      </c>
      <c r="UR140">
        <v>0.3</v>
      </c>
      <c r="US140">
        <v>0.3</v>
      </c>
      <c r="UT140">
        <v>0.3</v>
      </c>
      <c r="UU140">
        <v>0.3</v>
      </c>
      <c r="UV140">
        <v>0.3</v>
      </c>
      <c r="UW140">
        <v>0.3</v>
      </c>
      <c r="UX140">
        <v>0.3</v>
      </c>
      <c r="UY140">
        <v>0.3</v>
      </c>
      <c r="UZ140">
        <v>0.3</v>
      </c>
      <c r="VA140">
        <v>0.3</v>
      </c>
      <c r="VB140">
        <v>0.3</v>
      </c>
      <c r="VC140">
        <v>0.3</v>
      </c>
      <c r="VD140">
        <v>0.3</v>
      </c>
      <c r="VE140">
        <v>0.3</v>
      </c>
      <c r="VF140">
        <v>0.3</v>
      </c>
      <c r="VG140">
        <v>0.3</v>
      </c>
      <c r="VH140">
        <v>0.3</v>
      </c>
      <c r="VI140">
        <v>0.3</v>
      </c>
      <c r="VJ140">
        <v>0.3</v>
      </c>
      <c r="VK140">
        <v>0.3</v>
      </c>
      <c r="VL140">
        <v>0.3</v>
      </c>
      <c r="VM140">
        <v>0.3</v>
      </c>
      <c r="VN140">
        <v>0.3</v>
      </c>
      <c r="VO140">
        <v>0.3</v>
      </c>
      <c r="VP140">
        <v>0.3</v>
      </c>
      <c r="VQ140">
        <v>0.3</v>
      </c>
      <c r="VR140">
        <v>0.3</v>
      </c>
      <c r="VS140">
        <v>0.3</v>
      </c>
      <c r="VT140">
        <v>0.3</v>
      </c>
      <c r="VU140">
        <v>0.3</v>
      </c>
      <c r="VV140">
        <v>0.3</v>
      </c>
      <c r="VW140">
        <v>0.3</v>
      </c>
      <c r="VX140">
        <v>0.3</v>
      </c>
      <c r="VY140">
        <v>0.3</v>
      </c>
      <c r="VZ140">
        <v>0.3</v>
      </c>
      <c r="WA140">
        <v>0.3</v>
      </c>
      <c r="WB140">
        <v>0.3</v>
      </c>
      <c r="WC140">
        <v>0.3</v>
      </c>
      <c r="WD140">
        <v>0.3</v>
      </c>
      <c r="WE140">
        <v>0.3</v>
      </c>
      <c r="WF140">
        <v>0.3</v>
      </c>
      <c r="WG140">
        <v>0.3</v>
      </c>
      <c r="WH140">
        <v>0.3</v>
      </c>
      <c r="WI140">
        <v>0.3</v>
      </c>
      <c r="WJ140">
        <v>0.3</v>
      </c>
      <c r="WK140">
        <v>0.3</v>
      </c>
      <c r="WL140">
        <v>0.3</v>
      </c>
      <c r="WM140">
        <v>0.3</v>
      </c>
      <c r="WN140">
        <v>0.3</v>
      </c>
      <c r="WO140">
        <v>0.3</v>
      </c>
      <c r="WP140">
        <v>0.3</v>
      </c>
      <c r="WQ140">
        <v>0.3</v>
      </c>
      <c r="WR140">
        <v>0.3</v>
      </c>
      <c r="WS140">
        <v>0.3</v>
      </c>
      <c r="WT140">
        <v>0.3</v>
      </c>
      <c r="WU140">
        <v>0.3</v>
      </c>
      <c r="WV140">
        <v>0.3</v>
      </c>
      <c r="WW140">
        <v>0.3</v>
      </c>
      <c r="WX140">
        <v>0.3</v>
      </c>
      <c r="WY140">
        <v>0.3</v>
      </c>
      <c r="WZ140">
        <v>0.3</v>
      </c>
      <c r="XA140">
        <v>0.3</v>
      </c>
      <c r="XB140">
        <v>0.3</v>
      </c>
      <c r="XC140">
        <v>0.3</v>
      </c>
      <c r="XD140">
        <v>0.3</v>
      </c>
      <c r="XE140">
        <v>0.3</v>
      </c>
      <c r="XF140">
        <v>0.3</v>
      </c>
      <c r="XG140">
        <v>0.3</v>
      </c>
      <c r="XH140">
        <v>0.3</v>
      </c>
      <c r="XI140">
        <v>0.3</v>
      </c>
      <c r="XJ140">
        <v>0.3</v>
      </c>
      <c r="XK140">
        <v>0.3</v>
      </c>
      <c r="XL140">
        <v>0.3</v>
      </c>
      <c r="XM140">
        <v>0.3</v>
      </c>
      <c r="XN140">
        <v>0.3</v>
      </c>
      <c r="XO140">
        <v>0.3</v>
      </c>
      <c r="XP140">
        <v>0.3</v>
      </c>
      <c r="XQ140">
        <v>0.3</v>
      </c>
      <c r="XR140">
        <v>0.3</v>
      </c>
      <c r="XS140">
        <v>0.3</v>
      </c>
      <c r="XT140">
        <v>0.3</v>
      </c>
      <c r="XU140">
        <v>0.3</v>
      </c>
      <c r="XV140">
        <v>0.3</v>
      </c>
      <c r="XW140">
        <v>0.3</v>
      </c>
      <c r="XX140">
        <v>0.3</v>
      </c>
      <c r="XY140">
        <v>0.3</v>
      </c>
      <c r="XZ140">
        <v>0.3</v>
      </c>
      <c r="YA140">
        <v>0.3</v>
      </c>
      <c r="YB140">
        <v>0.3</v>
      </c>
      <c r="YC140">
        <v>0.3</v>
      </c>
      <c r="YD140">
        <v>0.3</v>
      </c>
      <c r="YE140">
        <v>0.3</v>
      </c>
      <c r="YF140">
        <v>0.3</v>
      </c>
      <c r="YG140">
        <v>0.3</v>
      </c>
      <c r="YH140">
        <v>0.3</v>
      </c>
      <c r="YI140">
        <v>0.3</v>
      </c>
      <c r="YJ140">
        <v>0.3</v>
      </c>
      <c r="YK140">
        <v>0.3</v>
      </c>
      <c r="YL140">
        <v>0.3</v>
      </c>
      <c r="YM140">
        <v>0.3</v>
      </c>
      <c r="YN140">
        <v>0.3</v>
      </c>
      <c r="YO140">
        <v>0.3</v>
      </c>
      <c r="YP140">
        <v>0.3</v>
      </c>
      <c r="YQ140">
        <v>0.3</v>
      </c>
      <c r="YR140">
        <v>0.3</v>
      </c>
      <c r="YS140">
        <v>0.3</v>
      </c>
      <c r="YT140">
        <v>0.3</v>
      </c>
      <c r="YU140">
        <v>0.3</v>
      </c>
      <c r="YV140">
        <v>0.3</v>
      </c>
      <c r="YW140">
        <v>0.3</v>
      </c>
      <c r="YX140">
        <v>0.3</v>
      </c>
      <c r="YY140">
        <v>0.3</v>
      </c>
      <c r="YZ140">
        <v>0.3</v>
      </c>
      <c r="ZA140">
        <v>0.3</v>
      </c>
      <c r="ZB140">
        <v>0.3</v>
      </c>
      <c r="ZC140">
        <v>0.3</v>
      </c>
      <c r="ZD140">
        <v>0.3</v>
      </c>
      <c r="ZE140">
        <v>0.3</v>
      </c>
      <c r="ZF140">
        <v>0.3</v>
      </c>
      <c r="ZG140">
        <v>0.3</v>
      </c>
      <c r="ZH140">
        <v>0.3</v>
      </c>
      <c r="ZI140">
        <v>0.3</v>
      </c>
      <c r="ZJ140">
        <v>0.3</v>
      </c>
      <c r="ZK140">
        <v>0.3</v>
      </c>
      <c r="ZL140">
        <v>0.3</v>
      </c>
      <c r="ZM140">
        <v>0.3</v>
      </c>
      <c r="ZN140">
        <v>0.3</v>
      </c>
      <c r="ZO140">
        <v>0.3</v>
      </c>
      <c r="ZP140">
        <v>0.3</v>
      </c>
      <c r="ZQ140">
        <v>0.3</v>
      </c>
      <c r="ZR140">
        <v>0.3</v>
      </c>
      <c r="ZS140">
        <v>0.3</v>
      </c>
      <c r="ZT140">
        <v>0.3</v>
      </c>
      <c r="ZU140">
        <v>0.3</v>
      </c>
      <c r="ZV140">
        <v>0.3</v>
      </c>
      <c r="ZW140">
        <v>0.3</v>
      </c>
      <c r="ZX140">
        <v>0.3</v>
      </c>
      <c r="ZY140">
        <v>0.3</v>
      </c>
      <c r="ZZ140">
        <v>0.3</v>
      </c>
      <c r="AAA140">
        <v>0.3</v>
      </c>
      <c r="AAB140">
        <v>0.3</v>
      </c>
      <c r="AAC140">
        <v>0.3</v>
      </c>
      <c r="AAD140">
        <v>0.3</v>
      </c>
      <c r="AAE140">
        <v>0.3</v>
      </c>
      <c r="AAF140">
        <v>0.3</v>
      </c>
      <c r="AAG140">
        <v>0.3</v>
      </c>
      <c r="AAH140">
        <v>0.3</v>
      </c>
      <c r="AAI140">
        <v>0.3</v>
      </c>
      <c r="AAJ140">
        <v>0.3</v>
      </c>
      <c r="AAK140">
        <v>0.3</v>
      </c>
      <c r="AAL140">
        <v>0.3</v>
      </c>
      <c r="AAM140">
        <v>0.3</v>
      </c>
      <c r="AAN140">
        <v>0.3</v>
      </c>
      <c r="AAO140">
        <v>0.3</v>
      </c>
      <c r="AAP140">
        <v>0.3</v>
      </c>
      <c r="AAQ140">
        <v>0.3</v>
      </c>
      <c r="AAR140">
        <v>0.3</v>
      </c>
      <c r="AAS140">
        <v>0.3</v>
      </c>
      <c r="AAT140">
        <v>0.3</v>
      </c>
      <c r="AAU140">
        <v>0.3</v>
      </c>
      <c r="AAV140">
        <v>0.3</v>
      </c>
      <c r="AAW140">
        <v>0.3</v>
      </c>
      <c r="AAX140">
        <v>0.3</v>
      </c>
      <c r="AAY140">
        <v>0.3</v>
      </c>
      <c r="AAZ140">
        <v>0.3</v>
      </c>
      <c r="ABA140">
        <v>0.3</v>
      </c>
      <c r="ABB140">
        <v>0.3</v>
      </c>
      <c r="ABC140">
        <v>0.3</v>
      </c>
      <c r="ABD140">
        <v>0.3</v>
      </c>
      <c r="ABE140">
        <v>0.3</v>
      </c>
      <c r="ABF140">
        <v>0.3</v>
      </c>
      <c r="ABG140">
        <v>0.3</v>
      </c>
      <c r="ABH140">
        <v>0.3</v>
      </c>
      <c r="ABI140">
        <v>0.3</v>
      </c>
      <c r="ABJ140">
        <v>0.3</v>
      </c>
      <c r="ABK140">
        <v>0.3</v>
      </c>
      <c r="ABL140">
        <v>0.3</v>
      </c>
      <c r="ABM140">
        <v>0.3</v>
      </c>
      <c r="ABN140">
        <v>0.3</v>
      </c>
      <c r="ABO140">
        <v>0.3</v>
      </c>
      <c r="ABP140">
        <v>0.3</v>
      </c>
      <c r="ABQ140">
        <v>0.3</v>
      </c>
      <c r="ABR140">
        <v>0.3</v>
      </c>
      <c r="ABS140">
        <v>0.3</v>
      </c>
      <c r="ABT140">
        <v>0.3</v>
      </c>
      <c r="ABU140">
        <v>0.3</v>
      </c>
      <c r="ABV140">
        <v>0.3</v>
      </c>
      <c r="ABW140">
        <v>0.3</v>
      </c>
      <c r="ABX140">
        <v>0.3</v>
      </c>
      <c r="ABY140">
        <v>0.3</v>
      </c>
      <c r="ABZ140">
        <v>0.3</v>
      </c>
      <c r="ACA140">
        <v>0.3</v>
      </c>
      <c r="ACB140">
        <v>0.3</v>
      </c>
      <c r="ACC140">
        <v>0.3</v>
      </c>
      <c r="ACD140">
        <v>0.3</v>
      </c>
      <c r="ACE140">
        <v>0.3</v>
      </c>
      <c r="ACF140">
        <v>0.3</v>
      </c>
      <c r="ACG140">
        <v>0.3</v>
      </c>
      <c r="ACH140">
        <v>0.3</v>
      </c>
      <c r="ACI140">
        <v>0.3</v>
      </c>
      <c r="ACJ140">
        <v>0.3</v>
      </c>
      <c r="ACK140">
        <v>0.3</v>
      </c>
      <c r="ACL140">
        <v>0.3</v>
      </c>
      <c r="ACM140">
        <v>0.3</v>
      </c>
      <c r="ACN140">
        <v>0.3</v>
      </c>
      <c r="ACO140">
        <v>0.3</v>
      </c>
      <c r="ACP140">
        <v>0.3</v>
      </c>
      <c r="ACQ140">
        <v>0.3</v>
      </c>
      <c r="ACR140">
        <v>0.3</v>
      </c>
      <c r="ACS140">
        <v>0.3</v>
      </c>
      <c r="ACT140">
        <v>0.3</v>
      </c>
      <c r="ACU140">
        <v>0.3</v>
      </c>
      <c r="ACV140">
        <v>0.3</v>
      </c>
      <c r="ACW140">
        <v>0.3</v>
      </c>
      <c r="ACX140">
        <v>0.3</v>
      </c>
      <c r="ACY140">
        <v>0.3</v>
      </c>
      <c r="ACZ140">
        <v>0.3</v>
      </c>
      <c r="ADA140">
        <v>0.3</v>
      </c>
      <c r="ADB140">
        <v>0.3</v>
      </c>
      <c r="ADC140">
        <v>0.3</v>
      </c>
      <c r="ADD140">
        <v>0.3</v>
      </c>
      <c r="ADE140">
        <v>0.3</v>
      </c>
      <c r="ADF140">
        <v>0.3</v>
      </c>
      <c r="ADG140">
        <v>0.3</v>
      </c>
      <c r="ADH140">
        <v>0.3</v>
      </c>
      <c r="ADI140">
        <v>0.3</v>
      </c>
      <c r="ADJ140">
        <v>0.3</v>
      </c>
      <c r="ADK140">
        <v>0.3</v>
      </c>
      <c r="ADL140">
        <v>0.3</v>
      </c>
      <c r="ADM140">
        <v>0.3</v>
      </c>
      <c r="ADN140">
        <v>0.3</v>
      </c>
      <c r="ADO140">
        <v>0.3</v>
      </c>
      <c r="ADP140">
        <v>0.3</v>
      </c>
      <c r="ADQ140">
        <v>0.3</v>
      </c>
      <c r="ADR140">
        <v>0.3</v>
      </c>
      <c r="ADS140">
        <v>0.3</v>
      </c>
      <c r="ADT140">
        <v>0.3</v>
      </c>
      <c r="ADU140">
        <v>0.3</v>
      </c>
      <c r="ADV140">
        <v>0.3</v>
      </c>
      <c r="ADW140">
        <v>0.3</v>
      </c>
      <c r="ADX140">
        <v>0.3</v>
      </c>
      <c r="ADY140">
        <v>0.3</v>
      </c>
      <c r="ADZ140">
        <v>0.3</v>
      </c>
      <c r="AEA140">
        <v>0.3</v>
      </c>
      <c r="AEB140">
        <v>0.3</v>
      </c>
      <c r="AEC140">
        <v>0.3</v>
      </c>
      <c r="AED140">
        <v>0.3</v>
      </c>
      <c r="AEE140">
        <v>0.3</v>
      </c>
      <c r="AEF140">
        <v>0.3</v>
      </c>
      <c r="AEG140">
        <v>0.3</v>
      </c>
      <c r="AEH140">
        <v>0.3</v>
      </c>
      <c r="AEI140">
        <v>0.3</v>
      </c>
      <c r="AEJ140">
        <v>0.3</v>
      </c>
      <c r="AEK140">
        <v>0.3</v>
      </c>
      <c r="AEL140">
        <v>0.3</v>
      </c>
      <c r="AEM140">
        <v>0.3</v>
      </c>
      <c r="AEN140">
        <v>0.3</v>
      </c>
      <c r="AEO140">
        <v>0.3</v>
      </c>
      <c r="AEP140">
        <v>0.3</v>
      </c>
      <c r="AEQ140">
        <v>0.3</v>
      </c>
      <c r="AER140">
        <v>0.3</v>
      </c>
      <c r="AES140">
        <v>0.3</v>
      </c>
      <c r="AET140">
        <v>0.3</v>
      </c>
      <c r="AEU140">
        <v>0.3</v>
      </c>
      <c r="AEV140">
        <v>0.3</v>
      </c>
      <c r="AEW140">
        <v>0.3</v>
      </c>
      <c r="AEX140">
        <v>0.3</v>
      </c>
      <c r="AEY140">
        <v>0.3</v>
      </c>
      <c r="AEZ140">
        <v>0.3</v>
      </c>
      <c r="AFA140">
        <v>0.3</v>
      </c>
      <c r="AFB140">
        <v>0.3</v>
      </c>
      <c r="AFC140">
        <v>0.3</v>
      </c>
      <c r="AFD140">
        <v>0.3</v>
      </c>
      <c r="AFE140">
        <v>0.3</v>
      </c>
      <c r="AFF140">
        <v>0.3</v>
      </c>
      <c r="AFG140">
        <v>0.3</v>
      </c>
      <c r="AFH140">
        <v>0.3</v>
      </c>
      <c r="AFI140">
        <v>0.3</v>
      </c>
      <c r="AFJ140">
        <v>0.3</v>
      </c>
      <c r="AFK140">
        <v>0.3</v>
      </c>
      <c r="AFL140">
        <v>0.3</v>
      </c>
      <c r="AFM140">
        <v>0.3</v>
      </c>
      <c r="AFN140">
        <v>0.3</v>
      </c>
      <c r="AFO140">
        <v>0.3</v>
      </c>
      <c r="AFP140">
        <v>0.3</v>
      </c>
      <c r="AFQ140">
        <v>0.3</v>
      </c>
      <c r="AFR140">
        <v>0.3</v>
      </c>
      <c r="AFS140">
        <v>0.3</v>
      </c>
      <c r="AFT140">
        <v>0.3</v>
      </c>
      <c r="AFU140">
        <v>0.3</v>
      </c>
      <c r="AFV140">
        <v>0.3</v>
      </c>
      <c r="AFW140">
        <v>0.3</v>
      </c>
      <c r="AFX140">
        <v>0.3</v>
      </c>
      <c r="AFY140">
        <v>0.3</v>
      </c>
      <c r="AFZ140">
        <v>0.3</v>
      </c>
      <c r="AGA140">
        <v>0.3</v>
      </c>
      <c r="AGB140">
        <v>0.3</v>
      </c>
      <c r="AGC140">
        <v>0.3</v>
      </c>
      <c r="AGD140">
        <v>0.3</v>
      </c>
      <c r="AGE140">
        <v>0.3</v>
      </c>
      <c r="AGF140">
        <v>0.3</v>
      </c>
      <c r="AGG140">
        <v>0.3</v>
      </c>
      <c r="AGH140">
        <v>0.3</v>
      </c>
      <c r="AGI140">
        <v>0.3</v>
      </c>
      <c r="AGJ140">
        <v>0.3</v>
      </c>
      <c r="AGK140">
        <v>0.3</v>
      </c>
      <c r="AGL140">
        <v>0.3</v>
      </c>
      <c r="AGM140">
        <v>0.3</v>
      </c>
      <c r="AGN140">
        <v>0.3</v>
      </c>
      <c r="AGO140">
        <v>0.3</v>
      </c>
      <c r="AGP140">
        <v>0.3</v>
      </c>
      <c r="AGQ140">
        <v>0.3</v>
      </c>
      <c r="AGR140">
        <v>0.3</v>
      </c>
      <c r="AGS140">
        <v>0.3</v>
      </c>
      <c r="AGT140">
        <v>0.3</v>
      </c>
      <c r="AGU140">
        <v>0.3</v>
      </c>
      <c r="AGV140">
        <v>0.3</v>
      </c>
      <c r="AGW140">
        <v>0.3</v>
      </c>
      <c r="AGX140">
        <v>0.3</v>
      </c>
      <c r="AGY140">
        <v>0.3</v>
      </c>
      <c r="AGZ140">
        <v>0.3</v>
      </c>
      <c r="AHA140">
        <v>0.3</v>
      </c>
      <c r="AHB140">
        <v>0.3</v>
      </c>
      <c r="AHC140">
        <v>0.3</v>
      </c>
      <c r="AHD140">
        <v>0.3</v>
      </c>
      <c r="AHE140">
        <v>0.3</v>
      </c>
      <c r="AHF140">
        <v>0.3</v>
      </c>
      <c r="AHG140">
        <v>0.3</v>
      </c>
      <c r="AHH140">
        <v>0.3</v>
      </c>
      <c r="AHI140">
        <v>0.3</v>
      </c>
      <c r="AHJ140">
        <v>0.3</v>
      </c>
      <c r="AHK140">
        <v>0.3</v>
      </c>
      <c r="AHL140">
        <v>0.3</v>
      </c>
      <c r="AHM140">
        <v>0.3</v>
      </c>
      <c r="AHN140">
        <v>0.3</v>
      </c>
      <c r="AHO140">
        <v>0.3</v>
      </c>
      <c r="AHP140">
        <v>0.3</v>
      </c>
      <c r="AHQ140">
        <v>0.3</v>
      </c>
      <c r="AHR140">
        <v>0.3</v>
      </c>
      <c r="AHS140">
        <v>0.3</v>
      </c>
      <c r="AHT140">
        <v>0.3</v>
      </c>
      <c r="AHU140">
        <v>0.3</v>
      </c>
      <c r="AHV140">
        <v>0.3</v>
      </c>
      <c r="AHW140">
        <v>0.3</v>
      </c>
      <c r="AHX140">
        <v>0.3</v>
      </c>
      <c r="AHY140">
        <v>0.3</v>
      </c>
      <c r="AHZ140">
        <v>0.3</v>
      </c>
      <c r="AIA140">
        <v>0.3</v>
      </c>
      <c r="AIB140">
        <v>0.3</v>
      </c>
      <c r="AIC140">
        <v>0.3</v>
      </c>
      <c r="AID140">
        <v>0.3</v>
      </c>
      <c r="AIE140">
        <v>0.3</v>
      </c>
      <c r="AIF140">
        <v>0.3</v>
      </c>
      <c r="AIG140">
        <v>0.3</v>
      </c>
      <c r="AIH140">
        <v>0.3</v>
      </c>
      <c r="AII140">
        <v>0.3</v>
      </c>
      <c r="AIJ140">
        <v>0.3</v>
      </c>
      <c r="AIK140">
        <v>0.3</v>
      </c>
      <c r="AIL140">
        <v>0.3</v>
      </c>
      <c r="AIM140">
        <v>0.3</v>
      </c>
      <c r="AIN140">
        <v>0.3</v>
      </c>
      <c r="AIO140">
        <v>0.3</v>
      </c>
      <c r="AIP140">
        <v>0.3</v>
      </c>
      <c r="AIQ140">
        <v>0.3</v>
      </c>
      <c r="AIR140">
        <v>0.3</v>
      </c>
      <c r="AIS140">
        <v>0.3</v>
      </c>
      <c r="AIT140">
        <v>0.3</v>
      </c>
      <c r="AIU140">
        <v>0.3</v>
      </c>
      <c r="AIV140">
        <v>0.3</v>
      </c>
      <c r="AIW140">
        <v>0.3</v>
      </c>
      <c r="AIX140">
        <v>0.3</v>
      </c>
      <c r="AIY140">
        <v>0.3</v>
      </c>
      <c r="AIZ140">
        <v>0.3</v>
      </c>
      <c r="AJA140">
        <v>0.3</v>
      </c>
      <c r="AJB140">
        <v>0.3</v>
      </c>
      <c r="AJC140">
        <v>0.3</v>
      </c>
      <c r="AJD140">
        <v>0.3</v>
      </c>
      <c r="AJE140">
        <v>0.3</v>
      </c>
      <c r="AJF140">
        <v>0.3</v>
      </c>
      <c r="AJG140">
        <v>0.3</v>
      </c>
      <c r="AJH140">
        <v>0.3</v>
      </c>
      <c r="AJI140">
        <v>0.3</v>
      </c>
      <c r="AJJ140">
        <v>0.3</v>
      </c>
      <c r="AJK140">
        <v>0.3</v>
      </c>
      <c r="AJL140">
        <v>0.3</v>
      </c>
      <c r="AJM140">
        <v>0.3</v>
      </c>
      <c r="AJN140">
        <v>0.3</v>
      </c>
      <c r="AJO140">
        <v>0.3</v>
      </c>
      <c r="AJP140">
        <v>0.3</v>
      </c>
      <c r="AJQ140">
        <v>0.3</v>
      </c>
      <c r="AJR140">
        <f>AJR163*(AJR64/AJR63)+AJR164*(AJR65/AJR63)+AJR165*(AJR66/AJR63)</f>
        <v>3.3652105071424199</v>
      </c>
      <c r="AJS140">
        <f t="shared" ref="AJS140:AKG140" si="73">AJS163*(AJS64/SUM(AJS64:AJS66))+AJS164*(AJS65/SUM(AJS64:AJS66))+AJS165*(AJS66/SUM(AJS64:AJS66))</f>
        <v>3.3652105071424199</v>
      </c>
      <c r="AJT140">
        <f t="shared" si="73"/>
        <v>3.5248616236162356</v>
      </c>
      <c r="AJU140">
        <f t="shared" si="73"/>
        <v>3.5660630841121499</v>
      </c>
      <c r="AJV140">
        <f t="shared" si="73"/>
        <v>3.3881250000000001</v>
      </c>
      <c r="AJW140">
        <f t="shared" si="73"/>
        <v>3.6412069507276423</v>
      </c>
      <c r="AJX140">
        <f t="shared" si="73"/>
        <v>3.744974802045443</v>
      </c>
      <c r="AJY140">
        <f t="shared" si="73"/>
        <v>3.739375163497149</v>
      </c>
      <c r="AJZ140">
        <f t="shared" si="73"/>
        <v>3.6960813507838282</v>
      </c>
      <c r="AKA140">
        <f t="shared" si="73"/>
        <v>3.3762698438567287</v>
      </c>
      <c r="AKB140">
        <f t="shared" si="73"/>
        <v>3.3762698438567287</v>
      </c>
      <c r="AKC140">
        <f t="shared" si="73"/>
        <v>3.3762698438567282</v>
      </c>
      <c r="AKD140">
        <f t="shared" si="73"/>
        <v>3.3762698438567282</v>
      </c>
      <c r="AKE140">
        <f t="shared" si="73"/>
        <v>3.3762698438567282</v>
      </c>
      <c r="AKF140">
        <f t="shared" si="73"/>
        <v>3.3762698438567282</v>
      </c>
      <c r="AKG140">
        <f t="shared" si="73"/>
        <v>3.3762698438567282</v>
      </c>
    </row>
    <row r="141" spans="1:985" ht="14.4" customHeight="1" x14ac:dyDescent="0.55000000000000004">
      <c r="A141" t="s">
        <v>19</v>
      </c>
      <c r="B141" t="s">
        <v>800</v>
      </c>
      <c r="C141" s="1" t="s">
        <v>766</v>
      </c>
      <c r="CA141">
        <v>0.28999999999999998</v>
      </c>
      <c r="CB141">
        <v>0.28999999999999998</v>
      </c>
      <c r="CC141">
        <v>0.28999999999999998</v>
      </c>
      <c r="CD141">
        <v>0.28999999999999998</v>
      </c>
      <c r="CE141">
        <v>0.28999999999999998</v>
      </c>
      <c r="CF141">
        <v>0.28999999999999998</v>
      </c>
      <c r="CG141">
        <v>0.28999999999999998</v>
      </c>
      <c r="CH141">
        <v>0.28999999999999998</v>
      </c>
      <c r="CI141">
        <v>0.28999999999999998</v>
      </c>
      <c r="CJ141">
        <v>0.28999999999999998</v>
      </c>
      <c r="CK141">
        <v>0.28999999999999998</v>
      </c>
      <c r="CL141">
        <v>0.28999999999999998</v>
      </c>
      <c r="CM141">
        <v>0.28999999999999998</v>
      </c>
      <c r="CN141">
        <v>0.28999999999999998</v>
      </c>
      <c r="CO141">
        <v>0.28999999999999998</v>
      </c>
      <c r="CP141">
        <v>0.28999999999999998</v>
      </c>
      <c r="CQ141">
        <v>0.28999999999999998</v>
      </c>
      <c r="CR141">
        <v>0.28999999999999998</v>
      </c>
      <c r="CS141">
        <v>0.28999999999999998</v>
      </c>
      <c r="CT141">
        <v>0.28999999999999998</v>
      </c>
      <c r="CU141">
        <v>0.28999999999999998</v>
      </c>
      <c r="CV141">
        <v>0.28999999999999998</v>
      </c>
      <c r="CW141">
        <v>0.28999999999999998</v>
      </c>
      <c r="CX141">
        <v>0.28999999999999998</v>
      </c>
      <c r="CY141">
        <v>0.28999999999999998</v>
      </c>
      <c r="CZ141">
        <v>0.28999999999999998</v>
      </c>
      <c r="DA141">
        <v>0.28999999999999998</v>
      </c>
      <c r="DB141">
        <v>0.28999999999999998</v>
      </c>
      <c r="DC141">
        <v>0.28999999999999998</v>
      </c>
      <c r="DD141">
        <v>0.28999999999999998</v>
      </c>
      <c r="DE141">
        <v>0.28999999999999998</v>
      </c>
      <c r="DF141">
        <v>0.28999999999999998</v>
      </c>
      <c r="DG141">
        <v>0.28999999999999998</v>
      </c>
      <c r="DH141">
        <v>0.28999999999999998</v>
      </c>
      <c r="DI141">
        <v>0.28999999999999998</v>
      </c>
      <c r="DJ141">
        <v>0.28999999999999998</v>
      </c>
      <c r="DK141">
        <v>0.28999999999999998</v>
      </c>
      <c r="DL141">
        <v>0.28999999999999998</v>
      </c>
      <c r="DM141">
        <v>0.28999999999999998</v>
      </c>
      <c r="DN141">
        <v>0.28999999999999998</v>
      </c>
      <c r="DO141">
        <v>0.28999999999999998</v>
      </c>
      <c r="DP141">
        <v>0.28999999999999998</v>
      </c>
      <c r="DQ141">
        <v>0.28999999999999998</v>
      </c>
      <c r="DR141">
        <v>0.28999999999999998</v>
      </c>
      <c r="DS141">
        <v>0.28999999999999998</v>
      </c>
      <c r="DT141">
        <v>0.28999999999999998</v>
      </c>
      <c r="DU141">
        <v>0.28999999999999998</v>
      </c>
      <c r="DV141">
        <v>0.28999999999999998</v>
      </c>
      <c r="DW141">
        <v>0.28999999999999998</v>
      </c>
      <c r="DX141">
        <v>0.28999999999999998</v>
      </c>
      <c r="DY141">
        <v>0.28999999999999998</v>
      </c>
      <c r="DZ141">
        <v>0.28999999999999998</v>
      </c>
      <c r="EA141">
        <v>0.28999999999999998</v>
      </c>
      <c r="EB141">
        <v>0.28999999999999998</v>
      </c>
      <c r="EC141">
        <v>0.28999999999999998</v>
      </c>
      <c r="ED141">
        <v>0.28999999999999998</v>
      </c>
      <c r="EE141">
        <v>0.28999999999999998</v>
      </c>
      <c r="EF141">
        <v>0.28999999999999998</v>
      </c>
      <c r="EG141">
        <v>0.28999999999999998</v>
      </c>
      <c r="EH141">
        <v>0.28999999999999998</v>
      </c>
      <c r="EI141">
        <v>0.28999999999999998</v>
      </c>
      <c r="EJ141">
        <v>0.28999999999999998</v>
      </c>
      <c r="EK141">
        <v>0.28999999999999998</v>
      </c>
      <c r="EL141">
        <v>0.28999999999999998</v>
      </c>
      <c r="EM141">
        <v>0.28999999999999998</v>
      </c>
      <c r="EN141">
        <v>0.28999999999999998</v>
      </c>
      <c r="EO141">
        <v>0.28999999999999998</v>
      </c>
      <c r="EP141">
        <v>0.28999999999999998</v>
      </c>
      <c r="EQ141">
        <v>0.28999999999999998</v>
      </c>
      <c r="ER141">
        <v>0.28999999999999998</v>
      </c>
      <c r="ES141">
        <v>0.28999999999999998</v>
      </c>
      <c r="ET141">
        <v>0.28999999999999998</v>
      </c>
      <c r="EU141">
        <v>0.28999999999999998</v>
      </c>
      <c r="EV141">
        <v>0.28999999999999998</v>
      </c>
      <c r="EW141">
        <v>0.28999999999999998</v>
      </c>
      <c r="EX141">
        <v>0.28999999999999998</v>
      </c>
      <c r="EY141">
        <v>0.28999999999999998</v>
      </c>
      <c r="EZ141">
        <v>0.28999999999999998</v>
      </c>
      <c r="FA141">
        <v>0.28999999999999998</v>
      </c>
      <c r="FB141">
        <v>0.28999999999999998</v>
      </c>
      <c r="FC141">
        <v>0.28999999999999998</v>
      </c>
      <c r="FD141">
        <v>0.28999999999999998</v>
      </c>
      <c r="FE141">
        <v>0.28999999999999998</v>
      </c>
      <c r="FF141">
        <v>0.28999999999999998</v>
      </c>
      <c r="FG141">
        <v>0.28999999999999998</v>
      </c>
      <c r="FH141">
        <v>0.28999999999999998</v>
      </c>
      <c r="FI141">
        <v>0.28999999999999998</v>
      </c>
      <c r="FJ141">
        <v>0.28999999999999998</v>
      </c>
      <c r="FK141">
        <v>0.28999999999999998</v>
      </c>
      <c r="FL141">
        <v>0.28999999999999998</v>
      </c>
      <c r="FM141">
        <v>0.28999999999999998</v>
      </c>
      <c r="FN141">
        <v>0.28999999999999998</v>
      </c>
      <c r="FO141">
        <v>0.28999999999999998</v>
      </c>
      <c r="FP141">
        <v>0.28999999999999998</v>
      </c>
      <c r="FQ141">
        <v>0.28999999999999998</v>
      </c>
      <c r="FR141">
        <v>0.28999999999999998</v>
      </c>
      <c r="FS141">
        <v>0.28999999999999998</v>
      </c>
      <c r="FT141">
        <v>0.28999999999999998</v>
      </c>
      <c r="FU141">
        <v>0.28999999999999998</v>
      </c>
      <c r="FV141">
        <v>0.28999999999999998</v>
      </c>
      <c r="FW141">
        <v>0.28999999999999998</v>
      </c>
      <c r="FX141">
        <v>0.28999999999999998</v>
      </c>
      <c r="FY141">
        <v>0.28999999999999998</v>
      </c>
      <c r="FZ141">
        <v>0.28999999999999998</v>
      </c>
      <c r="GA141">
        <v>0.28999999999999998</v>
      </c>
      <c r="GB141">
        <v>0.28999999999999998</v>
      </c>
      <c r="GC141">
        <v>0.28999999999999998</v>
      </c>
      <c r="GD141">
        <v>0.28999999999999998</v>
      </c>
      <c r="GE141">
        <v>0.28999999999999998</v>
      </c>
      <c r="GF141">
        <v>0.28999999999999998</v>
      </c>
      <c r="GG141">
        <v>0.28999999999999998</v>
      </c>
      <c r="GH141">
        <v>0.28999999999999998</v>
      </c>
      <c r="GI141">
        <v>0.28999999999999998</v>
      </c>
      <c r="GJ141">
        <v>0.28999999999999998</v>
      </c>
      <c r="GK141">
        <v>0.28999999999999998</v>
      </c>
      <c r="GL141">
        <v>0.28999999999999998</v>
      </c>
      <c r="GM141">
        <v>0.28999999999999998</v>
      </c>
      <c r="GN141">
        <v>0.28999999999999998</v>
      </c>
      <c r="GO141">
        <v>0.28999999999999998</v>
      </c>
      <c r="GP141">
        <v>0.28999999999999998</v>
      </c>
      <c r="GQ141">
        <v>0.28999999999999998</v>
      </c>
      <c r="GR141">
        <v>0.28999999999999998</v>
      </c>
      <c r="GS141">
        <v>0.28999999999999998</v>
      </c>
      <c r="GT141">
        <v>0.28999999999999998</v>
      </c>
      <c r="GU141">
        <v>0.28999999999999998</v>
      </c>
      <c r="GV141">
        <v>0.28999999999999998</v>
      </c>
      <c r="GW141">
        <v>0.28999999999999998</v>
      </c>
      <c r="GX141">
        <v>0.28999999999999998</v>
      </c>
      <c r="GY141">
        <v>0.28999999999999998</v>
      </c>
      <c r="GZ141">
        <v>0.28999999999999998</v>
      </c>
      <c r="HA141">
        <v>0.28999999999999998</v>
      </c>
      <c r="HB141">
        <v>0.28999999999999998</v>
      </c>
      <c r="HC141">
        <v>0.28999999999999998</v>
      </c>
      <c r="HD141">
        <v>0.28999999999999998</v>
      </c>
      <c r="HE141">
        <v>0.28999999999999998</v>
      </c>
      <c r="HF141">
        <v>0.28999999999999998</v>
      </c>
      <c r="HG141">
        <v>0.28999999999999998</v>
      </c>
      <c r="HH141">
        <v>0.28999999999999998</v>
      </c>
      <c r="HI141">
        <v>0.28999999999999998</v>
      </c>
      <c r="HJ141">
        <v>0.28999999999999998</v>
      </c>
      <c r="HK141">
        <v>0.28999999999999998</v>
      </c>
      <c r="HL141">
        <v>0.28999999999999998</v>
      </c>
      <c r="HM141">
        <v>0.28999999999999998</v>
      </c>
      <c r="HN141">
        <v>0.28999999999999998</v>
      </c>
      <c r="HO141">
        <v>0.28999999999999998</v>
      </c>
      <c r="HP141">
        <v>0.28999999999999998</v>
      </c>
      <c r="HQ141">
        <v>0.28999999999999998</v>
      </c>
      <c r="HR141">
        <v>0.28999999999999998</v>
      </c>
      <c r="HS141">
        <v>0.28999999999999998</v>
      </c>
      <c r="HT141">
        <v>0.28999999999999998</v>
      </c>
      <c r="HU141">
        <v>0.28999999999999998</v>
      </c>
      <c r="HV141">
        <v>0.28999999999999998</v>
      </c>
      <c r="HW141">
        <v>0.28999999999999998</v>
      </c>
      <c r="HX141">
        <v>0.28999999999999998</v>
      </c>
      <c r="HY141">
        <v>0.28999999999999998</v>
      </c>
      <c r="HZ141">
        <v>0.28999999999999998</v>
      </c>
      <c r="IA141">
        <v>0.28999999999999998</v>
      </c>
      <c r="IB141">
        <v>0.28999999999999998</v>
      </c>
      <c r="IC141">
        <v>0.28999999999999998</v>
      </c>
      <c r="ID141">
        <v>0.28999999999999998</v>
      </c>
      <c r="IE141">
        <v>0.28999999999999998</v>
      </c>
      <c r="IF141">
        <v>0.28999999999999998</v>
      </c>
      <c r="IG141">
        <v>0.28999999999999998</v>
      </c>
      <c r="IH141">
        <v>0.28999999999999998</v>
      </c>
      <c r="II141">
        <v>0.28999999999999998</v>
      </c>
      <c r="IJ141">
        <v>0.28999999999999998</v>
      </c>
      <c r="IK141">
        <v>0.28999999999999998</v>
      </c>
      <c r="IL141">
        <v>0.28999999999999998</v>
      </c>
      <c r="IM141">
        <v>0.28999999999999998</v>
      </c>
      <c r="IN141">
        <v>0.28999999999999998</v>
      </c>
      <c r="IO141">
        <v>0.28999999999999998</v>
      </c>
      <c r="IP141">
        <v>0.28999999999999998</v>
      </c>
      <c r="IQ141">
        <v>0.28999999999999998</v>
      </c>
      <c r="IR141">
        <v>0.28999999999999998</v>
      </c>
      <c r="IS141">
        <v>0.28999999999999998</v>
      </c>
      <c r="IT141">
        <v>0.28999999999999998</v>
      </c>
      <c r="IU141">
        <v>0.28999999999999998</v>
      </c>
      <c r="IV141">
        <v>0.28999999999999998</v>
      </c>
      <c r="IW141">
        <v>0.28999999999999998</v>
      </c>
      <c r="IX141">
        <v>0.28999999999999998</v>
      </c>
      <c r="IY141">
        <v>0.28999999999999998</v>
      </c>
      <c r="IZ141">
        <v>0.28999999999999998</v>
      </c>
      <c r="JA141">
        <v>0.28999999999999998</v>
      </c>
      <c r="JB141">
        <v>0.28999999999999998</v>
      </c>
      <c r="JC141">
        <v>0.28999999999999998</v>
      </c>
      <c r="JD141">
        <v>0.28999999999999998</v>
      </c>
      <c r="JE141">
        <v>0.28999999999999998</v>
      </c>
      <c r="JF141">
        <v>0.28999999999999998</v>
      </c>
      <c r="JG141">
        <v>0.28999999999999998</v>
      </c>
      <c r="JH141">
        <v>0.28999999999999998</v>
      </c>
      <c r="JI141">
        <v>0.28999999999999998</v>
      </c>
      <c r="JJ141">
        <v>0.28999999999999998</v>
      </c>
      <c r="JK141">
        <v>0.28999999999999998</v>
      </c>
      <c r="JL141">
        <v>0.28999999999999998</v>
      </c>
      <c r="JM141">
        <v>0.28999999999999998</v>
      </c>
      <c r="JN141">
        <v>0.28999999999999998</v>
      </c>
      <c r="JO141">
        <v>0.28999999999999998</v>
      </c>
      <c r="JP141">
        <v>0.28999999999999998</v>
      </c>
      <c r="JQ141">
        <v>0.28999999999999998</v>
      </c>
      <c r="JR141">
        <v>0.28999999999999998</v>
      </c>
      <c r="JS141">
        <v>0.28999999999999998</v>
      </c>
      <c r="JT141">
        <v>0.28999999999999998</v>
      </c>
      <c r="JU141">
        <v>0.28999999999999998</v>
      </c>
      <c r="JV141">
        <v>0.28999999999999998</v>
      </c>
      <c r="JW141">
        <v>0.28999999999999998</v>
      </c>
      <c r="JX141">
        <v>0.28999999999999998</v>
      </c>
      <c r="JY141">
        <v>0.28999999999999998</v>
      </c>
      <c r="JZ141">
        <v>0.28999999999999998</v>
      </c>
      <c r="KA141">
        <v>0.28999999999999998</v>
      </c>
      <c r="KB141">
        <v>0.28999999999999998</v>
      </c>
      <c r="KC141">
        <v>0.28999999999999998</v>
      </c>
      <c r="KD141">
        <v>0.28999999999999998</v>
      </c>
      <c r="KE141">
        <v>0.28999999999999998</v>
      </c>
      <c r="KF141">
        <v>0.28999999999999998</v>
      </c>
      <c r="KG141">
        <v>0.28999999999999998</v>
      </c>
      <c r="KH141">
        <v>0.28999999999999998</v>
      </c>
      <c r="KI141">
        <v>0.28999999999999998</v>
      </c>
      <c r="KJ141">
        <v>0.28999999999999998</v>
      </c>
      <c r="KK141">
        <v>0.28999999999999998</v>
      </c>
      <c r="KL141">
        <v>0.28999999999999998</v>
      </c>
      <c r="KM141">
        <v>0.28999999999999998</v>
      </c>
      <c r="KN141">
        <v>0.28999999999999998</v>
      </c>
      <c r="KO141">
        <v>0.28999999999999998</v>
      </c>
      <c r="KP141">
        <v>0.28999999999999998</v>
      </c>
      <c r="KQ141">
        <v>0.28999999999999998</v>
      </c>
      <c r="KR141">
        <v>0.28999999999999998</v>
      </c>
      <c r="KS141">
        <v>0.28999999999999998</v>
      </c>
      <c r="KT141">
        <v>0.28999999999999998</v>
      </c>
      <c r="KU141">
        <v>0.28999999999999998</v>
      </c>
      <c r="KV141">
        <v>0.28999999999999998</v>
      </c>
      <c r="KW141">
        <v>0.28999999999999998</v>
      </c>
      <c r="KX141">
        <v>0.28999999999999998</v>
      </c>
      <c r="KY141">
        <v>0.28999999999999998</v>
      </c>
      <c r="KZ141">
        <v>0.28999999999999998</v>
      </c>
      <c r="LA141">
        <v>0.28999999999999998</v>
      </c>
      <c r="LB141">
        <v>0.28999999999999998</v>
      </c>
      <c r="LC141">
        <v>0.28999999999999998</v>
      </c>
      <c r="LD141">
        <v>0.28999999999999998</v>
      </c>
      <c r="LE141">
        <v>0.28999999999999998</v>
      </c>
      <c r="LF141">
        <v>0.28999999999999998</v>
      </c>
      <c r="LG141">
        <v>0.28999999999999998</v>
      </c>
      <c r="LH141">
        <v>0.28999999999999998</v>
      </c>
      <c r="LI141">
        <v>0.28999999999999998</v>
      </c>
      <c r="LJ141">
        <v>0.28999999999999998</v>
      </c>
      <c r="LK141">
        <v>0.28999999999999998</v>
      </c>
      <c r="LL141">
        <v>0.28999999999999998</v>
      </c>
      <c r="LM141">
        <v>0.28999999999999998</v>
      </c>
      <c r="LN141">
        <v>0.28999999999999998</v>
      </c>
      <c r="LO141">
        <v>0.28999999999999998</v>
      </c>
      <c r="LP141">
        <v>0.28999999999999998</v>
      </c>
      <c r="LQ141">
        <v>0.28999999999999998</v>
      </c>
      <c r="LR141">
        <v>0.28999999999999998</v>
      </c>
      <c r="LS141">
        <v>0.28999999999999998</v>
      </c>
      <c r="LT141">
        <v>0.28999999999999998</v>
      </c>
      <c r="LU141">
        <v>0.28999999999999998</v>
      </c>
      <c r="LV141">
        <v>0.28999999999999998</v>
      </c>
      <c r="LW141">
        <v>0.28999999999999998</v>
      </c>
      <c r="LX141">
        <v>0.28999999999999998</v>
      </c>
      <c r="LY141">
        <v>0.28999999999999998</v>
      </c>
      <c r="LZ141">
        <v>0.28999999999999998</v>
      </c>
      <c r="MA141">
        <v>0.28999999999999998</v>
      </c>
      <c r="MB141">
        <v>0.28999999999999998</v>
      </c>
      <c r="MC141">
        <v>0.28999999999999998</v>
      </c>
      <c r="MD141">
        <v>0.28999999999999998</v>
      </c>
      <c r="ME141">
        <v>0.28999999999999998</v>
      </c>
      <c r="MF141">
        <v>0.28999999999999998</v>
      </c>
      <c r="MG141">
        <v>0.28999999999999998</v>
      </c>
      <c r="MH141">
        <v>0.28999999999999998</v>
      </c>
      <c r="MI141">
        <v>0.28999999999999998</v>
      </c>
      <c r="MJ141">
        <v>0.28999999999999998</v>
      </c>
      <c r="MK141">
        <v>0.28999999999999998</v>
      </c>
      <c r="ML141">
        <v>0.28999999999999998</v>
      </c>
      <c r="MM141">
        <v>0.28999999999999998</v>
      </c>
      <c r="MN141">
        <v>0.28999999999999998</v>
      </c>
      <c r="MO141">
        <v>0.28999999999999998</v>
      </c>
      <c r="MP141">
        <v>0.28999999999999998</v>
      </c>
      <c r="MQ141">
        <v>0.28999999999999998</v>
      </c>
      <c r="MR141">
        <v>0.28999999999999998</v>
      </c>
      <c r="MS141">
        <v>0.28999999999999998</v>
      </c>
      <c r="MT141">
        <v>0.28999999999999998</v>
      </c>
      <c r="MU141">
        <v>0.28999999999999998</v>
      </c>
      <c r="MV141">
        <v>0.28999999999999998</v>
      </c>
      <c r="MW141">
        <v>0.28999999999999998</v>
      </c>
      <c r="MX141">
        <v>0.28999999999999998</v>
      </c>
      <c r="MY141">
        <v>0.28999999999999998</v>
      </c>
      <c r="MZ141">
        <v>0.28999999999999998</v>
      </c>
      <c r="NA141">
        <v>0.28999999999999998</v>
      </c>
      <c r="NB141">
        <v>0.28999999999999998</v>
      </c>
      <c r="NC141">
        <v>0.28999999999999998</v>
      </c>
      <c r="ND141">
        <v>0.28999999999999998</v>
      </c>
      <c r="NE141">
        <v>0.28999999999999998</v>
      </c>
      <c r="NF141">
        <v>0.28999999999999998</v>
      </c>
      <c r="NG141">
        <v>0.28999999999999998</v>
      </c>
      <c r="NH141">
        <v>0.28999999999999998</v>
      </c>
      <c r="NI141">
        <v>0.28999999999999998</v>
      </c>
      <c r="NJ141">
        <v>0.28999999999999998</v>
      </c>
      <c r="NK141">
        <v>0.28999999999999998</v>
      </c>
      <c r="NL141">
        <v>0.28999999999999998</v>
      </c>
      <c r="NM141">
        <v>0.28999999999999998</v>
      </c>
      <c r="NN141">
        <v>0.28999999999999998</v>
      </c>
      <c r="NO141">
        <v>0.28999999999999998</v>
      </c>
      <c r="NP141">
        <v>0.28999999999999998</v>
      </c>
      <c r="NQ141">
        <v>0.28999999999999998</v>
      </c>
      <c r="NR141">
        <v>0.28999999999999998</v>
      </c>
      <c r="NS141">
        <v>0.28999999999999998</v>
      </c>
      <c r="NT141">
        <v>0.28999999999999998</v>
      </c>
      <c r="NU141">
        <v>0.28999999999999998</v>
      </c>
      <c r="NV141">
        <v>0.28999999999999998</v>
      </c>
      <c r="NW141">
        <v>0.28999999999999998</v>
      </c>
      <c r="NX141">
        <v>0.28999999999999998</v>
      </c>
      <c r="NY141">
        <v>0.28999999999999998</v>
      </c>
      <c r="NZ141">
        <v>0.28999999999999998</v>
      </c>
      <c r="OA141">
        <v>0.28999999999999998</v>
      </c>
      <c r="OB141">
        <v>0.28999999999999998</v>
      </c>
      <c r="OC141">
        <v>0.28999999999999998</v>
      </c>
      <c r="OD141">
        <v>0.28999999999999998</v>
      </c>
      <c r="OE141">
        <v>0.28999999999999998</v>
      </c>
      <c r="OF141">
        <v>0.28999999999999998</v>
      </c>
      <c r="OG141">
        <v>0.28999999999999998</v>
      </c>
      <c r="OH141">
        <v>0.28999999999999998</v>
      </c>
      <c r="OI141">
        <v>0.28999999999999998</v>
      </c>
      <c r="OJ141">
        <v>0.28999999999999998</v>
      </c>
      <c r="OK141">
        <v>0.28999999999999998</v>
      </c>
      <c r="OL141">
        <v>0.28999999999999998</v>
      </c>
      <c r="OM141">
        <v>0.28999999999999998</v>
      </c>
      <c r="ON141">
        <v>0.28999999999999998</v>
      </c>
      <c r="OO141">
        <v>0.28999999999999998</v>
      </c>
      <c r="OP141">
        <v>0.28999999999999998</v>
      </c>
      <c r="OQ141">
        <v>0.28999999999999998</v>
      </c>
      <c r="OR141">
        <v>0.28999999999999998</v>
      </c>
      <c r="OS141">
        <v>0.28999999999999998</v>
      </c>
      <c r="OT141">
        <v>0.28999999999999998</v>
      </c>
      <c r="OU141">
        <v>0.28999999999999998</v>
      </c>
      <c r="OV141">
        <v>0.28999999999999998</v>
      </c>
      <c r="OW141">
        <v>0.28999999999999998</v>
      </c>
      <c r="OX141">
        <v>0.28999999999999998</v>
      </c>
      <c r="OY141">
        <v>0.28999999999999998</v>
      </c>
      <c r="OZ141">
        <v>0.28999999999999998</v>
      </c>
      <c r="PA141">
        <v>0.28999999999999998</v>
      </c>
      <c r="PB141">
        <v>0.28999999999999998</v>
      </c>
      <c r="PC141">
        <v>0.28999999999999998</v>
      </c>
      <c r="PD141">
        <v>0.28999999999999998</v>
      </c>
      <c r="PE141">
        <v>0.28999999999999998</v>
      </c>
      <c r="PF141">
        <v>0.28999999999999998</v>
      </c>
      <c r="PG141">
        <v>0.28999999999999998</v>
      </c>
      <c r="PH141">
        <v>0.28999999999999998</v>
      </c>
      <c r="PI141">
        <v>0.28999999999999998</v>
      </c>
      <c r="PJ141">
        <v>0.28999999999999998</v>
      </c>
      <c r="PK141">
        <v>0.28999999999999998</v>
      </c>
      <c r="PL141">
        <v>0.28999999999999998</v>
      </c>
      <c r="PM141">
        <v>0.28999999999999998</v>
      </c>
      <c r="PN141">
        <v>0.28999999999999998</v>
      </c>
      <c r="PO141">
        <v>0.28999999999999998</v>
      </c>
      <c r="PP141">
        <v>0.28999999999999998</v>
      </c>
      <c r="PQ141">
        <v>0.28999999999999998</v>
      </c>
      <c r="PR141">
        <v>0.28999999999999998</v>
      </c>
      <c r="PS141">
        <v>0.28999999999999998</v>
      </c>
      <c r="PT141">
        <v>0.28999999999999998</v>
      </c>
      <c r="PU141">
        <v>0.28999999999999998</v>
      </c>
      <c r="PV141">
        <v>0.28999999999999998</v>
      </c>
      <c r="PW141">
        <v>0.28999999999999998</v>
      </c>
      <c r="PX141">
        <v>0.28999999999999998</v>
      </c>
      <c r="PY141">
        <v>0.28999999999999998</v>
      </c>
      <c r="PZ141">
        <v>0.28999999999999998</v>
      </c>
      <c r="QA141">
        <v>0.28999999999999998</v>
      </c>
      <c r="QB141">
        <v>0.28999999999999998</v>
      </c>
      <c r="QC141">
        <v>0.28999999999999998</v>
      </c>
      <c r="QD141">
        <v>0.28999999999999998</v>
      </c>
      <c r="QE141">
        <v>0.28999999999999998</v>
      </c>
      <c r="QF141">
        <v>0.28999999999999998</v>
      </c>
      <c r="QG141">
        <v>0.28999999999999998</v>
      </c>
      <c r="QH141">
        <v>0.28999999999999998</v>
      </c>
      <c r="QI141">
        <v>0.28999999999999998</v>
      </c>
      <c r="QJ141">
        <v>0.28999999999999998</v>
      </c>
      <c r="QK141">
        <v>0.28999999999999998</v>
      </c>
      <c r="QL141">
        <v>0.28999999999999998</v>
      </c>
      <c r="QM141">
        <v>0.28999999999999998</v>
      </c>
      <c r="QN141">
        <v>0.28999999999999998</v>
      </c>
      <c r="QO141">
        <v>0.28999999999999998</v>
      </c>
      <c r="QP141">
        <v>0.28999999999999998</v>
      </c>
      <c r="QQ141">
        <v>0.28999999999999998</v>
      </c>
      <c r="QR141">
        <v>0.28999999999999998</v>
      </c>
      <c r="QS141">
        <v>0.28999999999999998</v>
      </c>
      <c r="QT141">
        <v>0.28999999999999998</v>
      </c>
      <c r="QU141">
        <v>0.28999999999999998</v>
      </c>
      <c r="QV141">
        <v>0.28999999999999998</v>
      </c>
      <c r="QW141">
        <v>0.28999999999999998</v>
      </c>
      <c r="QX141">
        <v>0.28999999999999998</v>
      </c>
      <c r="QY141">
        <v>0.28999999999999998</v>
      </c>
      <c r="QZ141">
        <v>0.28999999999999998</v>
      </c>
      <c r="RA141">
        <v>0.28999999999999998</v>
      </c>
      <c r="RB141">
        <v>0.28999999999999998</v>
      </c>
      <c r="RC141">
        <v>0.28999999999999998</v>
      </c>
      <c r="RD141">
        <v>0.28999999999999998</v>
      </c>
      <c r="RE141">
        <v>0.28999999999999998</v>
      </c>
      <c r="RF141">
        <v>0.28999999999999998</v>
      </c>
      <c r="RG141">
        <v>0.28999999999999998</v>
      </c>
      <c r="RH141">
        <v>0.28999999999999998</v>
      </c>
      <c r="RI141">
        <v>0.28999999999999998</v>
      </c>
      <c r="RJ141">
        <v>0.28999999999999998</v>
      </c>
      <c r="RK141">
        <v>0.28999999999999998</v>
      </c>
      <c r="RL141">
        <v>0.28999999999999998</v>
      </c>
      <c r="RM141">
        <v>0.28999999999999998</v>
      </c>
      <c r="RN141">
        <v>0.28999999999999998</v>
      </c>
      <c r="RO141">
        <v>0.28999999999999998</v>
      </c>
      <c r="RP141">
        <v>0.28999999999999998</v>
      </c>
      <c r="RQ141">
        <v>0.28999999999999998</v>
      </c>
      <c r="RR141">
        <v>0.28999999999999998</v>
      </c>
      <c r="RS141">
        <v>0.28999999999999998</v>
      </c>
      <c r="RT141">
        <v>0.28999999999999998</v>
      </c>
      <c r="RU141">
        <v>0.28999999999999998</v>
      </c>
      <c r="RV141">
        <v>0.28999999999999998</v>
      </c>
      <c r="RW141">
        <v>0.28999999999999998</v>
      </c>
      <c r="RX141">
        <v>0.28999999999999998</v>
      </c>
      <c r="RY141">
        <v>0.28999999999999998</v>
      </c>
      <c r="RZ141">
        <v>0.28999999999999998</v>
      </c>
      <c r="SA141">
        <v>0.28999999999999998</v>
      </c>
      <c r="SB141">
        <v>0.28999999999999998</v>
      </c>
      <c r="SC141">
        <v>0.28999999999999998</v>
      </c>
      <c r="SD141">
        <v>0.28999999999999998</v>
      </c>
      <c r="SE141">
        <v>0.28999999999999998</v>
      </c>
      <c r="SF141">
        <v>0.28999999999999998</v>
      </c>
      <c r="SG141">
        <v>0.28999999999999998</v>
      </c>
      <c r="SH141">
        <v>0.28999999999999998</v>
      </c>
      <c r="SI141">
        <v>0.28999999999999998</v>
      </c>
      <c r="SJ141">
        <v>0.28999999999999998</v>
      </c>
      <c r="SK141">
        <v>0.28999999999999998</v>
      </c>
      <c r="SL141">
        <v>0.28999999999999998</v>
      </c>
      <c r="SM141">
        <v>0.28999999999999998</v>
      </c>
      <c r="SN141">
        <v>0.28999999999999998</v>
      </c>
      <c r="SO141">
        <v>0.28999999999999998</v>
      </c>
      <c r="SP141">
        <v>0.28999999999999998</v>
      </c>
      <c r="SQ141">
        <v>0.28999999999999998</v>
      </c>
      <c r="SR141">
        <v>0.28999999999999998</v>
      </c>
      <c r="SS141">
        <v>0.28999999999999998</v>
      </c>
      <c r="ST141">
        <v>0.28999999999999998</v>
      </c>
      <c r="SU141">
        <v>0.28999999999999998</v>
      </c>
      <c r="SV141">
        <v>0.28999999999999998</v>
      </c>
      <c r="SW141">
        <v>0.28999999999999998</v>
      </c>
      <c r="SX141">
        <v>0.28999999999999998</v>
      </c>
      <c r="SY141">
        <v>0.28999999999999998</v>
      </c>
      <c r="SZ141">
        <v>0.28999999999999998</v>
      </c>
      <c r="TA141">
        <v>0.28999999999999998</v>
      </c>
      <c r="TB141">
        <v>0.28999999999999998</v>
      </c>
      <c r="TC141">
        <v>0.28999999999999998</v>
      </c>
      <c r="TD141">
        <v>0.28999999999999998</v>
      </c>
      <c r="TE141">
        <v>0.28999999999999998</v>
      </c>
      <c r="TF141">
        <v>0.28999999999999998</v>
      </c>
      <c r="TG141">
        <v>0.28999999999999998</v>
      </c>
      <c r="TH141">
        <v>0.28999999999999998</v>
      </c>
      <c r="TI141">
        <v>0.28999999999999998</v>
      </c>
      <c r="TJ141">
        <v>0.28999999999999998</v>
      </c>
      <c r="TK141">
        <v>0.28999999999999998</v>
      </c>
      <c r="TL141">
        <v>0.28999999999999998</v>
      </c>
      <c r="TM141">
        <v>0.28999999999999998</v>
      </c>
      <c r="TN141">
        <v>0.28999999999999998</v>
      </c>
      <c r="TO141">
        <v>0.28999999999999998</v>
      </c>
      <c r="TP141">
        <v>0.28999999999999998</v>
      </c>
      <c r="TQ141">
        <v>0.28999999999999998</v>
      </c>
      <c r="TR141">
        <v>0.28999999999999998</v>
      </c>
      <c r="TS141">
        <v>0.28999999999999998</v>
      </c>
      <c r="TT141">
        <v>0.28999999999999998</v>
      </c>
      <c r="TU141">
        <v>0.28999999999999998</v>
      </c>
      <c r="TV141">
        <v>0.28999999999999998</v>
      </c>
      <c r="TW141">
        <v>0.28999999999999998</v>
      </c>
      <c r="TX141">
        <v>0.28999999999999998</v>
      </c>
      <c r="TY141">
        <v>0.28999999999999998</v>
      </c>
      <c r="TZ141">
        <v>0.28999999999999998</v>
      </c>
      <c r="UA141">
        <v>0.28999999999999998</v>
      </c>
      <c r="UB141">
        <v>0.28999999999999998</v>
      </c>
      <c r="UC141">
        <v>0.28999999999999998</v>
      </c>
      <c r="UD141">
        <v>0.28999999999999998</v>
      </c>
      <c r="UE141">
        <v>0.28999999999999998</v>
      </c>
      <c r="UF141">
        <v>0.28999999999999998</v>
      </c>
      <c r="UG141">
        <v>0.28999999999999998</v>
      </c>
      <c r="UH141">
        <v>0.28999999999999998</v>
      </c>
      <c r="UI141">
        <v>0.28999999999999998</v>
      </c>
      <c r="UJ141">
        <v>0.28999999999999998</v>
      </c>
      <c r="UK141">
        <v>0.28999999999999998</v>
      </c>
      <c r="UL141">
        <v>0.28999999999999998</v>
      </c>
      <c r="UM141">
        <v>0.28999999999999998</v>
      </c>
      <c r="UN141">
        <v>0.28999999999999998</v>
      </c>
      <c r="UO141">
        <v>0.28999999999999998</v>
      </c>
      <c r="UP141">
        <v>0.28999999999999998</v>
      </c>
      <c r="UQ141">
        <v>0.28999999999999998</v>
      </c>
      <c r="UR141">
        <v>0.28999999999999998</v>
      </c>
      <c r="US141">
        <v>0.28999999999999998</v>
      </c>
      <c r="UT141">
        <v>0.28999999999999998</v>
      </c>
      <c r="UU141">
        <v>0.28999999999999998</v>
      </c>
      <c r="UV141">
        <v>0.28999999999999998</v>
      </c>
      <c r="UW141">
        <v>0.28999999999999998</v>
      </c>
      <c r="UX141">
        <v>0.28999999999999998</v>
      </c>
      <c r="UY141">
        <v>0.28999999999999998</v>
      </c>
      <c r="UZ141">
        <v>0.28999999999999998</v>
      </c>
      <c r="VA141">
        <v>0.28999999999999998</v>
      </c>
      <c r="VB141">
        <v>0.28999999999999998</v>
      </c>
      <c r="VC141">
        <v>0.28999999999999998</v>
      </c>
      <c r="VD141">
        <v>0.28999999999999998</v>
      </c>
      <c r="VE141">
        <v>0.28999999999999998</v>
      </c>
      <c r="VF141">
        <v>0.28999999999999998</v>
      </c>
      <c r="VG141">
        <v>0.28999999999999998</v>
      </c>
      <c r="VH141">
        <v>0.28999999999999998</v>
      </c>
      <c r="VI141">
        <v>0.28999999999999998</v>
      </c>
      <c r="VJ141">
        <v>0.28999999999999998</v>
      </c>
      <c r="VK141">
        <v>0.28999999999999998</v>
      </c>
      <c r="VL141">
        <v>0.28999999999999998</v>
      </c>
      <c r="VM141">
        <v>0.28999999999999998</v>
      </c>
      <c r="VN141">
        <v>0.28999999999999998</v>
      </c>
      <c r="VO141">
        <v>0.28999999999999998</v>
      </c>
      <c r="VP141">
        <v>0.28999999999999998</v>
      </c>
      <c r="VQ141">
        <v>0.28999999999999998</v>
      </c>
      <c r="VR141">
        <v>0.28999999999999998</v>
      </c>
      <c r="VS141">
        <v>0.28999999999999998</v>
      </c>
      <c r="VT141">
        <v>0.28999999999999998</v>
      </c>
      <c r="VU141">
        <v>0.28999999999999998</v>
      </c>
      <c r="VV141">
        <v>0.28999999999999998</v>
      </c>
      <c r="VW141">
        <v>0.28999999999999998</v>
      </c>
      <c r="VX141">
        <v>0.28999999999999998</v>
      </c>
      <c r="VY141">
        <v>0.28999999999999998</v>
      </c>
      <c r="VZ141">
        <v>0.28999999999999998</v>
      </c>
      <c r="WA141">
        <v>0.28999999999999998</v>
      </c>
      <c r="WB141">
        <v>0.28999999999999998</v>
      </c>
      <c r="WC141">
        <v>0.28999999999999998</v>
      </c>
      <c r="WD141">
        <v>0.28999999999999998</v>
      </c>
      <c r="WE141">
        <v>0.28999999999999998</v>
      </c>
      <c r="WF141">
        <v>0.28999999999999998</v>
      </c>
      <c r="WG141">
        <v>0.28999999999999998</v>
      </c>
      <c r="WH141">
        <v>0.28999999999999998</v>
      </c>
      <c r="WI141">
        <v>0.28999999999999998</v>
      </c>
      <c r="WJ141">
        <v>0.28999999999999998</v>
      </c>
      <c r="WK141">
        <v>0.28999999999999998</v>
      </c>
      <c r="WL141">
        <v>0.28999999999999998</v>
      </c>
      <c r="WM141">
        <v>0.28999999999999998</v>
      </c>
      <c r="WN141">
        <v>0.28999999999999998</v>
      </c>
      <c r="WO141">
        <v>0.28999999999999998</v>
      </c>
      <c r="WP141">
        <v>0.28999999999999998</v>
      </c>
      <c r="WQ141">
        <v>0.28999999999999998</v>
      </c>
      <c r="WR141">
        <v>0.28999999999999998</v>
      </c>
      <c r="WS141">
        <v>0.28999999999999998</v>
      </c>
      <c r="WT141">
        <v>0.28999999999999998</v>
      </c>
      <c r="WU141">
        <v>0.28999999999999998</v>
      </c>
      <c r="WV141">
        <v>0.28999999999999998</v>
      </c>
      <c r="WW141">
        <v>0.28999999999999998</v>
      </c>
      <c r="WX141">
        <v>0.28999999999999998</v>
      </c>
      <c r="WY141">
        <v>0.28999999999999998</v>
      </c>
      <c r="WZ141">
        <v>0.28999999999999998</v>
      </c>
      <c r="XA141">
        <v>0.28999999999999998</v>
      </c>
      <c r="XB141">
        <v>0.28999999999999998</v>
      </c>
      <c r="XC141">
        <v>0.28999999999999998</v>
      </c>
      <c r="XD141">
        <v>0.28999999999999998</v>
      </c>
      <c r="XE141">
        <v>0.28999999999999998</v>
      </c>
      <c r="XF141">
        <v>0.28999999999999998</v>
      </c>
      <c r="XG141">
        <v>0.28999999999999998</v>
      </c>
      <c r="XH141">
        <v>0.28999999999999998</v>
      </c>
      <c r="XI141">
        <v>0.28999999999999998</v>
      </c>
      <c r="XJ141">
        <v>0.28999999999999998</v>
      </c>
      <c r="XK141">
        <v>0.28999999999999998</v>
      </c>
      <c r="XL141">
        <v>0.28999999999999998</v>
      </c>
      <c r="XM141">
        <v>0.28999999999999998</v>
      </c>
      <c r="XN141">
        <v>0.28999999999999998</v>
      </c>
      <c r="XO141">
        <v>0.28999999999999998</v>
      </c>
      <c r="XP141">
        <v>0.28999999999999998</v>
      </c>
      <c r="XQ141">
        <v>0.28999999999999998</v>
      </c>
      <c r="XR141">
        <v>0.28999999999999998</v>
      </c>
      <c r="XS141">
        <v>0.28999999999999998</v>
      </c>
      <c r="XT141">
        <v>0.28999999999999998</v>
      </c>
      <c r="XU141">
        <v>0.28999999999999998</v>
      </c>
      <c r="XV141">
        <v>0.28999999999999998</v>
      </c>
      <c r="XW141">
        <v>0.28999999999999998</v>
      </c>
      <c r="XX141">
        <v>0.28999999999999998</v>
      </c>
      <c r="XY141">
        <v>0.28999999999999998</v>
      </c>
      <c r="XZ141">
        <v>0.28999999999999998</v>
      </c>
      <c r="YA141">
        <v>0.28999999999999998</v>
      </c>
      <c r="YB141">
        <v>0.28999999999999998</v>
      </c>
      <c r="YC141">
        <v>0.28999999999999998</v>
      </c>
      <c r="YD141">
        <v>0.28999999999999998</v>
      </c>
      <c r="YE141">
        <v>0.28999999999999998</v>
      </c>
      <c r="YF141">
        <v>0.28999999999999998</v>
      </c>
      <c r="YG141">
        <v>0.28999999999999998</v>
      </c>
      <c r="YH141">
        <v>0.28999999999999998</v>
      </c>
      <c r="YI141">
        <v>0.28999999999999998</v>
      </c>
      <c r="YJ141">
        <v>0.28999999999999998</v>
      </c>
      <c r="YK141">
        <v>0.28999999999999998</v>
      </c>
      <c r="YL141">
        <v>0.28999999999999998</v>
      </c>
      <c r="YM141">
        <v>0.28999999999999998</v>
      </c>
      <c r="YN141">
        <v>0.28999999999999998</v>
      </c>
      <c r="YO141">
        <v>0.28999999999999998</v>
      </c>
      <c r="YP141">
        <v>0.28999999999999998</v>
      </c>
      <c r="YQ141">
        <v>0.28999999999999998</v>
      </c>
      <c r="YR141">
        <v>0.28999999999999998</v>
      </c>
      <c r="YS141">
        <v>0.28999999999999998</v>
      </c>
      <c r="YT141">
        <v>0.28999999999999998</v>
      </c>
      <c r="YU141">
        <v>0.28999999999999998</v>
      </c>
      <c r="YV141">
        <v>0.28999999999999998</v>
      </c>
      <c r="YW141">
        <v>0.28999999999999998</v>
      </c>
      <c r="YX141">
        <v>0.28999999999999998</v>
      </c>
      <c r="YY141">
        <v>0.28999999999999998</v>
      </c>
      <c r="YZ141">
        <v>0.28999999999999998</v>
      </c>
      <c r="ZA141">
        <v>0.28999999999999998</v>
      </c>
      <c r="ZB141">
        <v>0.28999999999999998</v>
      </c>
      <c r="ZC141">
        <v>0.28999999999999998</v>
      </c>
      <c r="ZD141">
        <v>0.28999999999999998</v>
      </c>
      <c r="ZE141">
        <v>0.28999999999999998</v>
      </c>
      <c r="ZF141">
        <v>0.28999999999999998</v>
      </c>
      <c r="ZG141">
        <v>0.28999999999999998</v>
      </c>
      <c r="ZH141">
        <v>0.28999999999999998</v>
      </c>
      <c r="ZI141">
        <v>0.28999999999999998</v>
      </c>
      <c r="ZJ141">
        <v>0.28999999999999998</v>
      </c>
      <c r="ZK141">
        <v>0.28999999999999998</v>
      </c>
      <c r="ZL141">
        <v>0.28999999999999998</v>
      </c>
      <c r="ZM141">
        <v>0.28999999999999998</v>
      </c>
      <c r="ZN141">
        <v>0.28999999999999998</v>
      </c>
      <c r="ZO141">
        <v>0.28999999999999998</v>
      </c>
      <c r="ZP141">
        <v>0.28999999999999998</v>
      </c>
      <c r="ZQ141">
        <v>0.28999999999999998</v>
      </c>
      <c r="ZR141">
        <v>0.28999999999999998</v>
      </c>
      <c r="ZS141">
        <v>0.28999999999999998</v>
      </c>
      <c r="ZT141">
        <v>0.28999999999999998</v>
      </c>
      <c r="ZU141">
        <v>0.28999999999999998</v>
      </c>
      <c r="ZV141">
        <v>0.28999999999999998</v>
      </c>
      <c r="ZW141">
        <v>0.28999999999999998</v>
      </c>
      <c r="ZX141">
        <v>0.28999999999999998</v>
      </c>
      <c r="ZY141">
        <v>0.28999999999999998</v>
      </c>
      <c r="ZZ141">
        <v>0.28999999999999998</v>
      </c>
      <c r="AAA141">
        <v>0.28999999999999998</v>
      </c>
      <c r="AAB141">
        <v>0.28999999999999998</v>
      </c>
      <c r="AAC141">
        <v>0.28999999999999998</v>
      </c>
      <c r="AAD141">
        <v>0.28999999999999998</v>
      </c>
      <c r="AAE141">
        <v>0.28999999999999998</v>
      </c>
      <c r="AAF141">
        <v>0.28999999999999998</v>
      </c>
      <c r="AAG141">
        <v>0.28999999999999998</v>
      </c>
      <c r="AAH141">
        <v>0.28999999999999998</v>
      </c>
      <c r="AAI141">
        <v>0.28999999999999998</v>
      </c>
      <c r="AAJ141">
        <v>0.28999999999999998</v>
      </c>
      <c r="AAK141">
        <v>0.28999999999999998</v>
      </c>
      <c r="AAL141">
        <v>0.28999999999999998</v>
      </c>
      <c r="AAM141">
        <v>0.28999999999999998</v>
      </c>
      <c r="AAN141">
        <v>0.28999999999999998</v>
      </c>
      <c r="AAO141">
        <v>0.28999999999999998</v>
      </c>
      <c r="AAP141">
        <v>0.28999999999999998</v>
      </c>
      <c r="AAQ141">
        <v>0.28999999999999998</v>
      </c>
      <c r="AAR141">
        <v>0.28999999999999998</v>
      </c>
      <c r="AAS141">
        <v>0.28999999999999998</v>
      </c>
      <c r="AAT141">
        <v>0.28999999999999998</v>
      </c>
      <c r="AAU141">
        <v>0.28999999999999998</v>
      </c>
      <c r="AAV141">
        <v>0.28999999999999998</v>
      </c>
      <c r="AAW141">
        <v>0.28999999999999998</v>
      </c>
      <c r="AAX141">
        <v>0.28999999999999998</v>
      </c>
      <c r="AAY141">
        <v>0.28999999999999998</v>
      </c>
      <c r="AAZ141">
        <v>0.28999999999999998</v>
      </c>
      <c r="ABA141">
        <v>0.28999999999999998</v>
      </c>
      <c r="ABB141">
        <v>0.28999999999999998</v>
      </c>
      <c r="ABC141">
        <v>0.28999999999999998</v>
      </c>
      <c r="ABD141">
        <v>0.28999999999999998</v>
      </c>
      <c r="ABE141">
        <v>0.28999999999999998</v>
      </c>
      <c r="ABF141">
        <v>0.28999999999999998</v>
      </c>
      <c r="ABG141">
        <v>0.28999999999999998</v>
      </c>
      <c r="ABH141">
        <v>0.28999999999999998</v>
      </c>
      <c r="ABI141">
        <v>0.28999999999999998</v>
      </c>
      <c r="ABJ141">
        <v>0.28999999999999998</v>
      </c>
      <c r="ABK141">
        <v>0.28999999999999998</v>
      </c>
      <c r="ABL141">
        <v>0.28999999999999998</v>
      </c>
      <c r="ABM141">
        <v>0.28999999999999998</v>
      </c>
      <c r="ABN141">
        <v>0.28999999999999998</v>
      </c>
      <c r="ABO141">
        <v>0.28999999999999998</v>
      </c>
      <c r="ABP141">
        <v>0.28999999999999998</v>
      </c>
      <c r="ABQ141">
        <v>0.28999999999999998</v>
      </c>
      <c r="ABR141">
        <v>0.28999999999999998</v>
      </c>
      <c r="ABS141">
        <v>0.28999999999999998</v>
      </c>
      <c r="ABT141">
        <v>0.28999999999999998</v>
      </c>
      <c r="ABU141">
        <v>0.28999999999999998</v>
      </c>
      <c r="ABV141">
        <v>0.28999999999999998</v>
      </c>
      <c r="ABW141">
        <v>0.28999999999999998</v>
      </c>
      <c r="ABX141">
        <v>0.28999999999999998</v>
      </c>
      <c r="ABY141">
        <v>0.28999999999999998</v>
      </c>
      <c r="ABZ141">
        <v>0.28999999999999998</v>
      </c>
      <c r="ACA141">
        <v>0.28999999999999998</v>
      </c>
      <c r="ACB141">
        <v>0.28999999999999998</v>
      </c>
      <c r="ACC141">
        <v>0.28999999999999998</v>
      </c>
      <c r="ACD141">
        <v>0.28999999999999998</v>
      </c>
      <c r="ACE141">
        <v>0.28999999999999998</v>
      </c>
      <c r="ACF141">
        <v>0.28999999999999998</v>
      </c>
      <c r="ACG141">
        <v>0.28999999999999998</v>
      </c>
      <c r="ACH141">
        <v>0.28999999999999998</v>
      </c>
      <c r="ACI141">
        <v>0.28999999999999998</v>
      </c>
      <c r="ACJ141">
        <v>0.28999999999999998</v>
      </c>
      <c r="ACK141">
        <v>0.28999999999999998</v>
      </c>
      <c r="ACL141">
        <v>0.28999999999999998</v>
      </c>
      <c r="ACM141">
        <v>0.28999999999999998</v>
      </c>
      <c r="ACN141">
        <v>0.28999999999999998</v>
      </c>
      <c r="ACO141">
        <v>0.28999999999999998</v>
      </c>
      <c r="ACP141">
        <v>0.28999999999999998</v>
      </c>
      <c r="ACQ141">
        <v>0.28999999999999998</v>
      </c>
      <c r="ACR141">
        <v>0.28999999999999998</v>
      </c>
      <c r="ACS141">
        <v>0.28999999999999998</v>
      </c>
      <c r="ACT141">
        <v>0.28999999999999998</v>
      </c>
      <c r="ACU141">
        <v>0.28999999999999998</v>
      </c>
      <c r="ACV141">
        <v>0.28999999999999998</v>
      </c>
      <c r="ACW141">
        <v>0.28999999999999998</v>
      </c>
      <c r="ACX141">
        <v>0.28999999999999998</v>
      </c>
      <c r="ACY141">
        <v>0.28999999999999998</v>
      </c>
      <c r="ACZ141">
        <v>0.28999999999999998</v>
      </c>
      <c r="ADA141">
        <v>0.28999999999999998</v>
      </c>
      <c r="ADB141">
        <v>0.28999999999999998</v>
      </c>
      <c r="ADC141">
        <v>0.28999999999999998</v>
      </c>
      <c r="ADD141">
        <v>0.28999999999999998</v>
      </c>
      <c r="ADE141">
        <v>0.28999999999999998</v>
      </c>
      <c r="ADF141">
        <v>0.28999999999999998</v>
      </c>
      <c r="ADG141">
        <v>0.28999999999999998</v>
      </c>
      <c r="ADH141">
        <v>0.28999999999999998</v>
      </c>
      <c r="ADI141">
        <v>0.28999999999999998</v>
      </c>
      <c r="ADJ141">
        <v>0.28999999999999998</v>
      </c>
      <c r="ADK141">
        <v>0.28999999999999998</v>
      </c>
      <c r="ADL141">
        <v>0.28999999999999998</v>
      </c>
      <c r="ADM141">
        <v>0.28999999999999998</v>
      </c>
      <c r="ADN141">
        <v>0.28999999999999998</v>
      </c>
      <c r="ADO141">
        <v>0.28999999999999998</v>
      </c>
      <c r="ADP141">
        <v>0.28999999999999998</v>
      </c>
      <c r="ADQ141">
        <v>0.28999999999999998</v>
      </c>
      <c r="ADR141">
        <v>0.28999999999999998</v>
      </c>
      <c r="ADS141">
        <v>0.28999999999999998</v>
      </c>
      <c r="ADT141">
        <v>0.28999999999999998</v>
      </c>
      <c r="ADU141">
        <v>0.28999999999999998</v>
      </c>
      <c r="ADV141">
        <v>0.28999999999999998</v>
      </c>
      <c r="ADW141">
        <v>0.28999999999999998</v>
      </c>
      <c r="ADX141">
        <v>0.28999999999999998</v>
      </c>
      <c r="ADY141">
        <v>0.28999999999999998</v>
      </c>
      <c r="ADZ141">
        <v>0.28999999999999998</v>
      </c>
      <c r="AEA141">
        <v>0.28999999999999998</v>
      </c>
      <c r="AEB141">
        <v>0.28999999999999998</v>
      </c>
      <c r="AEC141">
        <v>0.28999999999999998</v>
      </c>
      <c r="AED141">
        <v>0.28999999999999998</v>
      </c>
      <c r="AEE141">
        <v>0.28999999999999998</v>
      </c>
      <c r="AEF141">
        <v>0.28999999999999998</v>
      </c>
      <c r="AEG141">
        <v>0.28999999999999998</v>
      </c>
      <c r="AEH141">
        <v>0.28999999999999998</v>
      </c>
      <c r="AEI141">
        <v>0.28999999999999998</v>
      </c>
      <c r="AEJ141">
        <v>0.28999999999999998</v>
      </c>
      <c r="AEK141">
        <v>0.28999999999999998</v>
      </c>
      <c r="AEL141">
        <v>0.28999999999999998</v>
      </c>
      <c r="AEM141">
        <v>0.28999999999999998</v>
      </c>
      <c r="AEN141">
        <v>0.28999999999999998</v>
      </c>
      <c r="AEO141">
        <v>0.28999999999999998</v>
      </c>
      <c r="AEP141">
        <v>0.28999999999999998</v>
      </c>
      <c r="AEQ141">
        <v>0.28999999999999998</v>
      </c>
      <c r="AER141">
        <v>0.28999999999999998</v>
      </c>
      <c r="AES141">
        <v>0.28999999999999998</v>
      </c>
      <c r="AET141">
        <v>0.28999999999999998</v>
      </c>
      <c r="AEU141">
        <v>0.28999999999999998</v>
      </c>
      <c r="AEV141">
        <v>0.28999999999999998</v>
      </c>
      <c r="AEW141">
        <v>0.28999999999999998</v>
      </c>
      <c r="AEX141">
        <v>0.28999999999999998</v>
      </c>
      <c r="AEY141">
        <v>0.28999999999999998</v>
      </c>
      <c r="AEZ141">
        <v>0.28999999999999998</v>
      </c>
      <c r="AFA141">
        <v>0.28999999999999998</v>
      </c>
      <c r="AFB141">
        <v>0.28999999999999998</v>
      </c>
      <c r="AFC141">
        <v>0.28999999999999998</v>
      </c>
      <c r="AFD141">
        <v>0.28999999999999998</v>
      </c>
      <c r="AFE141">
        <v>0.28999999999999998</v>
      </c>
      <c r="AFF141">
        <v>0.28999999999999998</v>
      </c>
      <c r="AFG141">
        <v>0.28999999999999998</v>
      </c>
      <c r="AFH141">
        <v>0.28999999999999998</v>
      </c>
      <c r="AFI141">
        <v>0.28999999999999998</v>
      </c>
      <c r="AFJ141">
        <v>0.28999999999999998</v>
      </c>
      <c r="AFK141">
        <v>0.28999999999999998</v>
      </c>
      <c r="AFL141">
        <v>0.28999999999999998</v>
      </c>
      <c r="AFM141">
        <v>0.28999999999999998</v>
      </c>
      <c r="AFN141">
        <v>0.28999999999999998</v>
      </c>
      <c r="AFO141">
        <v>0.28999999999999998</v>
      </c>
      <c r="AFP141">
        <v>0.28999999999999998</v>
      </c>
      <c r="AFQ141">
        <v>0.28999999999999998</v>
      </c>
      <c r="AFR141">
        <v>0.28999999999999998</v>
      </c>
      <c r="AFS141">
        <v>0.28999999999999998</v>
      </c>
      <c r="AFT141">
        <v>0.28999999999999998</v>
      </c>
      <c r="AFU141">
        <v>0.28999999999999998</v>
      </c>
      <c r="AFV141">
        <v>0.28999999999999998</v>
      </c>
      <c r="AFW141">
        <v>0.28999999999999998</v>
      </c>
      <c r="AFX141">
        <v>0.28999999999999998</v>
      </c>
      <c r="AFY141">
        <v>0.28999999999999998</v>
      </c>
      <c r="AFZ141">
        <v>0.28999999999999998</v>
      </c>
      <c r="AGA141">
        <v>0.28999999999999998</v>
      </c>
      <c r="AGB141">
        <v>0.28999999999999998</v>
      </c>
      <c r="AGC141">
        <v>0.28999999999999998</v>
      </c>
      <c r="AGD141">
        <v>0.28999999999999998</v>
      </c>
      <c r="AGE141">
        <v>0.28999999999999998</v>
      </c>
      <c r="AGF141">
        <v>0.28999999999999998</v>
      </c>
      <c r="AGG141">
        <v>0.28999999999999998</v>
      </c>
      <c r="AGH141">
        <v>0.28999999999999998</v>
      </c>
      <c r="AGI141">
        <v>0.28999999999999998</v>
      </c>
      <c r="AGJ141">
        <v>0.28999999999999998</v>
      </c>
      <c r="AGK141">
        <v>0.28999999999999998</v>
      </c>
      <c r="AGL141">
        <v>0.28999999999999998</v>
      </c>
      <c r="AGM141">
        <v>0.28999999999999998</v>
      </c>
      <c r="AGN141">
        <v>0.28999999999999998</v>
      </c>
      <c r="AGO141">
        <v>0.28999999999999998</v>
      </c>
      <c r="AGP141">
        <v>0.28999999999999998</v>
      </c>
      <c r="AGQ141">
        <v>0.28999999999999998</v>
      </c>
      <c r="AGR141">
        <v>0.28999999999999998</v>
      </c>
      <c r="AGS141">
        <v>0.28999999999999998</v>
      </c>
      <c r="AGT141">
        <v>0.28999999999999998</v>
      </c>
      <c r="AGU141">
        <v>0.28999999999999998</v>
      </c>
      <c r="AGV141">
        <v>0.28999999999999998</v>
      </c>
      <c r="AGW141">
        <v>0.28999999999999998</v>
      </c>
      <c r="AGX141">
        <v>0.28999999999999998</v>
      </c>
      <c r="AGY141">
        <v>0.28999999999999998</v>
      </c>
      <c r="AGZ141">
        <v>0.28999999999999998</v>
      </c>
      <c r="AHA141">
        <v>0.28999999999999998</v>
      </c>
      <c r="AHB141">
        <v>0.28999999999999998</v>
      </c>
      <c r="AHC141">
        <v>0.28999999999999998</v>
      </c>
      <c r="AHD141">
        <v>0.28999999999999998</v>
      </c>
      <c r="AHE141">
        <v>0.28999999999999998</v>
      </c>
      <c r="AHF141">
        <v>0.28999999999999998</v>
      </c>
      <c r="AHG141">
        <v>0.28999999999999998</v>
      </c>
      <c r="AHH141">
        <v>0.28999999999999998</v>
      </c>
      <c r="AHI141">
        <v>0.28999999999999998</v>
      </c>
      <c r="AHJ141">
        <v>0.28999999999999998</v>
      </c>
      <c r="AHK141">
        <v>0.28999999999999998</v>
      </c>
      <c r="AHL141">
        <v>0.28999999999999998</v>
      </c>
      <c r="AHM141">
        <v>0.28999999999999998</v>
      </c>
      <c r="AHN141">
        <v>0.28999999999999998</v>
      </c>
      <c r="AHO141">
        <v>0.28999999999999998</v>
      </c>
      <c r="AHP141">
        <v>0.28999999999999998</v>
      </c>
      <c r="AHQ141">
        <v>0.28999999999999998</v>
      </c>
      <c r="AHR141">
        <v>0.28999999999999998</v>
      </c>
      <c r="AHS141">
        <v>0.28999999999999998</v>
      </c>
      <c r="AHT141">
        <v>0.28999999999999998</v>
      </c>
      <c r="AHU141">
        <v>0.28999999999999998</v>
      </c>
      <c r="AHV141">
        <v>0.28999999999999998</v>
      </c>
      <c r="AHW141">
        <v>0.28999999999999998</v>
      </c>
      <c r="AHX141">
        <v>0.28999999999999998</v>
      </c>
      <c r="AHY141">
        <v>0.28999999999999998</v>
      </c>
      <c r="AHZ141">
        <v>0.28999999999999998</v>
      </c>
      <c r="AIA141">
        <v>0.28999999999999998</v>
      </c>
      <c r="AIB141">
        <v>0.28999999999999998</v>
      </c>
      <c r="AIC141">
        <v>0.28999999999999998</v>
      </c>
      <c r="AID141">
        <v>0.28999999999999998</v>
      </c>
      <c r="AIE141">
        <v>0.28999999999999998</v>
      </c>
      <c r="AIF141">
        <v>0.28999999999999998</v>
      </c>
      <c r="AIG141">
        <v>0.28999999999999998</v>
      </c>
      <c r="AIH141">
        <v>0.28999999999999998</v>
      </c>
      <c r="AII141">
        <v>0.28999999999999998</v>
      </c>
      <c r="AIJ141">
        <v>0.28999999999999998</v>
      </c>
      <c r="AIK141">
        <v>0.28999999999999998</v>
      </c>
      <c r="AIL141">
        <v>0.28999999999999998</v>
      </c>
      <c r="AIM141">
        <v>0.28999999999999998</v>
      </c>
      <c r="AIN141">
        <v>0.28999999999999998</v>
      </c>
      <c r="AIO141">
        <v>0.28999999999999998</v>
      </c>
      <c r="AIP141">
        <v>0.28999999999999998</v>
      </c>
      <c r="AIQ141">
        <v>0.28999999999999998</v>
      </c>
      <c r="AIR141">
        <v>0.28999999999999998</v>
      </c>
      <c r="AIS141">
        <v>0.28999999999999998</v>
      </c>
      <c r="AIT141">
        <v>0.28999999999999998</v>
      </c>
      <c r="AIU141">
        <v>0.28999999999999998</v>
      </c>
      <c r="AIV141">
        <v>0.28999999999999998</v>
      </c>
      <c r="AIW141">
        <v>0.28999999999999998</v>
      </c>
      <c r="AIX141">
        <v>0.28999999999999998</v>
      </c>
      <c r="AIY141">
        <v>0.28999999999999998</v>
      </c>
      <c r="AIZ141">
        <v>0.28999999999999998</v>
      </c>
      <c r="AJA141">
        <v>0.28999999999999998</v>
      </c>
      <c r="AJB141">
        <v>0.28999999999999998</v>
      </c>
      <c r="AJC141">
        <v>0.28999999999999998</v>
      </c>
      <c r="AJD141">
        <v>0.28999999999999998</v>
      </c>
      <c r="AJE141">
        <v>0.28999999999999998</v>
      </c>
      <c r="AJF141">
        <v>0.28999999999999998</v>
      </c>
      <c r="AJG141">
        <v>0.28999999999999998</v>
      </c>
      <c r="AJH141">
        <v>0.28999999999999998</v>
      </c>
      <c r="AJI141">
        <v>0.28999999999999998</v>
      </c>
      <c r="AJJ141">
        <v>0.28999999999999998</v>
      </c>
      <c r="AJK141">
        <v>0.28999999999999998</v>
      </c>
      <c r="AJL141">
        <v>0.28999999999999998</v>
      </c>
      <c r="AJM141">
        <v>0.28999999999999998</v>
      </c>
      <c r="AJN141">
        <v>0.28999999999999998</v>
      </c>
      <c r="AJO141">
        <v>0.28999999999999998</v>
      </c>
      <c r="AJP141">
        <v>0.28999999999999998</v>
      </c>
      <c r="AJQ141">
        <v>0.28999999999999998</v>
      </c>
      <c r="AJR141">
        <f>AJR167*(AJR64/AJR63)+AJR168*(AJR65/AJR63)+AJR169*(AJR66/AJR63)</f>
        <v>0.13665239713969216</v>
      </c>
      <c r="AJS141">
        <f t="shared" ref="AJS141:AKG141" si="74">AJS167*(AJS64/SUM(AJS64:AJS66))+AJS168*(AJS65/SUM(AJS64:AJS66))+AJS169*(AJS66/SUM(AJS64:AJS66))</f>
        <v>0.13665239713969216</v>
      </c>
      <c r="AJT141">
        <f t="shared" si="74"/>
        <v>0.13886070110701104</v>
      </c>
      <c r="AJU141">
        <f t="shared" si="74"/>
        <v>0.14109228971962617</v>
      </c>
      <c r="AJV141">
        <f t="shared" si="74"/>
        <v>0.13736111111111113</v>
      </c>
      <c r="AJW141">
        <f t="shared" si="74"/>
        <v>0.14497177746470225</v>
      </c>
      <c r="AJX141">
        <f t="shared" si="74"/>
        <v>0.14783961622317365</v>
      </c>
      <c r="AJY141">
        <f t="shared" si="74"/>
        <v>0.14747130091944466</v>
      </c>
      <c r="AJZ141">
        <f t="shared" si="74"/>
        <v>0.14765526605487342</v>
      </c>
      <c r="AKA141">
        <f t="shared" si="74"/>
        <v>0.11877411078233142</v>
      </c>
      <c r="AKB141">
        <f t="shared" si="74"/>
        <v>0.11877411078233142</v>
      </c>
      <c r="AKC141">
        <f t="shared" si="74"/>
        <v>0.11877411078233142</v>
      </c>
      <c r="AKD141">
        <f t="shared" si="74"/>
        <v>0.11877411078233142</v>
      </c>
      <c r="AKE141">
        <f t="shared" si="74"/>
        <v>0.11877411078233142</v>
      </c>
      <c r="AKF141">
        <f t="shared" si="74"/>
        <v>0.11877411078233142</v>
      </c>
      <c r="AKG141">
        <f t="shared" si="74"/>
        <v>0.11877411078233142</v>
      </c>
    </row>
    <row r="142" spans="1:985" ht="14.4" customHeight="1" x14ac:dyDescent="0.55000000000000004">
      <c r="A142" t="s">
        <v>770</v>
      </c>
      <c r="B142" t="s">
        <v>660</v>
      </c>
      <c r="C142" s="1" t="s">
        <v>767</v>
      </c>
      <c r="CA142">
        <v>1</v>
      </c>
      <c r="CB142">
        <v>1</v>
      </c>
      <c r="CC142">
        <v>1</v>
      </c>
      <c r="CD142">
        <v>1</v>
      </c>
      <c r="CE142">
        <v>1</v>
      </c>
      <c r="CF142">
        <v>1</v>
      </c>
      <c r="CG142">
        <v>1</v>
      </c>
      <c r="CH142">
        <v>1</v>
      </c>
      <c r="CI142">
        <v>1</v>
      </c>
      <c r="CJ142">
        <v>1</v>
      </c>
      <c r="CK142">
        <v>1</v>
      </c>
      <c r="CL142">
        <v>1</v>
      </c>
      <c r="CM142">
        <v>1</v>
      </c>
      <c r="CN142">
        <v>1</v>
      </c>
      <c r="CO142">
        <v>1</v>
      </c>
      <c r="CP142">
        <v>1</v>
      </c>
      <c r="CQ142">
        <v>1</v>
      </c>
      <c r="CR142">
        <v>1</v>
      </c>
      <c r="CS142">
        <v>1</v>
      </c>
      <c r="CT142">
        <v>1</v>
      </c>
      <c r="CU142">
        <v>1</v>
      </c>
      <c r="CV142">
        <v>1</v>
      </c>
      <c r="CW142">
        <v>1</v>
      </c>
      <c r="CX142">
        <v>1</v>
      </c>
      <c r="CY142">
        <v>1</v>
      </c>
      <c r="CZ142">
        <v>1</v>
      </c>
      <c r="DA142">
        <v>1</v>
      </c>
      <c r="DB142">
        <v>1</v>
      </c>
      <c r="DC142">
        <v>1</v>
      </c>
      <c r="DD142">
        <v>1</v>
      </c>
      <c r="DE142">
        <v>1</v>
      </c>
      <c r="DF142">
        <v>1</v>
      </c>
      <c r="DG142">
        <v>1</v>
      </c>
      <c r="DH142">
        <v>1</v>
      </c>
      <c r="DI142">
        <v>1</v>
      </c>
      <c r="DJ142">
        <v>1</v>
      </c>
      <c r="DK142">
        <v>1</v>
      </c>
      <c r="DL142">
        <v>1</v>
      </c>
      <c r="DM142">
        <v>1</v>
      </c>
      <c r="DN142">
        <v>1</v>
      </c>
      <c r="DO142">
        <v>1</v>
      </c>
      <c r="DP142">
        <v>1</v>
      </c>
      <c r="DQ142">
        <v>1</v>
      </c>
      <c r="DR142">
        <v>1</v>
      </c>
      <c r="DS142">
        <v>1</v>
      </c>
      <c r="DT142">
        <v>1</v>
      </c>
      <c r="DU142">
        <v>1</v>
      </c>
      <c r="DV142">
        <v>1</v>
      </c>
      <c r="DW142">
        <v>1</v>
      </c>
      <c r="DX142">
        <v>1</v>
      </c>
      <c r="DY142">
        <v>1</v>
      </c>
      <c r="DZ142">
        <v>1</v>
      </c>
      <c r="EA142">
        <v>1</v>
      </c>
      <c r="EB142">
        <v>1</v>
      </c>
      <c r="EC142">
        <v>1</v>
      </c>
      <c r="ED142">
        <v>1</v>
      </c>
      <c r="EE142">
        <v>1</v>
      </c>
      <c r="EF142">
        <v>1</v>
      </c>
      <c r="EG142">
        <v>1</v>
      </c>
      <c r="EH142">
        <v>1</v>
      </c>
      <c r="EI142">
        <v>1</v>
      </c>
      <c r="EJ142">
        <v>1</v>
      </c>
      <c r="EK142">
        <v>1</v>
      </c>
      <c r="EL142">
        <v>1</v>
      </c>
      <c r="EM142">
        <v>1</v>
      </c>
      <c r="EN142">
        <v>1</v>
      </c>
      <c r="EO142">
        <v>1</v>
      </c>
      <c r="EP142">
        <v>1</v>
      </c>
      <c r="EQ142">
        <v>1</v>
      </c>
      <c r="ER142">
        <v>1</v>
      </c>
      <c r="ES142">
        <v>1</v>
      </c>
      <c r="ET142">
        <v>1</v>
      </c>
      <c r="EU142">
        <v>1</v>
      </c>
      <c r="EV142">
        <v>1</v>
      </c>
      <c r="EW142">
        <v>1</v>
      </c>
      <c r="EX142">
        <v>1</v>
      </c>
      <c r="EY142">
        <v>1</v>
      </c>
      <c r="EZ142">
        <v>1</v>
      </c>
      <c r="FA142">
        <v>1</v>
      </c>
      <c r="FB142">
        <v>1</v>
      </c>
      <c r="FC142">
        <v>1</v>
      </c>
      <c r="FD142">
        <v>1</v>
      </c>
      <c r="FE142">
        <v>1</v>
      </c>
      <c r="FF142">
        <v>1</v>
      </c>
      <c r="FG142">
        <v>1</v>
      </c>
      <c r="FH142">
        <v>1</v>
      </c>
      <c r="FI142">
        <v>1</v>
      </c>
      <c r="FJ142">
        <v>1</v>
      </c>
      <c r="FK142">
        <v>1</v>
      </c>
      <c r="FL142">
        <v>1</v>
      </c>
      <c r="FM142">
        <v>1</v>
      </c>
      <c r="FN142">
        <v>1</v>
      </c>
      <c r="FO142">
        <v>1</v>
      </c>
      <c r="FP142">
        <v>1</v>
      </c>
      <c r="FQ142">
        <v>1</v>
      </c>
      <c r="FR142">
        <v>1</v>
      </c>
      <c r="FS142">
        <v>1</v>
      </c>
      <c r="FT142">
        <v>1</v>
      </c>
      <c r="FU142">
        <v>1</v>
      </c>
      <c r="FV142">
        <v>1</v>
      </c>
      <c r="FW142">
        <v>1</v>
      </c>
      <c r="FX142">
        <v>1</v>
      </c>
      <c r="FY142">
        <v>1</v>
      </c>
      <c r="FZ142">
        <v>1</v>
      </c>
      <c r="GA142">
        <v>1</v>
      </c>
      <c r="GB142">
        <v>1</v>
      </c>
      <c r="GC142">
        <v>1</v>
      </c>
      <c r="GD142">
        <v>1</v>
      </c>
      <c r="GE142">
        <v>1</v>
      </c>
      <c r="GF142">
        <v>1</v>
      </c>
      <c r="GG142">
        <v>1</v>
      </c>
      <c r="GH142">
        <v>1</v>
      </c>
      <c r="GI142">
        <v>1</v>
      </c>
      <c r="GJ142">
        <v>1</v>
      </c>
      <c r="GK142">
        <v>1</v>
      </c>
      <c r="GL142">
        <v>1</v>
      </c>
      <c r="GM142">
        <v>1</v>
      </c>
      <c r="GN142">
        <v>1</v>
      </c>
      <c r="GO142">
        <v>1</v>
      </c>
      <c r="GP142">
        <v>1</v>
      </c>
      <c r="GQ142">
        <v>1</v>
      </c>
      <c r="GR142">
        <v>1</v>
      </c>
      <c r="GS142">
        <v>1</v>
      </c>
      <c r="GT142">
        <v>1</v>
      </c>
      <c r="GU142">
        <v>1</v>
      </c>
      <c r="GV142">
        <v>1</v>
      </c>
      <c r="GW142">
        <v>1</v>
      </c>
      <c r="GX142">
        <v>1</v>
      </c>
      <c r="GY142">
        <v>1</v>
      </c>
      <c r="GZ142">
        <v>1</v>
      </c>
      <c r="HA142">
        <v>1</v>
      </c>
      <c r="HB142">
        <v>1</v>
      </c>
      <c r="HC142">
        <v>1</v>
      </c>
      <c r="HD142">
        <v>1</v>
      </c>
      <c r="HE142">
        <v>1</v>
      </c>
      <c r="HF142">
        <v>1</v>
      </c>
      <c r="HG142">
        <v>1</v>
      </c>
      <c r="HH142">
        <v>1</v>
      </c>
      <c r="HI142">
        <v>1</v>
      </c>
      <c r="HJ142">
        <v>1</v>
      </c>
      <c r="HK142">
        <v>1</v>
      </c>
      <c r="HL142">
        <v>1</v>
      </c>
      <c r="HM142">
        <v>1</v>
      </c>
      <c r="HN142">
        <v>1</v>
      </c>
      <c r="HO142">
        <v>1</v>
      </c>
      <c r="HP142">
        <v>1</v>
      </c>
      <c r="HQ142">
        <v>1</v>
      </c>
      <c r="HR142">
        <v>1</v>
      </c>
      <c r="HS142">
        <v>1</v>
      </c>
      <c r="HT142">
        <v>1</v>
      </c>
      <c r="HU142">
        <v>1</v>
      </c>
      <c r="HV142">
        <v>1</v>
      </c>
      <c r="HW142">
        <v>1</v>
      </c>
      <c r="HX142">
        <v>1</v>
      </c>
      <c r="HY142">
        <v>1</v>
      </c>
      <c r="HZ142">
        <v>1</v>
      </c>
      <c r="IA142">
        <v>1</v>
      </c>
      <c r="IB142">
        <v>1</v>
      </c>
      <c r="IC142">
        <v>1</v>
      </c>
      <c r="ID142">
        <v>1</v>
      </c>
      <c r="IE142">
        <v>1</v>
      </c>
      <c r="IF142">
        <v>1</v>
      </c>
      <c r="IG142">
        <v>1</v>
      </c>
      <c r="IH142">
        <v>1</v>
      </c>
      <c r="II142">
        <v>1</v>
      </c>
      <c r="IJ142">
        <v>1</v>
      </c>
      <c r="IK142">
        <v>1</v>
      </c>
      <c r="IL142">
        <v>1</v>
      </c>
      <c r="IM142">
        <v>1</v>
      </c>
      <c r="IN142">
        <v>1</v>
      </c>
      <c r="IO142">
        <v>1</v>
      </c>
      <c r="IP142">
        <v>1</v>
      </c>
      <c r="IQ142">
        <v>1</v>
      </c>
      <c r="IR142">
        <v>1</v>
      </c>
      <c r="IS142">
        <v>1</v>
      </c>
      <c r="IT142">
        <v>1</v>
      </c>
      <c r="IU142">
        <v>1</v>
      </c>
      <c r="IV142">
        <v>1</v>
      </c>
      <c r="IW142">
        <v>1</v>
      </c>
      <c r="IX142">
        <v>1</v>
      </c>
      <c r="IY142">
        <v>1</v>
      </c>
      <c r="IZ142">
        <v>1</v>
      </c>
      <c r="JA142">
        <v>1</v>
      </c>
      <c r="JB142">
        <v>1</v>
      </c>
      <c r="JC142">
        <v>1</v>
      </c>
      <c r="JD142">
        <v>1</v>
      </c>
      <c r="JE142">
        <v>1</v>
      </c>
      <c r="JF142">
        <v>1</v>
      </c>
      <c r="JG142">
        <v>1</v>
      </c>
      <c r="JH142">
        <v>1</v>
      </c>
      <c r="JI142">
        <v>1</v>
      </c>
      <c r="JJ142">
        <v>1</v>
      </c>
      <c r="JK142">
        <v>1</v>
      </c>
      <c r="JL142">
        <v>1</v>
      </c>
      <c r="JM142">
        <v>1</v>
      </c>
      <c r="JN142">
        <v>1</v>
      </c>
      <c r="JO142">
        <v>1</v>
      </c>
      <c r="JP142">
        <v>1</v>
      </c>
      <c r="JQ142">
        <v>1</v>
      </c>
      <c r="JR142">
        <v>1</v>
      </c>
      <c r="JS142">
        <v>1</v>
      </c>
      <c r="JT142">
        <v>1</v>
      </c>
      <c r="JU142">
        <v>1</v>
      </c>
      <c r="JV142">
        <v>1</v>
      </c>
      <c r="JW142">
        <v>1</v>
      </c>
      <c r="JX142">
        <v>1</v>
      </c>
      <c r="JY142">
        <v>1</v>
      </c>
      <c r="JZ142">
        <v>1</v>
      </c>
      <c r="KA142">
        <v>1</v>
      </c>
      <c r="KB142">
        <v>1</v>
      </c>
      <c r="KC142">
        <v>1</v>
      </c>
      <c r="KD142">
        <v>1</v>
      </c>
      <c r="KE142">
        <v>1</v>
      </c>
      <c r="KF142">
        <v>1</v>
      </c>
      <c r="KG142">
        <v>1</v>
      </c>
      <c r="KH142">
        <v>1</v>
      </c>
      <c r="KI142">
        <v>1</v>
      </c>
      <c r="KJ142">
        <v>1</v>
      </c>
      <c r="KK142">
        <v>1</v>
      </c>
      <c r="KL142">
        <v>1</v>
      </c>
      <c r="KM142">
        <v>1</v>
      </c>
      <c r="KN142">
        <v>1</v>
      </c>
      <c r="KO142">
        <v>1</v>
      </c>
      <c r="KP142">
        <v>1</v>
      </c>
      <c r="KQ142">
        <v>1</v>
      </c>
      <c r="KR142">
        <v>1</v>
      </c>
      <c r="KS142">
        <v>1</v>
      </c>
      <c r="KT142">
        <v>1</v>
      </c>
      <c r="KU142">
        <v>1</v>
      </c>
      <c r="KV142">
        <v>1</v>
      </c>
      <c r="KW142">
        <v>1</v>
      </c>
      <c r="KX142">
        <v>1</v>
      </c>
      <c r="KY142">
        <v>1</v>
      </c>
      <c r="KZ142">
        <v>1</v>
      </c>
      <c r="LA142">
        <v>1</v>
      </c>
      <c r="LB142">
        <v>1</v>
      </c>
      <c r="LC142">
        <v>1</v>
      </c>
      <c r="LD142">
        <v>1</v>
      </c>
      <c r="LE142">
        <v>1</v>
      </c>
      <c r="LF142">
        <v>1</v>
      </c>
      <c r="LG142">
        <v>1</v>
      </c>
      <c r="LH142">
        <v>1</v>
      </c>
      <c r="LI142">
        <v>1</v>
      </c>
      <c r="LJ142">
        <v>1</v>
      </c>
      <c r="LK142">
        <v>1</v>
      </c>
      <c r="LL142">
        <v>1</v>
      </c>
      <c r="LM142">
        <v>1</v>
      </c>
      <c r="LN142">
        <v>1</v>
      </c>
      <c r="LO142">
        <v>1</v>
      </c>
      <c r="LP142">
        <v>1</v>
      </c>
      <c r="LQ142">
        <v>1</v>
      </c>
      <c r="LR142">
        <v>1</v>
      </c>
      <c r="LS142">
        <v>1</v>
      </c>
      <c r="LT142">
        <v>1</v>
      </c>
      <c r="LU142">
        <v>1</v>
      </c>
      <c r="LV142">
        <v>1</v>
      </c>
      <c r="LW142">
        <v>1</v>
      </c>
      <c r="LX142">
        <v>1</v>
      </c>
      <c r="LY142">
        <v>1</v>
      </c>
      <c r="LZ142">
        <v>1</v>
      </c>
      <c r="MA142">
        <v>1</v>
      </c>
      <c r="MB142">
        <v>1</v>
      </c>
      <c r="MC142">
        <v>1</v>
      </c>
      <c r="MD142">
        <v>1</v>
      </c>
      <c r="ME142">
        <v>1</v>
      </c>
      <c r="MF142">
        <v>1</v>
      </c>
      <c r="MG142">
        <v>1</v>
      </c>
      <c r="MH142">
        <v>1</v>
      </c>
      <c r="MI142">
        <v>1</v>
      </c>
      <c r="MJ142">
        <v>1</v>
      </c>
      <c r="MK142">
        <v>1</v>
      </c>
      <c r="ML142">
        <v>1</v>
      </c>
      <c r="MM142">
        <v>1</v>
      </c>
      <c r="MN142">
        <v>1</v>
      </c>
      <c r="MO142">
        <v>1</v>
      </c>
      <c r="MP142">
        <v>1</v>
      </c>
      <c r="MQ142">
        <v>1</v>
      </c>
      <c r="MR142">
        <v>1</v>
      </c>
      <c r="MS142">
        <v>1</v>
      </c>
      <c r="MT142">
        <v>1</v>
      </c>
      <c r="MU142">
        <v>1</v>
      </c>
      <c r="MV142">
        <v>1</v>
      </c>
      <c r="MW142">
        <v>1</v>
      </c>
      <c r="MX142">
        <v>1</v>
      </c>
      <c r="MY142">
        <v>1</v>
      </c>
      <c r="MZ142">
        <v>1</v>
      </c>
      <c r="NA142">
        <v>1</v>
      </c>
      <c r="NB142">
        <v>1</v>
      </c>
      <c r="NC142">
        <v>1</v>
      </c>
      <c r="ND142">
        <v>1</v>
      </c>
      <c r="NE142">
        <v>1</v>
      </c>
      <c r="NF142">
        <v>1</v>
      </c>
      <c r="NG142">
        <v>1</v>
      </c>
      <c r="NH142">
        <v>1</v>
      </c>
      <c r="NI142">
        <v>1</v>
      </c>
      <c r="NJ142">
        <v>1</v>
      </c>
      <c r="NK142">
        <v>1</v>
      </c>
      <c r="NL142">
        <v>1</v>
      </c>
      <c r="NM142">
        <v>1</v>
      </c>
      <c r="NN142">
        <v>1</v>
      </c>
      <c r="NO142">
        <v>1</v>
      </c>
      <c r="NP142">
        <v>1</v>
      </c>
      <c r="NQ142">
        <v>1</v>
      </c>
      <c r="NR142">
        <v>1</v>
      </c>
      <c r="NS142">
        <v>1</v>
      </c>
      <c r="NT142">
        <v>1</v>
      </c>
      <c r="NU142">
        <v>1</v>
      </c>
      <c r="NV142">
        <v>1</v>
      </c>
      <c r="NW142">
        <v>1</v>
      </c>
      <c r="NX142">
        <v>1</v>
      </c>
      <c r="NY142">
        <v>1</v>
      </c>
      <c r="NZ142">
        <v>1</v>
      </c>
      <c r="OA142">
        <v>1</v>
      </c>
      <c r="OB142">
        <v>1</v>
      </c>
      <c r="OC142">
        <v>1</v>
      </c>
      <c r="OD142">
        <v>1</v>
      </c>
      <c r="OE142">
        <v>1</v>
      </c>
      <c r="OF142">
        <v>1</v>
      </c>
      <c r="OG142">
        <v>1</v>
      </c>
      <c r="OH142">
        <v>1</v>
      </c>
      <c r="OI142">
        <v>1</v>
      </c>
      <c r="OJ142">
        <v>1</v>
      </c>
      <c r="OK142">
        <v>1</v>
      </c>
      <c r="OL142">
        <v>1</v>
      </c>
      <c r="OM142">
        <v>1</v>
      </c>
      <c r="ON142">
        <v>1</v>
      </c>
      <c r="OO142">
        <v>1</v>
      </c>
      <c r="OP142">
        <v>1</v>
      </c>
      <c r="OQ142">
        <v>1</v>
      </c>
      <c r="OR142">
        <v>1</v>
      </c>
      <c r="OS142">
        <v>1</v>
      </c>
      <c r="OT142">
        <v>1</v>
      </c>
      <c r="OU142">
        <v>1</v>
      </c>
      <c r="OV142">
        <v>1</v>
      </c>
      <c r="OW142">
        <v>1</v>
      </c>
      <c r="OX142">
        <v>1</v>
      </c>
      <c r="OY142">
        <v>1</v>
      </c>
      <c r="OZ142">
        <v>1</v>
      </c>
      <c r="PA142">
        <v>1</v>
      </c>
      <c r="PB142">
        <v>1</v>
      </c>
      <c r="PC142">
        <v>1</v>
      </c>
      <c r="PD142">
        <v>1</v>
      </c>
      <c r="PE142">
        <v>1</v>
      </c>
      <c r="PF142">
        <v>1</v>
      </c>
      <c r="PG142">
        <v>1</v>
      </c>
      <c r="PH142">
        <v>1</v>
      </c>
      <c r="PI142">
        <v>1</v>
      </c>
      <c r="PJ142">
        <v>1</v>
      </c>
      <c r="PK142">
        <v>1</v>
      </c>
      <c r="PL142">
        <v>1</v>
      </c>
      <c r="PM142">
        <v>1</v>
      </c>
      <c r="PN142">
        <v>1</v>
      </c>
      <c r="PO142">
        <v>1</v>
      </c>
      <c r="PP142">
        <v>1</v>
      </c>
      <c r="PQ142">
        <v>1</v>
      </c>
      <c r="PR142">
        <v>1</v>
      </c>
      <c r="PS142">
        <v>1</v>
      </c>
      <c r="PT142">
        <v>1</v>
      </c>
      <c r="PU142">
        <v>1</v>
      </c>
      <c r="PV142">
        <v>1</v>
      </c>
      <c r="PW142">
        <v>1</v>
      </c>
      <c r="PX142">
        <v>1</v>
      </c>
      <c r="PY142">
        <v>1</v>
      </c>
      <c r="PZ142">
        <v>1</v>
      </c>
      <c r="QA142">
        <v>1</v>
      </c>
      <c r="QB142">
        <v>1</v>
      </c>
      <c r="QC142">
        <v>1</v>
      </c>
      <c r="QD142">
        <v>1</v>
      </c>
      <c r="QE142">
        <v>1</v>
      </c>
      <c r="QF142">
        <v>1</v>
      </c>
      <c r="QG142">
        <v>1</v>
      </c>
      <c r="QH142">
        <v>1</v>
      </c>
      <c r="QI142">
        <v>1</v>
      </c>
      <c r="QJ142">
        <v>1</v>
      </c>
      <c r="QK142">
        <v>1</v>
      </c>
      <c r="QL142">
        <v>1</v>
      </c>
      <c r="QM142">
        <v>1</v>
      </c>
      <c r="QN142">
        <v>1</v>
      </c>
      <c r="QO142">
        <v>1</v>
      </c>
      <c r="QP142">
        <v>1</v>
      </c>
      <c r="QQ142">
        <v>1</v>
      </c>
      <c r="QR142">
        <v>1</v>
      </c>
      <c r="QS142">
        <v>1</v>
      </c>
      <c r="QT142">
        <v>1</v>
      </c>
      <c r="QU142">
        <v>1</v>
      </c>
      <c r="QV142">
        <v>1</v>
      </c>
      <c r="QW142">
        <v>1</v>
      </c>
      <c r="QX142">
        <v>1</v>
      </c>
      <c r="QY142">
        <v>1</v>
      </c>
      <c r="QZ142">
        <v>1</v>
      </c>
      <c r="RA142">
        <v>1</v>
      </c>
      <c r="RB142">
        <v>1</v>
      </c>
      <c r="RC142">
        <v>1</v>
      </c>
      <c r="RD142">
        <v>1</v>
      </c>
      <c r="RE142">
        <v>1</v>
      </c>
      <c r="RF142">
        <v>1</v>
      </c>
      <c r="RG142">
        <v>1</v>
      </c>
      <c r="RH142">
        <v>1</v>
      </c>
      <c r="RI142">
        <v>1</v>
      </c>
      <c r="RJ142">
        <v>1</v>
      </c>
      <c r="RK142">
        <v>1</v>
      </c>
      <c r="RL142">
        <v>1</v>
      </c>
      <c r="RM142">
        <v>1</v>
      </c>
      <c r="RN142">
        <v>1</v>
      </c>
      <c r="RO142">
        <v>1</v>
      </c>
      <c r="RP142">
        <v>1</v>
      </c>
      <c r="RQ142">
        <v>1</v>
      </c>
      <c r="RR142">
        <v>1</v>
      </c>
      <c r="RS142">
        <v>1</v>
      </c>
      <c r="RT142">
        <v>1</v>
      </c>
      <c r="RU142">
        <v>1</v>
      </c>
      <c r="RV142">
        <v>1</v>
      </c>
      <c r="RW142">
        <v>1</v>
      </c>
      <c r="RX142">
        <v>1</v>
      </c>
      <c r="RY142">
        <v>1</v>
      </c>
      <c r="RZ142">
        <v>1</v>
      </c>
      <c r="SA142">
        <v>1</v>
      </c>
      <c r="SB142">
        <v>1</v>
      </c>
      <c r="SC142">
        <v>1</v>
      </c>
      <c r="SD142">
        <v>1</v>
      </c>
      <c r="SE142">
        <v>1</v>
      </c>
      <c r="SF142">
        <v>1</v>
      </c>
      <c r="SG142">
        <v>1</v>
      </c>
      <c r="SH142">
        <v>1</v>
      </c>
      <c r="SI142">
        <v>1</v>
      </c>
      <c r="SJ142">
        <v>1</v>
      </c>
      <c r="SK142">
        <v>1</v>
      </c>
      <c r="SL142">
        <v>1</v>
      </c>
      <c r="SM142">
        <v>1</v>
      </c>
      <c r="SN142">
        <v>1</v>
      </c>
      <c r="SO142">
        <v>1</v>
      </c>
      <c r="SP142">
        <v>1</v>
      </c>
      <c r="SQ142">
        <v>1</v>
      </c>
      <c r="SR142">
        <v>1</v>
      </c>
      <c r="SS142">
        <v>1</v>
      </c>
      <c r="ST142">
        <v>1</v>
      </c>
      <c r="SU142">
        <v>1</v>
      </c>
      <c r="SV142">
        <v>1</v>
      </c>
      <c r="SW142">
        <v>1</v>
      </c>
      <c r="SX142">
        <v>1</v>
      </c>
      <c r="SY142">
        <v>1</v>
      </c>
      <c r="SZ142">
        <v>1</v>
      </c>
      <c r="TA142">
        <v>1</v>
      </c>
      <c r="TB142">
        <v>1</v>
      </c>
      <c r="TC142">
        <v>1</v>
      </c>
      <c r="TD142">
        <v>1</v>
      </c>
      <c r="TE142">
        <v>1</v>
      </c>
      <c r="TF142">
        <v>1</v>
      </c>
      <c r="TG142">
        <v>1</v>
      </c>
      <c r="TH142">
        <v>1</v>
      </c>
      <c r="TI142">
        <v>1</v>
      </c>
      <c r="TJ142">
        <v>1</v>
      </c>
      <c r="TK142">
        <v>1</v>
      </c>
      <c r="TL142">
        <v>1</v>
      </c>
      <c r="TM142">
        <v>1</v>
      </c>
      <c r="TN142">
        <v>1</v>
      </c>
      <c r="TO142">
        <v>1</v>
      </c>
      <c r="TP142">
        <v>1</v>
      </c>
      <c r="TQ142">
        <v>1</v>
      </c>
      <c r="TR142">
        <v>1</v>
      </c>
      <c r="TS142">
        <v>1</v>
      </c>
      <c r="TT142">
        <v>1</v>
      </c>
      <c r="TU142">
        <v>1</v>
      </c>
      <c r="TV142">
        <v>1</v>
      </c>
      <c r="TW142">
        <v>1</v>
      </c>
      <c r="TX142">
        <v>1</v>
      </c>
      <c r="TY142">
        <v>1</v>
      </c>
      <c r="TZ142">
        <v>1</v>
      </c>
      <c r="UA142">
        <v>1</v>
      </c>
      <c r="UB142">
        <v>1</v>
      </c>
      <c r="UC142">
        <v>1</v>
      </c>
      <c r="UD142">
        <v>1</v>
      </c>
      <c r="UE142">
        <v>1</v>
      </c>
      <c r="UF142">
        <v>1</v>
      </c>
      <c r="UG142">
        <v>1</v>
      </c>
      <c r="UH142">
        <v>1</v>
      </c>
      <c r="UI142">
        <v>1</v>
      </c>
      <c r="UJ142">
        <v>1</v>
      </c>
      <c r="UK142">
        <v>1</v>
      </c>
      <c r="UL142">
        <v>1</v>
      </c>
      <c r="UM142">
        <v>1</v>
      </c>
      <c r="UN142">
        <v>1</v>
      </c>
      <c r="UO142">
        <v>1</v>
      </c>
      <c r="UP142">
        <v>1</v>
      </c>
      <c r="UQ142">
        <v>1</v>
      </c>
      <c r="UR142">
        <v>1</v>
      </c>
      <c r="US142">
        <v>1</v>
      </c>
      <c r="UT142">
        <v>1</v>
      </c>
      <c r="UU142">
        <v>1</v>
      </c>
      <c r="UV142">
        <v>1</v>
      </c>
      <c r="UW142">
        <v>1</v>
      </c>
      <c r="UX142">
        <v>1</v>
      </c>
      <c r="UY142">
        <v>1</v>
      </c>
      <c r="UZ142">
        <v>1</v>
      </c>
      <c r="VA142">
        <v>1</v>
      </c>
      <c r="VB142">
        <v>1</v>
      </c>
      <c r="VC142">
        <v>1</v>
      </c>
      <c r="VD142">
        <v>1</v>
      </c>
      <c r="VE142">
        <v>1</v>
      </c>
      <c r="VF142">
        <v>1</v>
      </c>
      <c r="VG142">
        <v>1</v>
      </c>
      <c r="VH142">
        <v>1</v>
      </c>
      <c r="VI142">
        <v>1</v>
      </c>
      <c r="VJ142">
        <v>1</v>
      </c>
      <c r="VK142">
        <v>1</v>
      </c>
      <c r="VL142">
        <v>1</v>
      </c>
      <c r="VM142">
        <v>1</v>
      </c>
      <c r="VN142">
        <v>1</v>
      </c>
      <c r="VO142">
        <v>1</v>
      </c>
      <c r="VP142">
        <v>1</v>
      </c>
      <c r="VQ142">
        <v>1</v>
      </c>
      <c r="VR142">
        <v>1</v>
      </c>
      <c r="VS142">
        <v>1</v>
      </c>
      <c r="VT142">
        <v>1</v>
      </c>
      <c r="VU142">
        <v>1</v>
      </c>
      <c r="VV142">
        <v>1</v>
      </c>
      <c r="VW142">
        <v>1</v>
      </c>
      <c r="VX142">
        <v>1</v>
      </c>
      <c r="VY142">
        <v>1</v>
      </c>
      <c r="VZ142">
        <v>1</v>
      </c>
      <c r="WA142">
        <v>1</v>
      </c>
      <c r="WB142">
        <v>1</v>
      </c>
      <c r="WC142">
        <v>1</v>
      </c>
      <c r="WD142">
        <v>1</v>
      </c>
      <c r="WE142">
        <v>1</v>
      </c>
      <c r="WF142">
        <v>1</v>
      </c>
      <c r="WG142">
        <v>1</v>
      </c>
      <c r="WH142">
        <v>1</v>
      </c>
      <c r="WI142">
        <v>1</v>
      </c>
      <c r="WJ142">
        <v>1</v>
      </c>
      <c r="WK142">
        <v>1</v>
      </c>
      <c r="WL142">
        <v>1</v>
      </c>
      <c r="WM142">
        <v>1</v>
      </c>
      <c r="WN142">
        <v>1</v>
      </c>
      <c r="WO142">
        <v>1</v>
      </c>
      <c r="WP142">
        <v>1</v>
      </c>
      <c r="WQ142">
        <v>1</v>
      </c>
      <c r="WR142">
        <v>1</v>
      </c>
      <c r="WS142">
        <v>1</v>
      </c>
      <c r="WT142">
        <v>1</v>
      </c>
      <c r="WU142">
        <v>1</v>
      </c>
      <c r="WV142">
        <v>1</v>
      </c>
      <c r="WW142">
        <v>1</v>
      </c>
      <c r="WX142">
        <v>1</v>
      </c>
      <c r="WY142">
        <v>1</v>
      </c>
      <c r="WZ142">
        <v>1</v>
      </c>
      <c r="XA142">
        <v>1</v>
      </c>
      <c r="XB142">
        <v>1</v>
      </c>
      <c r="XC142">
        <v>1</v>
      </c>
      <c r="XD142">
        <v>1</v>
      </c>
      <c r="XE142">
        <v>1</v>
      </c>
      <c r="XF142">
        <v>1</v>
      </c>
      <c r="XG142">
        <v>1</v>
      </c>
      <c r="XH142">
        <v>1</v>
      </c>
      <c r="XI142">
        <v>1</v>
      </c>
      <c r="XJ142">
        <v>1</v>
      </c>
      <c r="XK142">
        <v>1</v>
      </c>
      <c r="XL142">
        <v>1</v>
      </c>
      <c r="XM142">
        <v>1</v>
      </c>
      <c r="XN142">
        <v>1</v>
      </c>
      <c r="XO142">
        <v>1</v>
      </c>
      <c r="XP142">
        <v>1</v>
      </c>
      <c r="XQ142">
        <v>1</v>
      </c>
      <c r="XR142">
        <v>1</v>
      </c>
      <c r="XS142">
        <v>1</v>
      </c>
      <c r="XT142">
        <v>1</v>
      </c>
      <c r="XU142">
        <v>1</v>
      </c>
      <c r="XV142">
        <v>1</v>
      </c>
      <c r="XW142">
        <v>1</v>
      </c>
      <c r="XX142">
        <v>1</v>
      </c>
      <c r="XY142">
        <v>1</v>
      </c>
      <c r="XZ142">
        <v>1</v>
      </c>
      <c r="YA142">
        <v>1</v>
      </c>
      <c r="YB142">
        <v>1</v>
      </c>
      <c r="YC142">
        <v>1</v>
      </c>
      <c r="YD142">
        <v>1</v>
      </c>
      <c r="YE142">
        <v>1</v>
      </c>
      <c r="YF142">
        <v>1</v>
      </c>
      <c r="YG142">
        <v>1</v>
      </c>
      <c r="YH142">
        <v>1</v>
      </c>
      <c r="YI142">
        <v>1</v>
      </c>
      <c r="YJ142">
        <v>1</v>
      </c>
      <c r="YK142">
        <v>1</v>
      </c>
      <c r="YL142">
        <v>1</v>
      </c>
      <c r="YM142">
        <v>1</v>
      </c>
      <c r="YN142">
        <v>1</v>
      </c>
      <c r="YO142">
        <v>1</v>
      </c>
      <c r="YP142">
        <v>1</v>
      </c>
      <c r="YQ142">
        <v>1</v>
      </c>
      <c r="YR142">
        <v>1</v>
      </c>
      <c r="YS142">
        <v>1</v>
      </c>
      <c r="YT142">
        <v>1</v>
      </c>
      <c r="YU142">
        <v>1</v>
      </c>
      <c r="YV142">
        <v>1</v>
      </c>
      <c r="YW142">
        <v>1</v>
      </c>
      <c r="YX142">
        <v>1</v>
      </c>
      <c r="YY142">
        <v>1</v>
      </c>
      <c r="YZ142">
        <v>1</v>
      </c>
      <c r="ZA142">
        <v>1</v>
      </c>
      <c r="ZB142">
        <v>1</v>
      </c>
      <c r="ZC142">
        <v>1</v>
      </c>
      <c r="ZD142">
        <v>1</v>
      </c>
      <c r="ZE142">
        <v>1</v>
      </c>
      <c r="ZF142">
        <v>1</v>
      </c>
      <c r="ZG142">
        <v>1</v>
      </c>
      <c r="ZH142">
        <v>1</v>
      </c>
      <c r="ZI142">
        <v>1</v>
      </c>
      <c r="ZJ142">
        <v>1</v>
      </c>
      <c r="ZK142">
        <v>1</v>
      </c>
      <c r="ZL142">
        <v>1</v>
      </c>
      <c r="ZM142">
        <v>1</v>
      </c>
      <c r="ZN142">
        <v>1</v>
      </c>
      <c r="ZO142">
        <v>1</v>
      </c>
      <c r="ZP142">
        <v>1</v>
      </c>
      <c r="ZQ142">
        <v>1</v>
      </c>
      <c r="ZR142">
        <v>1</v>
      </c>
      <c r="ZS142">
        <v>1</v>
      </c>
      <c r="ZT142">
        <v>1</v>
      </c>
      <c r="ZU142">
        <v>1</v>
      </c>
      <c r="ZV142">
        <v>1</v>
      </c>
      <c r="ZW142">
        <v>1</v>
      </c>
      <c r="ZX142">
        <v>1</v>
      </c>
      <c r="ZY142">
        <v>1</v>
      </c>
      <c r="ZZ142">
        <v>1</v>
      </c>
      <c r="AAA142">
        <v>1</v>
      </c>
      <c r="AAB142">
        <v>1</v>
      </c>
      <c r="AAC142">
        <v>1</v>
      </c>
      <c r="AAD142">
        <v>1</v>
      </c>
      <c r="AAE142">
        <v>1</v>
      </c>
      <c r="AAF142">
        <v>1</v>
      </c>
      <c r="AAG142">
        <v>1</v>
      </c>
      <c r="AAH142">
        <v>1</v>
      </c>
      <c r="AAI142">
        <v>1</v>
      </c>
      <c r="AAJ142">
        <v>1</v>
      </c>
      <c r="AAK142">
        <v>1</v>
      </c>
      <c r="AAL142">
        <v>1</v>
      </c>
      <c r="AAM142">
        <v>1</v>
      </c>
      <c r="AAN142">
        <v>1</v>
      </c>
      <c r="AAO142">
        <v>1</v>
      </c>
      <c r="AAP142">
        <v>1</v>
      </c>
      <c r="AAQ142">
        <v>1</v>
      </c>
      <c r="AAR142">
        <v>1</v>
      </c>
      <c r="AAS142">
        <v>1</v>
      </c>
      <c r="AAT142">
        <v>1</v>
      </c>
      <c r="AAU142">
        <v>1</v>
      </c>
      <c r="AAV142">
        <v>1</v>
      </c>
      <c r="AAW142">
        <v>1</v>
      </c>
      <c r="AAX142">
        <v>1</v>
      </c>
      <c r="AAY142">
        <v>1</v>
      </c>
      <c r="AAZ142">
        <v>1</v>
      </c>
      <c r="ABA142">
        <v>1</v>
      </c>
      <c r="ABB142">
        <v>1</v>
      </c>
      <c r="ABC142">
        <v>1</v>
      </c>
      <c r="ABD142">
        <v>1</v>
      </c>
      <c r="ABE142">
        <v>1</v>
      </c>
      <c r="ABF142">
        <v>1</v>
      </c>
      <c r="ABG142">
        <v>1</v>
      </c>
      <c r="ABH142">
        <v>1</v>
      </c>
      <c r="ABI142">
        <v>1</v>
      </c>
      <c r="ABJ142">
        <v>1</v>
      </c>
      <c r="ABK142">
        <v>1</v>
      </c>
      <c r="ABL142">
        <v>1</v>
      </c>
      <c r="ABM142">
        <v>1</v>
      </c>
      <c r="ABN142">
        <v>1</v>
      </c>
      <c r="ABO142">
        <v>1</v>
      </c>
      <c r="ABP142">
        <v>1</v>
      </c>
      <c r="ABQ142">
        <v>1</v>
      </c>
      <c r="ABR142">
        <v>1</v>
      </c>
      <c r="ABS142">
        <v>1</v>
      </c>
      <c r="ABT142">
        <v>1</v>
      </c>
      <c r="ABU142">
        <v>1</v>
      </c>
      <c r="ABV142">
        <v>1</v>
      </c>
      <c r="ABW142">
        <v>1</v>
      </c>
      <c r="ABX142">
        <v>1</v>
      </c>
      <c r="ABY142">
        <v>1</v>
      </c>
      <c r="ABZ142">
        <v>1</v>
      </c>
      <c r="ACA142">
        <v>1</v>
      </c>
      <c r="ACB142">
        <v>1</v>
      </c>
      <c r="ACC142">
        <v>1</v>
      </c>
      <c r="ACD142">
        <v>1</v>
      </c>
      <c r="ACE142">
        <v>1</v>
      </c>
      <c r="ACF142">
        <v>1</v>
      </c>
      <c r="ACG142">
        <v>1</v>
      </c>
      <c r="ACH142">
        <v>1</v>
      </c>
      <c r="ACI142">
        <v>1</v>
      </c>
      <c r="ACJ142">
        <v>1</v>
      </c>
      <c r="ACK142">
        <v>1</v>
      </c>
      <c r="ACL142">
        <v>1</v>
      </c>
      <c r="ACM142">
        <v>1</v>
      </c>
      <c r="ACN142">
        <v>1</v>
      </c>
      <c r="ACO142">
        <v>1</v>
      </c>
      <c r="ACP142">
        <v>1</v>
      </c>
      <c r="ACQ142">
        <v>1</v>
      </c>
      <c r="ACR142">
        <v>1</v>
      </c>
      <c r="ACS142">
        <v>1</v>
      </c>
      <c r="ACT142">
        <v>1</v>
      </c>
      <c r="ACU142">
        <v>1</v>
      </c>
      <c r="ACV142">
        <v>1</v>
      </c>
      <c r="ACW142">
        <v>1</v>
      </c>
      <c r="ACX142">
        <v>1</v>
      </c>
      <c r="ACY142">
        <v>1</v>
      </c>
      <c r="ACZ142">
        <v>1</v>
      </c>
      <c r="ADA142">
        <v>1</v>
      </c>
      <c r="ADB142">
        <v>1</v>
      </c>
      <c r="ADC142">
        <v>1</v>
      </c>
      <c r="ADD142">
        <v>1</v>
      </c>
      <c r="ADE142">
        <v>1</v>
      </c>
      <c r="ADF142">
        <v>1</v>
      </c>
      <c r="ADG142">
        <v>1</v>
      </c>
      <c r="ADH142">
        <v>1</v>
      </c>
      <c r="ADI142">
        <v>1</v>
      </c>
      <c r="ADJ142">
        <v>1</v>
      </c>
      <c r="ADK142">
        <v>1</v>
      </c>
      <c r="ADL142">
        <v>1</v>
      </c>
      <c r="ADM142">
        <v>1</v>
      </c>
      <c r="ADN142">
        <v>1</v>
      </c>
      <c r="ADO142">
        <v>1</v>
      </c>
      <c r="ADP142">
        <v>1</v>
      </c>
      <c r="ADQ142">
        <v>1</v>
      </c>
      <c r="ADR142">
        <v>1</v>
      </c>
      <c r="ADS142">
        <v>1</v>
      </c>
      <c r="ADT142">
        <v>1</v>
      </c>
      <c r="ADU142">
        <v>1</v>
      </c>
      <c r="ADV142">
        <v>1</v>
      </c>
      <c r="ADW142">
        <v>1</v>
      </c>
      <c r="ADX142">
        <v>1</v>
      </c>
      <c r="ADY142">
        <v>1</v>
      </c>
      <c r="ADZ142">
        <v>1</v>
      </c>
      <c r="AEA142">
        <v>1</v>
      </c>
      <c r="AEB142">
        <v>1</v>
      </c>
      <c r="AEC142">
        <v>1</v>
      </c>
      <c r="AED142">
        <v>1</v>
      </c>
      <c r="AEE142">
        <v>1</v>
      </c>
      <c r="AEF142">
        <v>1</v>
      </c>
      <c r="AEG142">
        <v>1</v>
      </c>
      <c r="AEH142">
        <v>1</v>
      </c>
      <c r="AEI142">
        <v>1</v>
      </c>
      <c r="AEJ142">
        <v>1</v>
      </c>
      <c r="AEK142">
        <v>1</v>
      </c>
      <c r="AEL142">
        <v>1</v>
      </c>
      <c r="AEM142">
        <v>1</v>
      </c>
      <c r="AEN142">
        <v>1</v>
      </c>
      <c r="AEO142">
        <v>1</v>
      </c>
      <c r="AEP142">
        <v>1</v>
      </c>
      <c r="AEQ142">
        <v>1</v>
      </c>
      <c r="AER142">
        <v>1</v>
      </c>
      <c r="AES142">
        <v>1</v>
      </c>
      <c r="AET142">
        <v>1</v>
      </c>
      <c r="AEU142">
        <v>1</v>
      </c>
      <c r="AEV142">
        <v>1</v>
      </c>
      <c r="AEW142">
        <v>1</v>
      </c>
      <c r="AEX142">
        <v>1</v>
      </c>
      <c r="AEY142">
        <v>1</v>
      </c>
      <c r="AEZ142">
        <v>1</v>
      </c>
      <c r="AFA142">
        <v>1</v>
      </c>
      <c r="AFB142">
        <v>1</v>
      </c>
      <c r="AFC142">
        <v>1</v>
      </c>
      <c r="AFD142">
        <v>1</v>
      </c>
      <c r="AFE142">
        <v>1</v>
      </c>
      <c r="AFF142">
        <v>1</v>
      </c>
      <c r="AFG142">
        <v>1</v>
      </c>
      <c r="AFH142">
        <v>1</v>
      </c>
      <c r="AFI142">
        <v>1</v>
      </c>
      <c r="AFJ142">
        <v>1</v>
      </c>
      <c r="AFK142">
        <v>1</v>
      </c>
      <c r="AFL142">
        <v>1</v>
      </c>
      <c r="AFM142">
        <v>1</v>
      </c>
      <c r="AFN142">
        <v>1</v>
      </c>
      <c r="AFO142">
        <v>1</v>
      </c>
      <c r="AFP142">
        <v>1</v>
      </c>
      <c r="AFQ142">
        <v>1</v>
      </c>
      <c r="AFR142">
        <v>1</v>
      </c>
      <c r="AFS142">
        <v>1</v>
      </c>
      <c r="AFT142">
        <v>1</v>
      </c>
      <c r="AFU142">
        <v>1</v>
      </c>
      <c r="AFV142">
        <v>1</v>
      </c>
      <c r="AFW142">
        <v>1</v>
      </c>
      <c r="AFX142">
        <v>1</v>
      </c>
      <c r="AFY142">
        <v>1</v>
      </c>
      <c r="AFZ142">
        <v>1</v>
      </c>
      <c r="AGA142">
        <v>1</v>
      </c>
      <c r="AGB142">
        <v>1</v>
      </c>
      <c r="AGC142">
        <v>1</v>
      </c>
      <c r="AGD142">
        <v>1</v>
      </c>
      <c r="AGE142">
        <v>1</v>
      </c>
      <c r="AGF142">
        <v>1</v>
      </c>
      <c r="AGG142">
        <v>1</v>
      </c>
      <c r="AGH142">
        <v>1</v>
      </c>
      <c r="AGI142">
        <v>1</v>
      </c>
      <c r="AGJ142">
        <v>1</v>
      </c>
      <c r="AGK142">
        <v>1</v>
      </c>
      <c r="AGL142">
        <v>1</v>
      </c>
      <c r="AGM142">
        <v>1</v>
      </c>
      <c r="AGN142">
        <v>1</v>
      </c>
      <c r="AGO142">
        <v>1</v>
      </c>
      <c r="AGP142">
        <v>1</v>
      </c>
      <c r="AGQ142">
        <v>1</v>
      </c>
      <c r="AGR142">
        <v>1</v>
      </c>
      <c r="AGS142">
        <v>1</v>
      </c>
      <c r="AGT142">
        <v>1</v>
      </c>
      <c r="AGU142">
        <v>1</v>
      </c>
      <c r="AGV142">
        <v>1</v>
      </c>
      <c r="AGW142">
        <v>1</v>
      </c>
      <c r="AGX142">
        <v>1</v>
      </c>
      <c r="AGY142">
        <v>1</v>
      </c>
      <c r="AGZ142">
        <v>1</v>
      </c>
      <c r="AHA142">
        <v>1</v>
      </c>
      <c r="AHB142">
        <v>1</v>
      </c>
      <c r="AHC142">
        <v>1</v>
      </c>
      <c r="AHD142">
        <v>1</v>
      </c>
      <c r="AHE142">
        <v>1</v>
      </c>
      <c r="AHF142">
        <v>1</v>
      </c>
      <c r="AHG142">
        <v>1</v>
      </c>
      <c r="AHH142">
        <v>1</v>
      </c>
      <c r="AHI142">
        <v>1</v>
      </c>
      <c r="AHJ142">
        <v>1</v>
      </c>
      <c r="AHK142">
        <v>1</v>
      </c>
      <c r="AHL142">
        <v>1</v>
      </c>
      <c r="AHM142">
        <v>1</v>
      </c>
      <c r="AHN142">
        <v>1</v>
      </c>
      <c r="AHO142">
        <v>1</v>
      </c>
      <c r="AHP142">
        <v>1</v>
      </c>
      <c r="AHQ142">
        <v>1</v>
      </c>
      <c r="AHR142">
        <v>1</v>
      </c>
      <c r="AHS142">
        <v>1</v>
      </c>
      <c r="AHT142">
        <v>1</v>
      </c>
      <c r="AHU142">
        <v>1</v>
      </c>
      <c r="AHV142">
        <v>1</v>
      </c>
      <c r="AHW142">
        <v>1</v>
      </c>
      <c r="AHX142">
        <v>1</v>
      </c>
      <c r="AHY142">
        <v>1</v>
      </c>
      <c r="AHZ142">
        <v>1</v>
      </c>
      <c r="AIA142">
        <v>1</v>
      </c>
      <c r="AIB142">
        <v>1</v>
      </c>
      <c r="AIC142">
        <v>1</v>
      </c>
      <c r="AID142">
        <v>1</v>
      </c>
      <c r="AIE142">
        <v>1</v>
      </c>
      <c r="AIF142">
        <v>1</v>
      </c>
      <c r="AIG142">
        <v>1</v>
      </c>
      <c r="AIH142">
        <v>1</v>
      </c>
      <c r="AII142">
        <v>1</v>
      </c>
      <c r="AIJ142">
        <v>1</v>
      </c>
      <c r="AIK142">
        <v>1</v>
      </c>
      <c r="AIL142">
        <v>1</v>
      </c>
      <c r="AIM142">
        <v>1</v>
      </c>
      <c r="AIN142">
        <v>1</v>
      </c>
      <c r="AIO142">
        <v>1</v>
      </c>
      <c r="AIP142">
        <v>1</v>
      </c>
      <c r="AIQ142">
        <v>1</v>
      </c>
      <c r="AIR142">
        <v>1</v>
      </c>
      <c r="AIS142">
        <v>1</v>
      </c>
      <c r="AIT142">
        <v>1</v>
      </c>
      <c r="AIU142">
        <v>1</v>
      </c>
      <c r="AIV142">
        <v>1</v>
      </c>
      <c r="AIW142">
        <v>1</v>
      </c>
      <c r="AIX142">
        <v>1</v>
      </c>
      <c r="AIY142">
        <v>1</v>
      </c>
      <c r="AIZ142">
        <v>1</v>
      </c>
      <c r="AJA142">
        <v>1</v>
      </c>
      <c r="AJB142">
        <v>1</v>
      </c>
      <c r="AJC142">
        <v>1</v>
      </c>
      <c r="AJD142">
        <v>1</v>
      </c>
      <c r="AJE142">
        <v>1</v>
      </c>
      <c r="AJF142">
        <v>1</v>
      </c>
      <c r="AJG142">
        <v>1</v>
      </c>
      <c r="AJH142">
        <v>1</v>
      </c>
      <c r="AJI142">
        <v>1</v>
      </c>
      <c r="AJJ142">
        <v>1</v>
      </c>
      <c r="AJK142">
        <v>1</v>
      </c>
      <c r="AJL142">
        <v>1</v>
      </c>
      <c r="AJM142">
        <v>1</v>
      </c>
      <c r="AJN142">
        <v>1</v>
      </c>
      <c r="AJO142">
        <v>1</v>
      </c>
      <c r="AJP142">
        <v>1</v>
      </c>
      <c r="AJQ142">
        <v>1</v>
      </c>
      <c r="AJR142">
        <f t="shared" ref="AJR142:AJZ142" si="75">AJR174*(AJR64/AJR63)+AJR175*(AJR65/AJR63)+AJR176*(AJR66/AJR63)</f>
        <v>0.28316672675627375</v>
      </c>
      <c r="AJS142">
        <f t="shared" si="75"/>
        <v>0.28316672675627375</v>
      </c>
      <c r="AJT142">
        <f t="shared" si="75"/>
        <v>0.29046125461254607</v>
      </c>
      <c r="AJU142">
        <f t="shared" si="75"/>
        <v>0.29605140186915896</v>
      </c>
      <c r="AJV142">
        <f t="shared" si="75"/>
        <v>0.284138888888889</v>
      </c>
      <c r="AJW142">
        <f t="shared" si="75"/>
        <v>0.30585231453226919</v>
      </c>
      <c r="AJX142">
        <f t="shared" si="75"/>
        <v>0.31423202422787588</v>
      </c>
      <c r="AJY142">
        <f t="shared" si="75"/>
        <v>0.31333763869195952</v>
      </c>
      <c r="AJZ142">
        <f t="shared" si="75"/>
        <v>0.3126998767908869</v>
      </c>
      <c r="AKG142">
        <f>AKG174*(AKG64/AKG63)+AKG175*(AKG65/AKG63)+AKG176*(AKG66/AKG63)</f>
        <v>0.17356337462392846</v>
      </c>
    </row>
    <row r="143" spans="1:985" ht="14.4" customHeight="1" x14ac:dyDescent="0.55000000000000004">
      <c r="A143" t="s">
        <v>768</v>
      </c>
      <c r="B143" t="s">
        <v>664</v>
      </c>
      <c r="C143" s="1" t="s">
        <v>769</v>
      </c>
      <c r="CA143">
        <v>2.0908E-2</v>
      </c>
      <c r="CB143">
        <v>2.0908E-2</v>
      </c>
      <c r="CC143">
        <v>2.0908E-2</v>
      </c>
      <c r="CD143">
        <v>2.0908E-2</v>
      </c>
      <c r="CE143">
        <v>2.0908E-2</v>
      </c>
      <c r="CF143">
        <v>2.0908E-2</v>
      </c>
      <c r="CG143">
        <v>2.0908E-2</v>
      </c>
      <c r="CH143">
        <v>2.0908E-2</v>
      </c>
      <c r="CI143">
        <v>2.0908E-2</v>
      </c>
      <c r="CJ143">
        <v>2.0908E-2</v>
      </c>
      <c r="CK143">
        <v>2.0908E-2</v>
      </c>
      <c r="CL143">
        <v>2.0908E-2</v>
      </c>
      <c r="CM143">
        <v>2.0908E-2</v>
      </c>
      <c r="CN143">
        <v>2.0908E-2</v>
      </c>
      <c r="CO143">
        <v>2.0908E-2</v>
      </c>
      <c r="CP143">
        <v>2.0908E-2</v>
      </c>
      <c r="CQ143">
        <v>2.0908E-2</v>
      </c>
      <c r="CR143">
        <v>2.0908E-2</v>
      </c>
      <c r="CS143">
        <v>2.0908E-2</v>
      </c>
      <c r="CT143">
        <v>2.0908E-2</v>
      </c>
      <c r="CU143">
        <v>2.0908E-2</v>
      </c>
      <c r="CV143">
        <v>2.0908E-2</v>
      </c>
      <c r="CW143">
        <v>2.0908E-2</v>
      </c>
      <c r="CX143">
        <v>2.0908E-2</v>
      </c>
      <c r="CY143">
        <v>2.0908E-2</v>
      </c>
      <c r="CZ143">
        <v>2.0908E-2</v>
      </c>
      <c r="DA143">
        <v>2.0908E-2</v>
      </c>
      <c r="DB143">
        <v>2.0908E-2</v>
      </c>
      <c r="DC143">
        <v>2.0908E-2</v>
      </c>
      <c r="DD143">
        <v>2.0908E-2</v>
      </c>
      <c r="DE143">
        <v>2.0908E-2</v>
      </c>
      <c r="DF143">
        <v>2.0908E-2</v>
      </c>
      <c r="DG143">
        <v>2.0908E-2</v>
      </c>
      <c r="DH143">
        <v>2.0908E-2</v>
      </c>
      <c r="DI143">
        <v>2.0908E-2</v>
      </c>
      <c r="DJ143">
        <v>2.0908E-2</v>
      </c>
      <c r="DK143">
        <v>2.0908E-2</v>
      </c>
      <c r="DL143">
        <v>2.0908E-2</v>
      </c>
      <c r="DM143">
        <v>2.0908E-2</v>
      </c>
      <c r="DN143">
        <v>2.0908E-2</v>
      </c>
      <c r="DO143">
        <v>2.0908E-2</v>
      </c>
      <c r="DP143">
        <v>2.0908E-2</v>
      </c>
      <c r="DQ143">
        <v>2.0908E-2</v>
      </c>
      <c r="DR143">
        <v>2.0908E-2</v>
      </c>
      <c r="DS143">
        <v>2.0908E-2</v>
      </c>
      <c r="DT143">
        <v>2.0908E-2</v>
      </c>
      <c r="DU143">
        <v>2.0908E-2</v>
      </c>
      <c r="DV143">
        <v>2.0908E-2</v>
      </c>
      <c r="DW143">
        <v>2.0908E-2</v>
      </c>
      <c r="DX143">
        <v>2.0908E-2</v>
      </c>
      <c r="DY143">
        <v>2.0908E-2</v>
      </c>
      <c r="DZ143">
        <v>2.0908E-2</v>
      </c>
      <c r="EA143">
        <v>2.0908E-2</v>
      </c>
      <c r="EB143">
        <v>2.0908E-2</v>
      </c>
      <c r="EC143">
        <v>2.0908E-2</v>
      </c>
      <c r="ED143">
        <v>2.0908E-2</v>
      </c>
      <c r="EE143">
        <v>2.0908E-2</v>
      </c>
      <c r="EF143">
        <v>2.0908E-2</v>
      </c>
      <c r="EG143">
        <v>2.0908E-2</v>
      </c>
      <c r="EH143">
        <v>2.0908E-2</v>
      </c>
      <c r="EI143">
        <v>2.0908E-2</v>
      </c>
      <c r="EJ143">
        <v>2.0908E-2</v>
      </c>
      <c r="EK143">
        <v>2.0908E-2</v>
      </c>
      <c r="EL143">
        <v>2.0908E-2</v>
      </c>
      <c r="EM143">
        <v>2.0908E-2</v>
      </c>
      <c r="EN143">
        <v>2.0908E-2</v>
      </c>
      <c r="EO143">
        <v>2.0908E-2</v>
      </c>
      <c r="EP143">
        <v>2.0908E-2</v>
      </c>
      <c r="EQ143">
        <v>2.0908E-2</v>
      </c>
      <c r="ER143">
        <v>2.0908E-2</v>
      </c>
      <c r="ES143">
        <v>2.0908E-2</v>
      </c>
      <c r="ET143">
        <v>2.0908E-2</v>
      </c>
      <c r="EU143">
        <v>2.0908E-2</v>
      </c>
      <c r="EV143">
        <v>2.0908E-2</v>
      </c>
      <c r="EW143">
        <v>2.0908E-2</v>
      </c>
      <c r="EX143">
        <v>2.0908E-2</v>
      </c>
      <c r="EY143">
        <v>2.0908E-2</v>
      </c>
      <c r="EZ143">
        <v>2.0908E-2</v>
      </c>
      <c r="FA143">
        <v>2.0908E-2</v>
      </c>
      <c r="FB143">
        <v>2.0908E-2</v>
      </c>
      <c r="FC143">
        <v>2.0908E-2</v>
      </c>
      <c r="FD143">
        <v>2.0908E-2</v>
      </c>
      <c r="FE143">
        <v>2.0908E-2</v>
      </c>
      <c r="FF143">
        <v>2.0908E-2</v>
      </c>
      <c r="FG143">
        <v>2.0908E-2</v>
      </c>
      <c r="FH143">
        <v>2.0908E-2</v>
      </c>
      <c r="FI143">
        <v>2.0908E-2</v>
      </c>
      <c r="FJ143">
        <v>2.0908E-2</v>
      </c>
      <c r="FK143">
        <v>2.0908E-2</v>
      </c>
      <c r="FL143">
        <v>2.0908E-2</v>
      </c>
      <c r="FM143">
        <v>2.0908E-2</v>
      </c>
      <c r="FN143">
        <v>2.0908E-2</v>
      </c>
      <c r="FO143">
        <v>2.0908E-2</v>
      </c>
      <c r="FP143">
        <v>2.0908E-2</v>
      </c>
      <c r="FQ143">
        <v>2.0908E-2</v>
      </c>
      <c r="FR143">
        <v>2.0908E-2</v>
      </c>
      <c r="FS143">
        <v>2.0908E-2</v>
      </c>
      <c r="FT143">
        <v>2.0908E-2</v>
      </c>
      <c r="FU143">
        <v>2.0908E-2</v>
      </c>
      <c r="FV143">
        <v>2.0908E-2</v>
      </c>
      <c r="FW143">
        <v>2.0908E-2</v>
      </c>
      <c r="FX143">
        <v>2.0908E-2</v>
      </c>
      <c r="FY143">
        <v>2.0908E-2</v>
      </c>
      <c r="FZ143">
        <v>2.0908E-2</v>
      </c>
      <c r="GA143">
        <v>2.0908E-2</v>
      </c>
      <c r="GB143">
        <v>2.0908E-2</v>
      </c>
      <c r="GC143">
        <v>2.0908E-2</v>
      </c>
      <c r="GD143">
        <v>2.0908E-2</v>
      </c>
      <c r="GE143">
        <v>2.0908E-2</v>
      </c>
      <c r="GF143">
        <v>2.0908E-2</v>
      </c>
      <c r="GG143">
        <v>2.0908E-2</v>
      </c>
      <c r="GH143">
        <v>2.0908E-2</v>
      </c>
      <c r="GI143">
        <v>2.0908E-2</v>
      </c>
      <c r="GJ143">
        <v>2.0908E-2</v>
      </c>
      <c r="GK143">
        <v>2.0908E-2</v>
      </c>
      <c r="GL143">
        <v>2.0908E-2</v>
      </c>
      <c r="GM143">
        <v>2.0908E-2</v>
      </c>
      <c r="GN143">
        <v>2.0908E-2</v>
      </c>
      <c r="GO143">
        <v>2.0908E-2</v>
      </c>
      <c r="GP143">
        <v>2.0908E-2</v>
      </c>
      <c r="GQ143">
        <v>2.0908E-2</v>
      </c>
      <c r="GR143">
        <v>2.0908E-2</v>
      </c>
      <c r="GS143">
        <v>2.0908E-2</v>
      </c>
      <c r="GT143">
        <v>2.0908E-2</v>
      </c>
      <c r="GU143">
        <v>2.0908E-2</v>
      </c>
      <c r="GV143">
        <v>2.0908E-2</v>
      </c>
      <c r="GW143">
        <v>2.0908E-2</v>
      </c>
      <c r="GX143">
        <v>2.0908E-2</v>
      </c>
      <c r="GY143">
        <v>2.0908E-2</v>
      </c>
      <c r="GZ143">
        <v>2.0908E-2</v>
      </c>
      <c r="HA143">
        <v>2.0908E-2</v>
      </c>
      <c r="HB143">
        <v>2.0908E-2</v>
      </c>
      <c r="HC143">
        <v>2.0908E-2</v>
      </c>
      <c r="HD143">
        <v>2.0908E-2</v>
      </c>
      <c r="HE143">
        <v>2.0908E-2</v>
      </c>
      <c r="HF143">
        <v>2.0908E-2</v>
      </c>
      <c r="HG143">
        <v>2.0908E-2</v>
      </c>
      <c r="HH143">
        <v>2.0908E-2</v>
      </c>
      <c r="HI143">
        <v>2.0908E-2</v>
      </c>
      <c r="HJ143">
        <v>2.0908E-2</v>
      </c>
      <c r="HK143">
        <v>2.0908E-2</v>
      </c>
      <c r="HL143">
        <v>2.0908E-2</v>
      </c>
      <c r="HM143">
        <v>2.0908E-2</v>
      </c>
      <c r="HN143">
        <v>2.0908E-2</v>
      </c>
      <c r="HO143">
        <v>2.0908E-2</v>
      </c>
      <c r="HP143">
        <v>2.0908E-2</v>
      </c>
      <c r="HQ143">
        <v>2.0908E-2</v>
      </c>
      <c r="HR143">
        <v>2.0908E-2</v>
      </c>
      <c r="HS143">
        <v>2.0908E-2</v>
      </c>
      <c r="HT143">
        <v>2.0908E-2</v>
      </c>
      <c r="HU143">
        <v>2.0908E-2</v>
      </c>
      <c r="HV143">
        <v>2.0908E-2</v>
      </c>
      <c r="HW143">
        <v>2.0908E-2</v>
      </c>
      <c r="HX143">
        <v>2.0908E-2</v>
      </c>
      <c r="HY143">
        <v>2.0908E-2</v>
      </c>
      <c r="HZ143">
        <v>2.0908E-2</v>
      </c>
      <c r="IA143">
        <v>2.0908E-2</v>
      </c>
      <c r="IB143">
        <v>2.0908E-2</v>
      </c>
      <c r="IC143">
        <v>2.0908E-2</v>
      </c>
      <c r="ID143">
        <v>2.0908E-2</v>
      </c>
      <c r="IE143">
        <v>2.0908E-2</v>
      </c>
      <c r="IF143">
        <v>2.0908E-2</v>
      </c>
      <c r="IG143">
        <v>2.0908E-2</v>
      </c>
      <c r="IH143">
        <v>2.0908E-2</v>
      </c>
      <c r="II143">
        <v>2.0908E-2</v>
      </c>
      <c r="IJ143">
        <v>2.0908E-2</v>
      </c>
      <c r="IK143">
        <v>2.0908E-2</v>
      </c>
      <c r="IL143">
        <v>2.0908E-2</v>
      </c>
      <c r="IM143">
        <v>2.0908E-2</v>
      </c>
      <c r="IN143">
        <v>2.0908E-2</v>
      </c>
      <c r="IO143">
        <v>2.0908E-2</v>
      </c>
      <c r="IP143">
        <v>2.0908E-2</v>
      </c>
      <c r="IQ143">
        <v>2.0908E-2</v>
      </c>
      <c r="IR143">
        <v>2.0908E-2</v>
      </c>
      <c r="IS143">
        <v>2.0908E-2</v>
      </c>
      <c r="IT143">
        <v>2.0908E-2</v>
      </c>
      <c r="IU143">
        <v>2.0908E-2</v>
      </c>
      <c r="IV143">
        <v>2.0908E-2</v>
      </c>
      <c r="IW143">
        <v>2.0908E-2</v>
      </c>
      <c r="IX143">
        <v>2.0908E-2</v>
      </c>
      <c r="IY143">
        <v>2.0908E-2</v>
      </c>
      <c r="IZ143">
        <v>2.0908E-2</v>
      </c>
      <c r="JA143">
        <v>2.0908E-2</v>
      </c>
      <c r="JB143">
        <v>2.0908E-2</v>
      </c>
      <c r="JC143">
        <v>2.0908E-2</v>
      </c>
      <c r="JD143">
        <v>2.0908E-2</v>
      </c>
      <c r="JE143">
        <v>2.0908E-2</v>
      </c>
      <c r="JF143">
        <v>2.0908E-2</v>
      </c>
      <c r="JG143">
        <v>2.0908E-2</v>
      </c>
      <c r="JH143">
        <v>2.0908E-2</v>
      </c>
      <c r="JI143">
        <v>2.0908E-2</v>
      </c>
      <c r="JJ143">
        <v>2.0908E-2</v>
      </c>
      <c r="JK143">
        <v>2.0908E-2</v>
      </c>
      <c r="JL143">
        <v>2.0908E-2</v>
      </c>
      <c r="JM143">
        <v>2.0908E-2</v>
      </c>
      <c r="JN143">
        <v>2.0908E-2</v>
      </c>
      <c r="JO143">
        <v>2.0908E-2</v>
      </c>
      <c r="JP143">
        <v>2.0908E-2</v>
      </c>
      <c r="JQ143">
        <v>2.0908E-2</v>
      </c>
      <c r="JR143">
        <v>2.0908E-2</v>
      </c>
      <c r="JS143">
        <v>2.0908E-2</v>
      </c>
      <c r="JT143">
        <v>2.0908E-2</v>
      </c>
      <c r="JU143">
        <v>2.0908E-2</v>
      </c>
      <c r="JV143">
        <v>2.0908E-2</v>
      </c>
      <c r="JW143">
        <v>2.0908E-2</v>
      </c>
      <c r="JX143">
        <v>2.0908E-2</v>
      </c>
      <c r="JY143">
        <v>2.0908E-2</v>
      </c>
      <c r="JZ143">
        <v>2.0908E-2</v>
      </c>
      <c r="KA143">
        <v>2.0908E-2</v>
      </c>
      <c r="KB143">
        <v>2.0908E-2</v>
      </c>
      <c r="KC143">
        <v>2.0908E-2</v>
      </c>
      <c r="KD143">
        <v>2.0908E-2</v>
      </c>
      <c r="KE143">
        <v>2.0908E-2</v>
      </c>
      <c r="KF143">
        <v>2.0908E-2</v>
      </c>
      <c r="KG143">
        <v>2.0908E-2</v>
      </c>
      <c r="KH143">
        <v>2.0908E-2</v>
      </c>
      <c r="KI143">
        <v>2.0908E-2</v>
      </c>
      <c r="KJ143">
        <v>2.0908E-2</v>
      </c>
      <c r="KK143">
        <v>2.0908E-2</v>
      </c>
      <c r="KL143">
        <v>2.0908E-2</v>
      </c>
      <c r="KM143">
        <v>2.0908E-2</v>
      </c>
      <c r="KN143">
        <v>2.0908E-2</v>
      </c>
      <c r="KO143">
        <v>2.0908E-2</v>
      </c>
      <c r="KP143">
        <v>2.0908E-2</v>
      </c>
      <c r="KQ143">
        <v>2.0908E-2</v>
      </c>
      <c r="KR143">
        <v>2.0908E-2</v>
      </c>
      <c r="KS143">
        <v>2.0908E-2</v>
      </c>
      <c r="KT143">
        <v>2.0908E-2</v>
      </c>
      <c r="KU143">
        <v>2.0908E-2</v>
      </c>
      <c r="KV143">
        <v>2.0908E-2</v>
      </c>
      <c r="KW143">
        <v>2.0908E-2</v>
      </c>
      <c r="KX143">
        <v>2.0908E-2</v>
      </c>
      <c r="KY143">
        <v>2.0908E-2</v>
      </c>
      <c r="KZ143">
        <v>2.0908E-2</v>
      </c>
      <c r="LA143">
        <v>2.0908E-2</v>
      </c>
      <c r="LB143">
        <v>2.0908E-2</v>
      </c>
      <c r="LC143">
        <v>2.0908E-2</v>
      </c>
      <c r="LD143">
        <v>2.0908E-2</v>
      </c>
      <c r="LE143">
        <v>2.0908E-2</v>
      </c>
      <c r="LF143">
        <v>2.0908E-2</v>
      </c>
      <c r="LG143">
        <v>2.0908E-2</v>
      </c>
      <c r="LH143">
        <v>2.0908E-2</v>
      </c>
      <c r="LI143">
        <v>2.0908E-2</v>
      </c>
      <c r="LJ143">
        <v>2.0908E-2</v>
      </c>
      <c r="LK143">
        <v>2.0908E-2</v>
      </c>
      <c r="LL143">
        <v>2.0908E-2</v>
      </c>
      <c r="LM143">
        <v>2.0908E-2</v>
      </c>
      <c r="LN143">
        <v>2.0908E-2</v>
      </c>
      <c r="LO143">
        <v>2.0908E-2</v>
      </c>
      <c r="LP143">
        <v>2.0908E-2</v>
      </c>
      <c r="LQ143">
        <v>2.0908E-2</v>
      </c>
      <c r="LR143">
        <v>2.0908E-2</v>
      </c>
      <c r="LS143">
        <v>2.0908E-2</v>
      </c>
      <c r="LT143">
        <v>2.0908E-2</v>
      </c>
      <c r="LU143">
        <v>2.0908E-2</v>
      </c>
      <c r="LV143">
        <v>2.0908E-2</v>
      </c>
      <c r="LW143">
        <v>2.0908E-2</v>
      </c>
      <c r="LX143">
        <v>2.0908E-2</v>
      </c>
      <c r="LY143">
        <v>2.0908E-2</v>
      </c>
      <c r="LZ143">
        <v>2.0908E-2</v>
      </c>
      <c r="MA143">
        <v>2.0908E-2</v>
      </c>
      <c r="MB143">
        <v>2.0908E-2</v>
      </c>
      <c r="MC143">
        <v>2.0908E-2</v>
      </c>
      <c r="MD143">
        <v>2.0908E-2</v>
      </c>
      <c r="ME143">
        <v>2.0908E-2</v>
      </c>
      <c r="MF143">
        <v>2.0908E-2</v>
      </c>
      <c r="MG143">
        <v>2.0908E-2</v>
      </c>
      <c r="MH143">
        <v>2.0908E-2</v>
      </c>
      <c r="MI143">
        <v>2.0908E-2</v>
      </c>
      <c r="MJ143">
        <v>2.0908E-2</v>
      </c>
      <c r="MK143">
        <v>2.0908E-2</v>
      </c>
      <c r="ML143">
        <v>2.0908E-2</v>
      </c>
      <c r="MM143">
        <v>2.0908E-2</v>
      </c>
      <c r="MN143">
        <v>2.0908E-2</v>
      </c>
      <c r="MO143">
        <v>2.0908E-2</v>
      </c>
      <c r="MP143">
        <v>2.0908E-2</v>
      </c>
      <c r="MQ143">
        <v>2.0908E-2</v>
      </c>
      <c r="MR143">
        <v>2.0908E-2</v>
      </c>
      <c r="MS143">
        <v>2.0908E-2</v>
      </c>
      <c r="MT143">
        <v>2.0908E-2</v>
      </c>
      <c r="MU143">
        <v>2.0908E-2</v>
      </c>
      <c r="MV143">
        <v>2.0908E-2</v>
      </c>
      <c r="MW143">
        <v>2.0908E-2</v>
      </c>
      <c r="MX143">
        <v>2.0908E-2</v>
      </c>
      <c r="MY143">
        <v>2.0908E-2</v>
      </c>
      <c r="MZ143">
        <v>2.0908E-2</v>
      </c>
      <c r="NA143">
        <v>2.0908E-2</v>
      </c>
      <c r="NB143">
        <v>2.0908E-2</v>
      </c>
      <c r="NC143">
        <v>2.0908E-2</v>
      </c>
      <c r="ND143">
        <v>2.0908E-2</v>
      </c>
      <c r="NE143">
        <v>2.0908E-2</v>
      </c>
      <c r="NF143">
        <v>2.0908E-2</v>
      </c>
      <c r="NG143">
        <v>2.0908E-2</v>
      </c>
      <c r="NH143">
        <v>2.0908E-2</v>
      </c>
      <c r="NI143">
        <v>2.0908E-2</v>
      </c>
      <c r="NJ143">
        <v>2.0908E-2</v>
      </c>
      <c r="NK143">
        <v>2.0908E-2</v>
      </c>
      <c r="NL143">
        <v>2.0908E-2</v>
      </c>
      <c r="NM143">
        <v>2.0908E-2</v>
      </c>
      <c r="NN143">
        <v>2.0908E-2</v>
      </c>
      <c r="NO143">
        <v>2.0908E-2</v>
      </c>
      <c r="NP143">
        <v>2.0908E-2</v>
      </c>
      <c r="NQ143">
        <v>2.0908E-2</v>
      </c>
      <c r="NR143">
        <v>2.0908E-2</v>
      </c>
      <c r="NS143">
        <v>2.0908E-2</v>
      </c>
      <c r="NT143">
        <v>2.0908E-2</v>
      </c>
      <c r="NU143">
        <v>2.0908E-2</v>
      </c>
      <c r="NV143">
        <v>2.0908E-2</v>
      </c>
      <c r="NW143">
        <v>2.0908E-2</v>
      </c>
      <c r="NX143">
        <v>2.0908E-2</v>
      </c>
      <c r="NY143">
        <v>2.0908E-2</v>
      </c>
      <c r="NZ143">
        <v>2.0908E-2</v>
      </c>
      <c r="OA143">
        <v>2.0908E-2</v>
      </c>
      <c r="OB143">
        <v>2.0908E-2</v>
      </c>
      <c r="OC143">
        <v>2.0908E-2</v>
      </c>
      <c r="OD143">
        <v>2.0908E-2</v>
      </c>
      <c r="OE143">
        <v>2.0908E-2</v>
      </c>
      <c r="OF143">
        <v>2.0908E-2</v>
      </c>
      <c r="OG143">
        <v>2.0908E-2</v>
      </c>
      <c r="OH143">
        <v>2.0908E-2</v>
      </c>
      <c r="OI143">
        <v>2.0908E-2</v>
      </c>
      <c r="OJ143">
        <v>2.0908E-2</v>
      </c>
      <c r="OK143">
        <v>2.0908E-2</v>
      </c>
      <c r="OL143">
        <v>2.0908E-2</v>
      </c>
      <c r="OM143">
        <v>2.0908E-2</v>
      </c>
      <c r="ON143">
        <v>2.0908E-2</v>
      </c>
      <c r="OO143">
        <v>2.0908E-2</v>
      </c>
      <c r="OP143">
        <v>2.0908E-2</v>
      </c>
      <c r="OQ143">
        <v>2.0908E-2</v>
      </c>
      <c r="OR143">
        <v>2.0908E-2</v>
      </c>
      <c r="OS143">
        <v>2.0908E-2</v>
      </c>
      <c r="OT143">
        <v>2.0908E-2</v>
      </c>
      <c r="OU143">
        <v>2.0908E-2</v>
      </c>
      <c r="OV143">
        <v>2.0908E-2</v>
      </c>
      <c r="OW143">
        <v>2.0908E-2</v>
      </c>
      <c r="OX143">
        <v>2.0908E-2</v>
      </c>
      <c r="OY143">
        <v>2.0908E-2</v>
      </c>
      <c r="OZ143">
        <v>2.0908E-2</v>
      </c>
      <c r="PA143">
        <v>2.0908E-2</v>
      </c>
      <c r="PB143">
        <v>2.0908E-2</v>
      </c>
      <c r="PC143">
        <v>2.0908E-2</v>
      </c>
      <c r="PD143">
        <v>2.0908E-2</v>
      </c>
      <c r="PE143">
        <v>2.0908E-2</v>
      </c>
      <c r="PF143">
        <v>2.0908E-2</v>
      </c>
      <c r="PG143">
        <v>2.0908E-2</v>
      </c>
      <c r="PH143">
        <v>2.0908E-2</v>
      </c>
      <c r="PI143">
        <v>2.0908E-2</v>
      </c>
      <c r="PJ143">
        <v>2.0908E-2</v>
      </c>
      <c r="PK143">
        <v>2.0908E-2</v>
      </c>
      <c r="PL143">
        <v>2.0908E-2</v>
      </c>
      <c r="PM143">
        <v>2.0908E-2</v>
      </c>
      <c r="PN143">
        <v>2.0908E-2</v>
      </c>
      <c r="PO143">
        <v>2.0908E-2</v>
      </c>
      <c r="PP143">
        <v>2.0908E-2</v>
      </c>
      <c r="PQ143">
        <v>2.0908E-2</v>
      </c>
      <c r="PR143">
        <v>2.0908E-2</v>
      </c>
      <c r="PS143">
        <v>2.0908E-2</v>
      </c>
      <c r="PT143">
        <v>2.0908E-2</v>
      </c>
      <c r="PU143">
        <v>2.0908E-2</v>
      </c>
      <c r="PV143">
        <v>2.0908E-2</v>
      </c>
      <c r="PW143">
        <v>2.0908E-2</v>
      </c>
      <c r="PX143">
        <v>2.0908E-2</v>
      </c>
      <c r="PY143">
        <v>2.0908E-2</v>
      </c>
      <c r="PZ143">
        <v>2.0908E-2</v>
      </c>
      <c r="QA143">
        <v>2.0908E-2</v>
      </c>
      <c r="QB143">
        <v>2.0908E-2</v>
      </c>
      <c r="QC143">
        <v>2.0908E-2</v>
      </c>
      <c r="QD143">
        <v>2.0908E-2</v>
      </c>
      <c r="QE143">
        <v>2.0908E-2</v>
      </c>
      <c r="QF143">
        <v>2.0908E-2</v>
      </c>
      <c r="QG143">
        <v>2.0908E-2</v>
      </c>
      <c r="QH143">
        <v>2.0908E-2</v>
      </c>
      <c r="QI143">
        <v>2.0908E-2</v>
      </c>
      <c r="QJ143">
        <v>2.0908E-2</v>
      </c>
      <c r="QK143">
        <v>2.0908E-2</v>
      </c>
      <c r="QL143">
        <v>2.0908E-2</v>
      </c>
      <c r="QM143">
        <v>2.0908E-2</v>
      </c>
      <c r="QN143">
        <v>2.0908E-2</v>
      </c>
      <c r="QO143">
        <v>2.0908E-2</v>
      </c>
      <c r="QP143">
        <v>2.0908E-2</v>
      </c>
      <c r="QQ143">
        <v>2.0908E-2</v>
      </c>
      <c r="QR143">
        <v>2.0908E-2</v>
      </c>
      <c r="QS143">
        <v>2.0908E-2</v>
      </c>
      <c r="QT143">
        <v>2.0908E-2</v>
      </c>
      <c r="QU143">
        <v>2.0908E-2</v>
      </c>
      <c r="QV143">
        <v>2.0908E-2</v>
      </c>
      <c r="QW143">
        <v>2.0908E-2</v>
      </c>
      <c r="QX143">
        <v>2.0908E-2</v>
      </c>
      <c r="QY143">
        <v>2.0908E-2</v>
      </c>
      <c r="QZ143">
        <v>2.0908E-2</v>
      </c>
      <c r="RA143">
        <v>2.0908E-2</v>
      </c>
      <c r="RB143">
        <v>2.0908E-2</v>
      </c>
      <c r="RC143">
        <v>2.0908E-2</v>
      </c>
      <c r="RD143">
        <v>2.0908E-2</v>
      </c>
      <c r="RE143">
        <v>2.0908E-2</v>
      </c>
      <c r="RF143">
        <v>2.0908E-2</v>
      </c>
      <c r="RG143">
        <v>2.0908E-2</v>
      </c>
      <c r="RH143">
        <v>2.0908E-2</v>
      </c>
      <c r="RI143">
        <v>2.0908E-2</v>
      </c>
      <c r="RJ143">
        <v>2.0908E-2</v>
      </c>
      <c r="RK143">
        <v>2.0908E-2</v>
      </c>
      <c r="RL143">
        <v>2.0908E-2</v>
      </c>
      <c r="RM143">
        <v>2.0908E-2</v>
      </c>
      <c r="RN143">
        <v>2.0908E-2</v>
      </c>
      <c r="RO143">
        <v>2.0908E-2</v>
      </c>
      <c r="RP143">
        <v>2.0908E-2</v>
      </c>
      <c r="RQ143">
        <v>2.0908E-2</v>
      </c>
      <c r="RR143">
        <v>2.0908E-2</v>
      </c>
      <c r="RS143">
        <v>2.0908E-2</v>
      </c>
      <c r="RT143">
        <v>2.0908E-2</v>
      </c>
      <c r="RU143">
        <v>2.0908E-2</v>
      </c>
      <c r="RV143">
        <v>2.0908E-2</v>
      </c>
      <c r="RW143">
        <v>2.0908E-2</v>
      </c>
      <c r="RX143">
        <v>2.0908E-2</v>
      </c>
      <c r="RY143">
        <v>2.0908E-2</v>
      </c>
      <c r="RZ143">
        <v>2.0908E-2</v>
      </c>
      <c r="SA143">
        <v>2.0908E-2</v>
      </c>
      <c r="SB143">
        <v>2.0908E-2</v>
      </c>
      <c r="SC143">
        <v>2.0908E-2</v>
      </c>
      <c r="SD143">
        <v>2.0908E-2</v>
      </c>
      <c r="SE143">
        <v>2.0908E-2</v>
      </c>
      <c r="SF143">
        <v>2.0908E-2</v>
      </c>
      <c r="SG143">
        <v>2.0908E-2</v>
      </c>
      <c r="SH143">
        <v>2.0908E-2</v>
      </c>
      <c r="SI143">
        <v>2.0908E-2</v>
      </c>
      <c r="SJ143">
        <v>2.0908E-2</v>
      </c>
      <c r="SK143">
        <v>2.0908E-2</v>
      </c>
      <c r="SL143">
        <v>2.0908E-2</v>
      </c>
      <c r="SM143">
        <v>2.0908E-2</v>
      </c>
      <c r="SN143">
        <v>2.0908E-2</v>
      </c>
      <c r="SO143">
        <v>2.0908E-2</v>
      </c>
      <c r="SP143">
        <v>2.0908E-2</v>
      </c>
      <c r="SQ143">
        <v>2.0908E-2</v>
      </c>
      <c r="SR143">
        <v>2.0908E-2</v>
      </c>
      <c r="SS143">
        <v>2.0908E-2</v>
      </c>
      <c r="ST143">
        <v>2.0908E-2</v>
      </c>
      <c r="SU143">
        <v>2.0908E-2</v>
      </c>
      <c r="SV143">
        <v>2.0908E-2</v>
      </c>
      <c r="SW143">
        <v>2.0908E-2</v>
      </c>
      <c r="SX143">
        <v>2.0908E-2</v>
      </c>
      <c r="SY143">
        <v>2.0908E-2</v>
      </c>
      <c r="SZ143">
        <v>2.0908E-2</v>
      </c>
      <c r="TA143">
        <v>2.0908E-2</v>
      </c>
      <c r="TB143">
        <v>2.0908E-2</v>
      </c>
      <c r="TC143">
        <v>2.0908E-2</v>
      </c>
      <c r="TD143">
        <v>2.0908E-2</v>
      </c>
      <c r="TE143">
        <v>2.0908E-2</v>
      </c>
      <c r="TF143">
        <v>2.0908E-2</v>
      </c>
      <c r="TG143">
        <v>2.0908E-2</v>
      </c>
      <c r="TH143">
        <v>2.0908E-2</v>
      </c>
      <c r="TI143">
        <v>2.0908E-2</v>
      </c>
      <c r="TJ143">
        <v>2.0908E-2</v>
      </c>
      <c r="TK143">
        <v>2.0908E-2</v>
      </c>
      <c r="TL143">
        <v>2.0908E-2</v>
      </c>
      <c r="TM143">
        <v>2.0908E-2</v>
      </c>
      <c r="TN143">
        <v>2.0908E-2</v>
      </c>
      <c r="TO143">
        <v>2.0908E-2</v>
      </c>
      <c r="TP143">
        <v>2.0908E-2</v>
      </c>
      <c r="TQ143">
        <v>2.0908E-2</v>
      </c>
      <c r="TR143">
        <v>2.0908E-2</v>
      </c>
      <c r="TS143">
        <v>2.0908E-2</v>
      </c>
      <c r="TT143">
        <v>2.0908E-2</v>
      </c>
      <c r="TU143">
        <v>2.0908E-2</v>
      </c>
      <c r="TV143">
        <v>2.0908E-2</v>
      </c>
      <c r="TW143">
        <v>2.0908E-2</v>
      </c>
      <c r="TX143">
        <v>2.0908E-2</v>
      </c>
      <c r="TY143">
        <v>2.0908E-2</v>
      </c>
      <c r="TZ143">
        <v>2.0908E-2</v>
      </c>
      <c r="UA143">
        <v>2.0908E-2</v>
      </c>
      <c r="UB143">
        <v>2.0908E-2</v>
      </c>
      <c r="UC143">
        <v>2.0908E-2</v>
      </c>
      <c r="UD143">
        <v>2.0908E-2</v>
      </c>
      <c r="UE143">
        <v>2.0908E-2</v>
      </c>
      <c r="UF143">
        <v>2.0908E-2</v>
      </c>
      <c r="UG143">
        <v>2.0908E-2</v>
      </c>
      <c r="UH143">
        <v>2.0908E-2</v>
      </c>
      <c r="UI143">
        <v>2.0908E-2</v>
      </c>
      <c r="UJ143">
        <v>2.0908E-2</v>
      </c>
      <c r="UK143">
        <v>2.0908E-2</v>
      </c>
      <c r="UL143">
        <v>2.0908E-2</v>
      </c>
      <c r="UM143">
        <v>2.0908E-2</v>
      </c>
      <c r="UN143">
        <v>2.0908E-2</v>
      </c>
      <c r="UO143">
        <v>2.0908E-2</v>
      </c>
      <c r="UP143">
        <v>2.0908E-2</v>
      </c>
      <c r="UQ143">
        <v>2.0908E-2</v>
      </c>
      <c r="UR143">
        <v>2.0908E-2</v>
      </c>
      <c r="US143">
        <v>2.0908E-2</v>
      </c>
      <c r="UT143">
        <v>2.0908E-2</v>
      </c>
      <c r="UU143">
        <v>2.0908E-2</v>
      </c>
      <c r="UV143">
        <v>2.0908E-2</v>
      </c>
      <c r="UW143">
        <v>2.0908E-2</v>
      </c>
      <c r="UX143">
        <v>2.0908E-2</v>
      </c>
      <c r="UY143">
        <v>2.0908E-2</v>
      </c>
      <c r="UZ143">
        <v>2.0908E-2</v>
      </c>
      <c r="VA143">
        <v>2.0908E-2</v>
      </c>
      <c r="VB143">
        <v>2.0908E-2</v>
      </c>
      <c r="VC143">
        <v>2.0908E-2</v>
      </c>
      <c r="VD143">
        <v>2.0908E-2</v>
      </c>
      <c r="VE143">
        <v>2.0908E-2</v>
      </c>
      <c r="VF143">
        <v>2.0908E-2</v>
      </c>
      <c r="VG143">
        <v>2.0908E-2</v>
      </c>
      <c r="VH143">
        <v>2.0908E-2</v>
      </c>
      <c r="VI143">
        <v>2.0908E-2</v>
      </c>
      <c r="VJ143">
        <v>2.0908E-2</v>
      </c>
      <c r="VK143">
        <v>2.0908E-2</v>
      </c>
      <c r="VL143">
        <v>2.0908E-2</v>
      </c>
      <c r="VM143">
        <v>2.0908E-2</v>
      </c>
      <c r="VN143">
        <v>2.0908E-2</v>
      </c>
      <c r="VO143">
        <v>2.0908E-2</v>
      </c>
      <c r="VP143">
        <v>2.0908E-2</v>
      </c>
      <c r="VQ143">
        <v>2.0908E-2</v>
      </c>
      <c r="VR143">
        <v>2.0908E-2</v>
      </c>
      <c r="VS143">
        <v>2.0908E-2</v>
      </c>
      <c r="VT143">
        <v>2.0908E-2</v>
      </c>
      <c r="VU143">
        <v>2.0908E-2</v>
      </c>
      <c r="VV143">
        <v>2.0908E-2</v>
      </c>
      <c r="VW143">
        <v>2.0908E-2</v>
      </c>
      <c r="VX143">
        <v>2.0908E-2</v>
      </c>
      <c r="VY143">
        <v>2.0908E-2</v>
      </c>
      <c r="VZ143">
        <v>2.0908E-2</v>
      </c>
      <c r="WA143">
        <v>2.0908E-2</v>
      </c>
      <c r="WB143">
        <v>2.0908E-2</v>
      </c>
      <c r="WC143">
        <v>2.0908E-2</v>
      </c>
      <c r="WD143">
        <v>2.0908E-2</v>
      </c>
      <c r="WE143">
        <v>2.0908E-2</v>
      </c>
      <c r="WF143">
        <v>2.0908E-2</v>
      </c>
      <c r="WG143">
        <v>2.0908E-2</v>
      </c>
      <c r="WH143">
        <v>2.0908E-2</v>
      </c>
      <c r="WI143">
        <v>2.0908E-2</v>
      </c>
      <c r="WJ143">
        <v>2.0908E-2</v>
      </c>
      <c r="WK143">
        <v>2.0908E-2</v>
      </c>
      <c r="WL143">
        <v>2.0908E-2</v>
      </c>
      <c r="WM143">
        <v>2.0908E-2</v>
      </c>
      <c r="WN143">
        <v>2.0908E-2</v>
      </c>
      <c r="WO143">
        <v>2.0908E-2</v>
      </c>
      <c r="WP143">
        <v>2.0908E-2</v>
      </c>
      <c r="WQ143">
        <v>2.0908E-2</v>
      </c>
      <c r="WR143">
        <v>2.0908E-2</v>
      </c>
      <c r="WS143">
        <v>2.0908E-2</v>
      </c>
      <c r="WT143">
        <v>2.0908E-2</v>
      </c>
      <c r="WU143">
        <v>2.0908E-2</v>
      </c>
      <c r="WV143">
        <v>2.0908E-2</v>
      </c>
      <c r="WW143">
        <v>2.0908E-2</v>
      </c>
      <c r="WX143">
        <v>2.0908E-2</v>
      </c>
      <c r="WY143">
        <v>2.0908E-2</v>
      </c>
      <c r="WZ143">
        <v>2.0908E-2</v>
      </c>
      <c r="XA143">
        <v>2.0908E-2</v>
      </c>
      <c r="XB143">
        <v>2.0908E-2</v>
      </c>
      <c r="XC143">
        <v>2.0908E-2</v>
      </c>
      <c r="XD143">
        <v>2.0908E-2</v>
      </c>
      <c r="XE143">
        <v>2.0908E-2</v>
      </c>
      <c r="XF143">
        <v>2.0908E-2</v>
      </c>
      <c r="XG143">
        <v>2.0908E-2</v>
      </c>
      <c r="XH143">
        <v>2.0908E-2</v>
      </c>
      <c r="XI143">
        <v>2.0908E-2</v>
      </c>
      <c r="XJ143">
        <v>2.0908E-2</v>
      </c>
      <c r="XK143">
        <v>2.0908E-2</v>
      </c>
      <c r="XL143">
        <v>2.0908E-2</v>
      </c>
      <c r="XM143">
        <v>2.0908E-2</v>
      </c>
      <c r="XN143">
        <v>2.0908E-2</v>
      </c>
      <c r="XO143">
        <v>2.0908E-2</v>
      </c>
      <c r="XP143">
        <v>2.0908E-2</v>
      </c>
      <c r="XQ143">
        <v>2.0908E-2</v>
      </c>
      <c r="XR143">
        <v>2.0908E-2</v>
      </c>
      <c r="XS143">
        <v>2.0908E-2</v>
      </c>
      <c r="XT143">
        <v>2.0908E-2</v>
      </c>
      <c r="XU143">
        <v>2.0908E-2</v>
      </c>
      <c r="XV143">
        <v>2.0908E-2</v>
      </c>
      <c r="XW143">
        <v>2.0908E-2</v>
      </c>
      <c r="XX143">
        <v>2.0908E-2</v>
      </c>
      <c r="XY143">
        <v>2.0908E-2</v>
      </c>
      <c r="XZ143">
        <v>2.0908E-2</v>
      </c>
      <c r="YA143">
        <v>2.0908E-2</v>
      </c>
      <c r="YB143">
        <v>2.0908E-2</v>
      </c>
      <c r="YC143">
        <v>2.0908E-2</v>
      </c>
      <c r="YD143">
        <v>2.0908E-2</v>
      </c>
      <c r="YE143">
        <v>2.0908E-2</v>
      </c>
      <c r="YF143">
        <v>2.0908E-2</v>
      </c>
      <c r="YG143">
        <v>2.0908E-2</v>
      </c>
      <c r="YH143">
        <v>2.0908E-2</v>
      </c>
      <c r="YI143">
        <v>2.0908E-2</v>
      </c>
      <c r="YJ143">
        <v>2.0908E-2</v>
      </c>
      <c r="YK143">
        <v>2.0908E-2</v>
      </c>
      <c r="YL143">
        <v>2.0908E-2</v>
      </c>
      <c r="YM143">
        <v>2.0908E-2</v>
      </c>
      <c r="YN143">
        <v>2.0908E-2</v>
      </c>
      <c r="YO143">
        <v>2.0908E-2</v>
      </c>
      <c r="YP143">
        <v>2.0908E-2</v>
      </c>
      <c r="YQ143">
        <v>2.0908E-2</v>
      </c>
      <c r="YR143">
        <v>2.0908E-2</v>
      </c>
      <c r="YS143">
        <v>2.0908E-2</v>
      </c>
      <c r="YT143">
        <v>2.0908E-2</v>
      </c>
      <c r="YU143">
        <v>2.0908E-2</v>
      </c>
      <c r="YV143">
        <v>2.0908E-2</v>
      </c>
      <c r="YW143">
        <v>2.0908E-2</v>
      </c>
      <c r="YX143">
        <v>2.0908E-2</v>
      </c>
      <c r="YY143">
        <v>2.0908E-2</v>
      </c>
      <c r="YZ143">
        <v>2.0908E-2</v>
      </c>
      <c r="ZA143">
        <v>2.0908E-2</v>
      </c>
      <c r="ZB143">
        <v>2.0908E-2</v>
      </c>
      <c r="ZC143">
        <v>2.0908E-2</v>
      </c>
      <c r="ZD143">
        <v>2.0908E-2</v>
      </c>
      <c r="ZE143">
        <v>2.0908E-2</v>
      </c>
      <c r="ZF143">
        <v>2.0908E-2</v>
      </c>
      <c r="ZG143">
        <v>2.0908E-2</v>
      </c>
      <c r="ZH143">
        <v>2.0908E-2</v>
      </c>
      <c r="ZI143">
        <v>2.0908E-2</v>
      </c>
      <c r="ZJ143">
        <v>2.0908E-2</v>
      </c>
      <c r="ZK143">
        <v>2.0908E-2</v>
      </c>
      <c r="ZL143">
        <v>2.0908E-2</v>
      </c>
      <c r="ZM143">
        <v>2.0908E-2</v>
      </c>
      <c r="ZN143">
        <v>2.0908E-2</v>
      </c>
      <c r="ZO143">
        <v>2.0908E-2</v>
      </c>
      <c r="ZP143">
        <v>2.0908E-2</v>
      </c>
      <c r="ZQ143">
        <v>2.0908E-2</v>
      </c>
      <c r="ZR143">
        <v>2.0908E-2</v>
      </c>
      <c r="ZS143">
        <v>2.0908E-2</v>
      </c>
      <c r="ZT143">
        <v>2.0908E-2</v>
      </c>
      <c r="ZU143">
        <v>2.0908E-2</v>
      </c>
      <c r="ZV143">
        <v>2.0908E-2</v>
      </c>
      <c r="ZW143">
        <v>2.0908E-2</v>
      </c>
      <c r="ZX143">
        <v>2.0908E-2</v>
      </c>
      <c r="ZY143">
        <v>2.0908E-2</v>
      </c>
      <c r="ZZ143">
        <v>2.0908E-2</v>
      </c>
      <c r="AAA143">
        <v>2.0908E-2</v>
      </c>
      <c r="AAB143">
        <v>2.0908E-2</v>
      </c>
      <c r="AAC143">
        <v>2.0908E-2</v>
      </c>
      <c r="AAD143">
        <v>2.0908E-2</v>
      </c>
      <c r="AAE143">
        <v>2.0908E-2</v>
      </c>
      <c r="AAF143">
        <v>2.0908E-2</v>
      </c>
      <c r="AAG143">
        <v>2.0908E-2</v>
      </c>
      <c r="AAH143">
        <v>2.0908E-2</v>
      </c>
      <c r="AAI143">
        <v>2.0908E-2</v>
      </c>
      <c r="AAJ143">
        <v>2.0908E-2</v>
      </c>
      <c r="AAK143">
        <v>2.0908E-2</v>
      </c>
      <c r="AAL143">
        <v>2.0908E-2</v>
      </c>
      <c r="AAM143">
        <v>2.0908E-2</v>
      </c>
      <c r="AAN143">
        <v>2.0908E-2</v>
      </c>
      <c r="AAO143">
        <v>2.0908E-2</v>
      </c>
      <c r="AAP143">
        <v>2.0908E-2</v>
      </c>
      <c r="AAQ143">
        <v>2.0908E-2</v>
      </c>
      <c r="AAR143">
        <v>2.0908E-2</v>
      </c>
      <c r="AAS143">
        <v>2.0908E-2</v>
      </c>
      <c r="AAT143">
        <v>2.0908E-2</v>
      </c>
      <c r="AAU143">
        <v>2.0908E-2</v>
      </c>
      <c r="AAV143">
        <v>2.0908E-2</v>
      </c>
      <c r="AAW143">
        <v>2.0908E-2</v>
      </c>
      <c r="AAX143">
        <v>2.0908E-2</v>
      </c>
      <c r="AAY143">
        <v>2.0908E-2</v>
      </c>
      <c r="AAZ143">
        <v>2.0908E-2</v>
      </c>
      <c r="ABA143">
        <v>2.0908E-2</v>
      </c>
      <c r="ABB143">
        <v>2.0908E-2</v>
      </c>
      <c r="ABC143">
        <v>2.0908E-2</v>
      </c>
      <c r="ABD143">
        <v>2.0908E-2</v>
      </c>
      <c r="ABE143">
        <v>2.0908E-2</v>
      </c>
      <c r="ABF143">
        <v>2.0908E-2</v>
      </c>
      <c r="ABG143">
        <v>2.0908E-2</v>
      </c>
      <c r="ABH143">
        <v>2.0908E-2</v>
      </c>
      <c r="ABI143">
        <v>2.0908E-2</v>
      </c>
      <c r="ABJ143">
        <v>2.0908E-2</v>
      </c>
      <c r="ABK143">
        <v>2.0908E-2</v>
      </c>
      <c r="ABL143">
        <v>2.0908E-2</v>
      </c>
      <c r="ABM143">
        <v>2.0908E-2</v>
      </c>
      <c r="ABN143">
        <v>2.0908E-2</v>
      </c>
      <c r="ABO143">
        <v>2.0908E-2</v>
      </c>
      <c r="ABP143">
        <v>2.0908E-2</v>
      </c>
      <c r="ABQ143">
        <v>2.0908E-2</v>
      </c>
      <c r="ABR143">
        <v>2.0908E-2</v>
      </c>
      <c r="ABS143">
        <v>2.0908E-2</v>
      </c>
      <c r="ABT143">
        <v>2.0908E-2</v>
      </c>
      <c r="ABU143">
        <v>2.0908E-2</v>
      </c>
      <c r="ABV143">
        <v>2.0908E-2</v>
      </c>
      <c r="ABW143">
        <v>2.0908E-2</v>
      </c>
      <c r="ABX143">
        <v>2.0908E-2</v>
      </c>
      <c r="ABY143">
        <v>2.0908E-2</v>
      </c>
      <c r="ABZ143">
        <v>2.0908E-2</v>
      </c>
      <c r="ACA143">
        <v>2.0908E-2</v>
      </c>
      <c r="ACB143">
        <v>2.0908E-2</v>
      </c>
      <c r="ACC143">
        <v>2.0908E-2</v>
      </c>
      <c r="ACD143">
        <v>2.0908E-2</v>
      </c>
      <c r="ACE143">
        <v>2.0908E-2</v>
      </c>
      <c r="ACF143">
        <v>2.0908E-2</v>
      </c>
      <c r="ACG143">
        <v>2.0908E-2</v>
      </c>
      <c r="ACH143">
        <v>2.0908E-2</v>
      </c>
      <c r="ACI143">
        <v>2.0908E-2</v>
      </c>
      <c r="ACJ143">
        <v>2.0908E-2</v>
      </c>
      <c r="ACK143">
        <v>2.0908E-2</v>
      </c>
      <c r="ACL143">
        <v>2.0908E-2</v>
      </c>
      <c r="ACM143">
        <v>2.0908E-2</v>
      </c>
      <c r="ACN143">
        <v>2.0908E-2</v>
      </c>
      <c r="ACO143">
        <v>2.0908E-2</v>
      </c>
      <c r="ACP143">
        <v>2.0908E-2</v>
      </c>
      <c r="ACQ143">
        <v>2.0908E-2</v>
      </c>
      <c r="ACR143">
        <v>2.0908E-2</v>
      </c>
      <c r="ACS143">
        <v>2.0908E-2</v>
      </c>
      <c r="ACT143">
        <v>2.0908E-2</v>
      </c>
      <c r="ACU143">
        <v>2.0908E-2</v>
      </c>
      <c r="ACV143">
        <v>2.0908E-2</v>
      </c>
      <c r="ACW143">
        <v>2.0908E-2</v>
      </c>
      <c r="ACX143">
        <v>2.0908E-2</v>
      </c>
      <c r="ACY143">
        <v>2.0908E-2</v>
      </c>
      <c r="ACZ143">
        <v>2.0908E-2</v>
      </c>
      <c r="ADA143">
        <v>2.0908E-2</v>
      </c>
      <c r="ADB143">
        <v>2.0908E-2</v>
      </c>
      <c r="ADC143">
        <v>2.0908E-2</v>
      </c>
      <c r="ADD143">
        <v>2.0908E-2</v>
      </c>
      <c r="ADE143">
        <v>2.0908E-2</v>
      </c>
      <c r="ADF143">
        <v>2.0908E-2</v>
      </c>
      <c r="ADG143">
        <v>2.0908E-2</v>
      </c>
      <c r="ADH143">
        <v>2.0908E-2</v>
      </c>
      <c r="ADI143">
        <v>2.0908E-2</v>
      </c>
      <c r="ADJ143">
        <v>2.0908E-2</v>
      </c>
      <c r="ADK143">
        <v>2.0908E-2</v>
      </c>
      <c r="ADL143">
        <v>2.0908E-2</v>
      </c>
      <c r="ADM143">
        <v>2.0908E-2</v>
      </c>
      <c r="ADN143">
        <v>2.0908E-2</v>
      </c>
      <c r="ADO143">
        <v>2.0908E-2</v>
      </c>
      <c r="ADP143">
        <v>2.0908E-2</v>
      </c>
      <c r="ADQ143">
        <v>2.0908E-2</v>
      </c>
      <c r="ADR143">
        <v>2.0908E-2</v>
      </c>
      <c r="ADS143">
        <v>2.0908E-2</v>
      </c>
      <c r="ADT143">
        <v>2.0908E-2</v>
      </c>
      <c r="ADU143">
        <v>2.0908E-2</v>
      </c>
      <c r="ADV143">
        <v>2.0908E-2</v>
      </c>
      <c r="ADW143">
        <v>2.0908E-2</v>
      </c>
      <c r="ADX143">
        <v>2.0908E-2</v>
      </c>
      <c r="ADY143">
        <v>2.0908E-2</v>
      </c>
      <c r="ADZ143">
        <v>2.0908E-2</v>
      </c>
      <c r="AEA143">
        <v>2.0908E-2</v>
      </c>
      <c r="AEB143">
        <v>2.0908E-2</v>
      </c>
      <c r="AEC143">
        <v>2.0908E-2</v>
      </c>
      <c r="AED143">
        <v>2.0908E-2</v>
      </c>
      <c r="AEE143">
        <v>2.0908E-2</v>
      </c>
      <c r="AEF143">
        <v>2.0908E-2</v>
      </c>
      <c r="AEG143">
        <v>2.0908E-2</v>
      </c>
      <c r="AEH143">
        <v>2.0908E-2</v>
      </c>
      <c r="AEI143">
        <v>2.0908E-2</v>
      </c>
      <c r="AEJ143">
        <v>2.0908E-2</v>
      </c>
      <c r="AEK143">
        <v>2.0908E-2</v>
      </c>
      <c r="AEL143">
        <v>2.0908E-2</v>
      </c>
      <c r="AEM143">
        <v>2.0908E-2</v>
      </c>
      <c r="AEN143">
        <v>2.0908E-2</v>
      </c>
      <c r="AEO143">
        <v>2.0908E-2</v>
      </c>
      <c r="AEP143">
        <v>2.0908E-2</v>
      </c>
      <c r="AEQ143">
        <v>2.0908E-2</v>
      </c>
      <c r="AER143">
        <v>2.0908E-2</v>
      </c>
      <c r="AES143">
        <v>2.0908E-2</v>
      </c>
      <c r="AET143">
        <v>2.0908E-2</v>
      </c>
      <c r="AEU143">
        <v>2.0908E-2</v>
      </c>
      <c r="AEV143">
        <v>2.0908E-2</v>
      </c>
      <c r="AEW143">
        <v>2.0908E-2</v>
      </c>
      <c r="AEX143">
        <v>2.0908E-2</v>
      </c>
      <c r="AEY143">
        <v>2.0908E-2</v>
      </c>
      <c r="AEZ143">
        <v>2.0908E-2</v>
      </c>
      <c r="AFA143">
        <v>2.0908E-2</v>
      </c>
      <c r="AFB143">
        <v>2.0908E-2</v>
      </c>
      <c r="AFC143">
        <v>2.0908E-2</v>
      </c>
      <c r="AFD143">
        <v>2.0908E-2</v>
      </c>
      <c r="AFE143">
        <v>2.0908E-2</v>
      </c>
      <c r="AFF143">
        <v>2.0908E-2</v>
      </c>
      <c r="AFG143">
        <v>2.0908E-2</v>
      </c>
      <c r="AFH143">
        <v>2.0908E-2</v>
      </c>
      <c r="AFI143">
        <v>2.0908E-2</v>
      </c>
      <c r="AFJ143">
        <v>2.0908E-2</v>
      </c>
      <c r="AFK143">
        <v>2.0908E-2</v>
      </c>
      <c r="AFL143">
        <v>2.0908E-2</v>
      </c>
      <c r="AFM143">
        <v>2.0908E-2</v>
      </c>
      <c r="AFN143">
        <v>2.0908E-2</v>
      </c>
      <c r="AFO143">
        <v>2.0908E-2</v>
      </c>
      <c r="AFP143">
        <v>2.0908E-2</v>
      </c>
      <c r="AFQ143">
        <v>2.0908E-2</v>
      </c>
      <c r="AFR143">
        <v>2.0908E-2</v>
      </c>
      <c r="AFS143">
        <v>2.0908E-2</v>
      </c>
      <c r="AFT143">
        <v>2.0908E-2</v>
      </c>
      <c r="AFU143">
        <v>2.0908E-2</v>
      </c>
      <c r="AFV143">
        <v>2.0908E-2</v>
      </c>
      <c r="AFW143">
        <v>2.0908E-2</v>
      </c>
      <c r="AFX143">
        <v>2.0908E-2</v>
      </c>
      <c r="AFY143">
        <v>2.0908E-2</v>
      </c>
      <c r="AFZ143">
        <v>2.0908E-2</v>
      </c>
      <c r="AGA143">
        <v>2.0908E-2</v>
      </c>
      <c r="AGB143">
        <v>2.0908E-2</v>
      </c>
      <c r="AGC143">
        <v>2.0908E-2</v>
      </c>
      <c r="AGD143">
        <v>2.0908E-2</v>
      </c>
      <c r="AGE143">
        <v>2.0908E-2</v>
      </c>
      <c r="AGF143">
        <v>2.0908E-2</v>
      </c>
      <c r="AGG143">
        <v>2.0908E-2</v>
      </c>
      <c r="AGH143">
        <v>2.0908E-2</v>
      </c>
      <c r="AGI143">
        <v>2.0908E-2</v>
      </c>
      <c r="AGJ143">
        <v>2.0908E-2</v>
      </c>
      <c r="AGK143">
        <v>2.0908E-2</v>
      </c>
      <c r="AGL143">
        <v>2.0908E-2</v>
      </c>
      <c r="AGM143">
        <v>2.0908E-2</v>
      </c>
      <c r="AGN143">
        <v>2.0908E-2</v>
      </c>
      <c r="AGO143">
        <v>2.0908E-2</v>
      </c>
      <c r="AGP143">
        <v>2.0908E-2</v>
      </c>
      <c r="AGQ143">
        <v>2.0908E-2</v>
      </c>
      <c r="AGR143">
        <v>2.0908E-2</v>
      </c>
      <c r="AGS143">
        <v>2.0908E-2</v>
      </c>
      <c r="AGT143">
        <v>2.0908E-2</v>
      </c>
      <c r="AGU143">
        <v>2.0908E-2</v>
      </c>
      <c r="AGV143">
        <v>2.0908E-2</v>
      </c>
      <c r="AGW143">
        <v>2.0908E-2</v>
      </c>
      <c r="AGX143">
        <v>2.0908E-2</v>
      </c>
      <c r="AGY143">
        <v>2.0908E-2</v>
      </c>
      <c r="AGZ143">
        <v>2.0908E-2</v>
      </c>
      <c r="AHA143">
        <v>2.0908E-2</v>
      </c>
      <c r="AHB143">
        <v>2.0908E-2</v>
      </c>
      <c r="AHC143">
        <v>2.0908E-2</v>
      </c>
      <c r="AHD143">
        <v>2.0908E-2</v>
      </c>
      <c r="AHE143">
        <v>2.0908E-2</v>
      </c>
      <c r="AHF143">
        <v>2.0908E-2</v>
      </c>
      <c r="AHG143">
        <v>2.0908E-2</v>
      </c>
      <c r="AHH143">
        <v>2.0908E-2</v>
      </c>
      <c r="AHI143">
        <v>2.0908E-2</v>
      </c>
      <c r="AHJ143">
        <v>2.0908E-2</v>
      </c>
      <c r="AHK143">
        <v>2.0908E-2</v>
      </c>
      <c r="AHL143">
        <v>2.0908E-2</v>
      </c>
      <c r="AHM143">
        <v>2.0908E-2</v>
      </c>
      <c r="AHN143">
        <v>2.0908E-2</v>
      </c>
      <c r="AHO143">
        <v>2.0908E-2</v>
      </c>
      <c r="AHP143">
        <v>2.0908E-2</v>
      </c>
      <c r="AHQ143">
        <v>2.0908E-2</v>
      </c>
      <c r="AHR143">
        <v>2.0908E-2</v>
      </c>
      <c r="AHS143">
        <v>2.0908E-2</v>
      </c>
      <c r="AHT143">
        <v>2.0908E-2</v>
      </c>
      <c r="AHU143">
        <v>2.0908E-2</v>
      </c>
      <c r="AHV143">
        <v>2.0908E-2</v>
      </c>
      <c r="AHW143">
        <v>2.0908E-2</v>
      </c>
      <c r="AHX143">
        <v>2.0908E-2</v>
      </c>
      <c r="AHY143">
        <v>2.0908E-2</v>
      </c>
      <c r="AHZ143">
        <v>2.0908E-2</v>
      </c>
      <c r="AIA143">
        <v>2.0908E-2</v>
      </c>
      <c r="AIB143">
        <v>2.0908E-2</v>
      </c>
      <c r="AIC143">
        <v>2.0908E-2</v>
      </c>
      <c r="AID143">
        <v>2.0908E-2</v>
      </c>
      <c r="AIE143">
        <v>2.0908E-2</v>
      </c>
      <c r="AIF143">
        <v>2.0908E-2</v>
      </c>
      <c r="AIG143">
        <v>2.0908E-2</v>
      </c>
      <c r="AIH143">
        <v>2.0908E-2</v>
      </c>
      <c r="AII143">
        <v>2.0908E-2</v>
      </c>
      <c r="AIJ143">
        <v>2.0908E-2</v>
      </c>
      <c r="AIK143">
        <v>2.0908E-2</v>
      </c>
      <c r="AIL143">
        <v>2.0908E-2</v>
      </c>
      <c r="AIM143">
        <v>2.0908E-2</v>
      </c>
      <c r="AIN143">
        <v>2.0908E-2</v>
      </c>
      <c r="AIO143">
        <v>2.0908E-2</v>
      </c>
      <c r="AIP143">
        <v>2.0908E-2</v>
      </c>
      <c r="AIQ143">
        <v>2.0908E-2</v>
      </c>
      <c r="AIR143">
        <v>2.0908E-2</v>
      </c>
      <c r="AIS143">
        <v>2.0908E-2</v>
      </c>
      <c r="AIT143">
        <v>2.0908E-2</v>
      </c>
      <c r="AIU143">
        <v>2.0908E-2</v>
      </c>
      <c r="AIV143">
        <v>2.0908E-2</v>
      </c>
      <c r="AIW143">
        <v>2.0908E-2</v>
      </c>
      <c r="AIX143">
        <v>2.0908E-2</v>
      </c>
      <c r="AIY143">
        <v>2.0908E-2</v>
      </c>
      <c r="AIZ143">
        <v>2.0908E-2</v>
      </c>
      <c r="AJA143">
        <v>2.0908E-2</v>
      </c>
      <c r="AJB143">
        <v>2.0908E-2</v>
      </c>
      <c r="AJC143">
        <v>2.0908E-2</v>
      </c>
      <c r="AJD143">
        <v>2.0908E-2</v>
      </c>
      <c r="AJE143">
        <v>2.0908E-2</v>
      </c>
      <c r="AJF143">
        <v>2.0908E-2</v>
      </c>
      <c r="AJG143">
        <v>2.0908E-2</v>
      </c>
      <c r="AJH143">
        <v>2.0908E-2</v>
      </c>
      <c r="AJI143">
        <v>2.0908E-2</v>
      </c>
      <c r="AJJ143">
        <v>2.0908E-2</v>
      </c>
      <c r="AJK143">
        <v>2.0908E-2</v>
      </c>
      <c r="AJL143">
        <v>2.0908E-2</v>
      </c>
      <c r="AJM143">
        <v>2.0908E-2</v>
      </c>
      <c r="AJN143">
        <v>2.0908E-2</v>
      </c>
      <c r="AJO143">
        <v>2.0908E-2</v>
      </c>
      <c r="AJP143">
        <v>2.0908E-2</v>
      </c>
      <c r="AJQ143">
        <v>2.0908E-2</v>
      </c>
      <c r="AJR143">
        <v>1.4999999999999999E-2</v>
      </c>
      <c r="AJS143">
        <v>1.4999999999999999E-2</v>
      </c>
      <c r="AJT143">
        <v>1.4999999999999999E-2</v>
      </c>
      <c r="AJU143">
        <v>1.4999999999999999E-2</v>
      </c>
      <c r="AJV143">
        <v>1.4999999999999999E-2</v>
      </c>
      <c r="AJW143">
        <v>1.4999999999999999E-2</v>
      </c>
      <c r="AJX143">
        <v>1.4999999999999999E-2</v>
      </c>
      <c r="AJY143">
        <v>1.4999999999999999E-2</v>
      </c>
      <c r="AJZ143">
        <v>1.4999999999999999E-2</v>
      </c>
      <c r="AKA143">
        <v>1.4999999999999999E-2</v>
      </c>
      <c r="AKB143">
        <v>1.4999999999999999E-2</v>
      </c>
      <c r="AKC143">
        <v>1.4999999999999999E-2</v>
      </c>
      <c r="AKD143">
        <v>1.4999999999999999E-2</v>
      </c>
      <c r="AKE143">
        <v>1.4999999999999999E-2</v>
      </c>
      <c r="AKF143">
        <v>1.4999999999999999E-2</v>
      </c>
      <c r="AKG143">
        <v>1.4999999999999999E-2</v>
      </c>
    </row>
    <row r="144" spans="1:985" ht="14.4" customHeight="1" x14ac:dyDescent="0.55000000000000004">
      <c r="A144" t="s">
        <v>771</v>
      </c>
      <c r="B144" t="s">
        <v>480</v>
      </c>
      <c r="C144" s="1" t="s">
        <v>772</v>
      </c>
      <c r="CA144">
        <v>87.3</v>
      </c>
      <c r="CB144">
        <v>87.3</v>
      </c>
      <c r="CC144">
        <v>87.3</v>
      </c>
      <c r="CD144">
        <v>87.3</v>
      </c>
      <c r="CE144">
        <v>87.3</v>
      </c>
      <c r="CF144">
        <v>87.3</v>
      </c>
      <c r="CG144">
        <v>87.3</v>
      </c>
      <c r="CH144">
        <v>87.3</v>
      </c>
      <c r="CI144">
        <v>87.3</v>
      </c>
      <c r="CJ144">
        <v>87.3</v>
      </c>
      <c r="CK144">
        <v>87.3</v>
      </c>
      <c r="CL144">
        <v>87.3</v>
      </c>
      <c r="CM144">
        <v>87.3</v>
      </c>
      <c r="CN144">
        <v>87.3</v>
      </c>
      <c r="CO144">
        <v>87.3</v>
      </c>
      <c r="CP144">
        <v>87.3</v>
      </c>
      <c r="CQ144">
        <v>87.3</v>
      </c>
      <c r="CR144">
        <v>87.3</v>
      </c>
      <c r="CS144">
        <v>87.3</v>
      </c>
      <c r="CT144">
        <v>87.3</v>
      </c>
      <c r="CU144">
        <v>87.3</v>
      </c>
      <c r="CV144">
        <v>87.3</v>
      </c>
      <c r="CW144">
        <v>87.3</v>
      </c>
      <c r="CX144">
        <v>87.3</v>
      </c>
      <c r="CY144">
        <v>87.3</v>
      </c>
      <c r="CZ144">
        <v>87.3</v>
      </c>
      <c r="DA144">
        <v>87.3</v>
      </c>
      <c r="DB144">
        <v>87.3</v>
      </c>
      <c r="DC144">
        <v>87.3</v>
      </c>
      <c r="DD144">
        <v>87.3</v>
      </c>
      <c r="DE144">
        <v>87.3</v>
      </c>
      <c r="DF144">
        <v>87.3</v>
      </c>
      <c r="DG144">
        <v>87.3</v>
      </c>
      <c r="DH144">
        <v>87.3</v>
      </c>
      <c r="DI144">
        <v>87.3</v>
      </c>
      <c r="DJ144">
        <v>87.3</v>
      </c>
      <c r="DK144">
        <v>87.3</v>
      </c>
      <c r="DL144">
        <v>87.3</v>
      </c>
      <c r="DM144">
        <v>87.3</v>
      </c>
      <c r="DN144">
        <v>87.3</v>
      </c>
      <c r="DO144">
        <v>87.3</v>
      </c>
      <c r="DP144">
        <v>87.3</v>
      </c>
      <c r="DQ144">
        <v>87.3</v>
      </c>
      <c r="DR144">
        <v>87.3</v>
      </c>
      <c r="DS144">
        <v>87.3</v>
      </c>
      <c r="DT144">
        <v>87.3</v>
      </c>
      <c r="DU144">
        <v>87.3</v>
      </c>
      <c r="DV144">
        <v>87.3</v>
      </c>
      <c r="DW144">
        <v>87.3</v>
      </c>
      <c r="DX144">
        <v>87.3</v>
      </c>
      <c r="DY144">
        <v>87.3</v>
      </c>
      <c r="DZ144">
        <v>87.3</v>
      </c>
      <c r="EA144">
        <v>87.3</v>
      </c>
      <c r="EB144">
        <v>87.3</v>
      </c>
      <c r="EC144">
        <v>87.3</v>
      </c>
      <c r="ED144">
        <v>87.3</v>
      </c>
      <c r="EE144">
        <v>87.3</v>
      </c>
      <c r="EF144">
        <v>87.3</v>
      </c>
      <c r="EG144">
        <v>87.3</v>
      </c>
      <c r="EH144">
        <v>87.3</v>
      </c>
      <c r="EI144">
        <v>87.3</v>
      </c>
      <c r="EJ144">
        <v>87.3</v>
      </c>
      <c r="EK144">
        <v>87.3</v>
      </c>
      <c r="EL144">
        <v>87.3</v>
      </c>
      <c r="EM144">
        <v>87.3</v>
      </c>
      <c r="EN144">
        <v>87.3</v>
      </c>
      <c r="EO144">
        <v>87.3</v>
      </c>
      <c r="EP144">
        <v>87.3</v>
      </c>
      <c r="EQ144">
        <v>87.3</v>
      </c>
      <c r="ER144">
        <v>87.3</v>
      </c>
      <c r="ES144">
        <v>87.3</v>
      </c>
      <c r="ET144">
        <v>87.3</v>
      </c>
      <c r="EU144">
        <v>87.3</v>
      </c>
      <c r="EV144">
        <v>87.3</v>
      </c>
      <c r="EW144">
        <v>87.3</v>
      </c>
      <c r="EX144">
        <v>87.3</v>
      </c>
      <c r="EY144">
        <v>87.3</v>
      </c>
      <c r="EZ144">
        <v>87.3</v>
      </c>
      <c r="FA144">
        <v>87.3</v>
      </c>
      <c r="FB144">
        <v>87.3</v>
      </c>
      <c r="FC144">
        <v>87.3</v>
      </c>
      <c r="FD144">
        <v>87.3</v>
      </c>
      <c r="FE144">
        <v>87.3</v>
      </c>
      <c r="FF144">
        <v>87.3</v>
      </c>
      <c r="FG144">
        <v>87.3</v>
      </c>
      <c r="FH144">
        <v>87.3</v>
      </c>
      <c r="FI144">
        <v>87.3</v>
      </c>
      <c r="FJ144">
        <v>87.3</v>
      </c>
      <c r="FK144">
        <v>87.3</v>
      </c>
      <c r="FL144">
        <v>87.3</v>
      </c>
      <c r="FM144">
        <v>87.3</v>
      </c>
      <c r="FN144">
        <v>87.3</v>
      </c>
      <c r="FO144">
        <v>87.3</v>
      </c>
      <c r="FP144">
        <v>87.3</v>
      </c>
      <c r="FQ144">
        <v>87.3</v>
      </c>
      <c r="FR144">
        <v>87.3</v>
      </c>
      <c r="FS144">
        <v>87.3</v>
      </c>
      <c r="FT144">
        <v>87.3</v>
      </c>
      <c r="FU144">
        <v>87.3</v>
      </c>
      <c r="FV144">
        <v>87.3</v>
      </c>
      <c r="FW144">
        <v>87.3</v>
      </c>
      <c r="FX144">
        <v>87.3</v>
      </c>
      <c r="FY144">
        <v>87.3</v>
      </c>
      <c r="FZ144">
        <v>87.3</v>
      </c>
      <c r="GA144">
        <v>87.3</v>
      </c>
      <c r="GB144">
        <v>87.3</v>
      </c>
      <c r="GC144">
        <v>87.3</v>
      </c>
      <c r="GD144">
        <v>87.3</v>
      </c>
      <c r="GE144">
        <v>87.3</v>
      </c>
      <c r="GF144">
        <v>87.3</v>
      </c>
      <c r="GG144">
        <v>87.3</v>
      </c>
      <c r="GH144">
        <v>87.3</v>
      </c>
      <c r="GI144">
        <v>87.3</v>
      </c>
      <c r="GJ144">
        <v>87.3</v>
      </c>
      <c r="GK144">
        <v>87.3</v>
      </c>
      <c r="GL144">
        <v>87.3</v>
      </c>
      <c r="GM144">
        <v>87.3</v>
      </c>
      <c r="GN144">
        <v>87.3</v>
      </c>
      <c r="GO144">
        <v>87.3</v>
      </c>
      <c r="GP144">
        <v>87.3</v>
      </c>
      <c r="GQ144">
        <v>87.3</v>
      </c>
      <c r="GR144">
        <v>87.3</v>
      </c>
      <c r="GS144">
        <v>87.3</v>
      </c>
      <c r="GT144">
        <v>87.3</v>
      </c>
      <c r="GU144">
        <v>87.3</v>
      </c>
      <c r="GV144">
        <v>87.3</v>
      </c>
      <c r="GW144">
        <v>87.3</v>
      </c>
      <c r="GX144">
        <v>87.3</v>
      </c>
      <c r="GY144">
        <v>87.3</v>
      </c>
      <c r="GZ144">
        <v>87.3</v>
      </c>
      <c r="HA144">
        <v>87.3</v>
      </c>
      <c r="HB144">
        <v>87.3</v>
      </c>
      <c r="HC144">
        <v>87.3</v>
      </c>
      <c r="HD144">
        <v>87.3</v>
      </c>
      <c r="HE144">
        <v>87.3</v>
      </c>
      <c r="HF144">
        <v>87.3</v>
      </c>
      <c r="HG144">
        <v>87.3</v>
      </c>
      <c r="HH144">
        <v>87.3</v>
      </c>
      <c r="HI144">
        <v>87.3</v>
      </c>
      <c r="HJ144">
        <v>87.3</v>
      </c>
      <c r="HK144">
        <v>87.3</v>
      </c>
      <c r="HL144">
        <v>87.3</v>
      </c>
      <c r="HM144">
        <v>87.3</v>
      </c>
      <c r="HN144">
        <v>87.3</v>
      </c>
      <c r="HO144">
        <v>87.3</v>
      </c>
      <c r="HP144">
        <v>87.3</v>
      </c>
      <c r="HQ144">
        <v>87.3</v>
      </c>
      <c r="HR144">
        <v>87.3</v>
      </c>
      <c r="HS144">
        <v>87.3</v>
      </c>
      <c r="HT144">
        <v>87.3</v>
      </c>
      <c r="HU144">
        <v>87.3</v>
      </c>
      <c r="HV144">
        <v>87.3</v>
      </c>
      <c r="HW144">
        <v>87.3</v>
      </c>
      <c r="HX144">
        <v>87.3</v>
      </c>
      <c r="HY144">
        <v>87.3</v>
      </c>
      <c r="HZ144">
        <v>87.3</v>
      </c>
      <c r="IA144">
        <v>87.3</v>
      </c>
      <c r="IB144">
        <v>87.3</v>
      </c>
      <c r="IC144">
        <v>87.3</v>
      </c>
      <c r="ID144">
        <v>87.3</v>
      </c>
      <c r="IE144">
        <v>87.3</v>
      </c>
      <c r="IF144">
        <v>87.3</v>
      </c>
      <c r="IG144">
        <v>87.3</v>
      </c>
      <c r="IH144">
        <v>87.3</v>
      </c>
      <c r="II144">
        <v>87.3</v>
      </c>
      <c r="IJ144">
        <v>87.3</v>
      </c>
      <c r="IK144">
        <v>87.3</v>
      </c>
      <c r="IL144">
        <v>87.3</v>
      </c>
      <c r="IM144">
        <v>87.3</v>
      </c>
      <c r="IN144">
        <v>87.3</v>
      </c>
      <c r="IO144">
        <v>87.3</v>
      </c>
      <c r="IP144">
        <v>87.3</v>
      </c>
      <c r="IQ144">
        <v>87.3</v>
      </c>
      <c r="IR144">
        <v>87.3</v>
      </c>
      <c r="IS144">
        <v>87.3</v>
      </c>
      <c r="IT144">
        <v>87.3</v>
      </c>
      <c r="IU144">
        <v>87.3</v>
      </c>
      <c r="IV144">
        <v>87.3</v>
      </c>
      <c r="IW144">
        <v>87.3</v>
      </c>
      <c r="IX144">
        <v>87.3</v>
      </c>
      <c r="IY144">
        <v>87.3</v>
      </c>
      <c r="IZ144">
        <v>87.3</v>
      </c>
      <c r="JA144">
        <v>87.3</v>
      </c>
      <c r="JB144">
        <v>87.3</v>
      </c>
      <c r="JC144">
        <v>87.3</v>
      </c>
      <c r="JD144">
        <v>87.3</v>
      </c>
      <c r="JE144">
        <v>87.3</v>
      </c>
      <c r="JF144">
        <v>87.3</v>
      </c>
      <c r="JG144">
        <v>87.3</v>
      </c>
      <c r="JH144">
        <v>87.3</v>
      </c>
      <c r="JI144">
        <v>87.3</v>
      </c>
      <c r="JJ144">
        <v>87.3</v>
      </c>
      <c r="JK144">
        <v>87.3</v>
      </c>
      <c r="JL144">
        <v>87.3</v>
      </c>
      <c r="JM144">
        <v>87.3</v>
      </c>
      <c r="JN144">
        <v>87.3</v>
      </c>
      <c r="JO144">
        <v>87.3</v>
      </c>
      <c r="JP144">
        <v>87.3</v>
      </c>
      <c r="JQ144">
        <v>87.3</v>
      </c>
      <c r="JR144">
        <v>87.3</v>
      </c>
      <c r="JS144">
        <v>87.3</v>
      </c>
      <c r="JT144">
        <v>87.3</v>
      </c>
      <c r="JU144">
        <v>87.3</v>
      </c>
      <c r="JV144">
        <v>87.3</v>
      </c>
      <c r="JW144">
        <v>87.3</v>
      </c>
      <c r="JX144">
        <v>87.3</v>
      </c>
      <c r="JY144">
        <v>87.3</v>
      </c>
      <c r="JZ144">
        <v>87.3</v>
      </c>
      <c r="KA144">
        <v>87.3</v>
      </c>
      <c r="KB144">
        <v>87.3</v>
      </c>
      <c r="KC144">
        <v>87.3</v>
      </c>
      <c r="KD144">
        <v>87.3</v>
      </c>
      <c r="KE144">
        <v>87.3</v>
      </c>
      <c r="KF144">
        <v>87.3</v>
      </c>
      <c r="KG144">
        <v>87.3</v>
      </c>
      <c r="KH144">
        <v>87.3</v>
      </c>
      <c r="KI144">
        <v>87.3</v>
      </c>
      <c r="KJ144">
        <v>87.3</v>
      </c>
      <c r="KK144">
        <v>87.3</v>
      </c>
      <c r="KL144">
        <v>87.3</v>
      </c>
      <c r="KM144">
        <v>87.3</v>
      </c>
      <c r="KN144">
        <v>87.3</v>
      </c>
      <c r="KO144">
        <v>87.3</v>
      </c>
      <c r="KP144">
        <v>87.3</v>
      </c>
      <c r="KQ144">
        <v>87.3</v>
      </c>
      <c r="KR144">
        <v>87.3</v>
      </c>
      <c r="KS144">
        <v>87.3</v>
      </c>
      <c r="KT144">
        <v>87.3</v>
      </c>
      <c r="KU144">
        <v>87.3</v>
      </c>
      <c r="KV144">
        <v>87.3</v>
      </c>
      <c r="KW144">
        <v>87.3</v>
      </c>
      <c r="KX144">
        <v>87.3</v>
      </c>
      <c r="KY144">
        <v>87.3</v>
      </c>
      <c r="KZ144">
        <v>87.3</v>
      </c>
      <c r="LA144">
        <v>87.3</v>
      </c>
      <c r="LB144">
        <v>87.3</v>
      </c>
      <c r="LC144">
        <v>87.3</v>
      </c>
      <c r="LD144">
        <v>87.3</v>
      </c>
      <c r="LE144">
        <v>87.3</v>
      </c>
      <c r="LF144">
        <v>87.3</v>
      </c>
      <c r="LG144">
        <v>87.3</v>
      </c>
      <c r="LH144">
        <v>87.3</v>
      </c>
      <c r="LI144">
        <v>87.3</v>
      </c>
      <c r="LJ144">
        <v>87.3</v>
      </c>
      <c r="LK144">
        <v>87.3</v>
      </c>
      <c r="LL144">
        <v>87.3</v>
      </c>
      <c r="LM144">
        <v>87.3</v>
      </c>
      <c r="LN144">
        <v>87.3</v>
      </c>
      <c r="LO144">
        <v>87.3</v>
      </c>
      <c r="LP144">
        <v>87.3</v>
      </c>
      <c r="LQ144">
        <v>87.3</v>
      </c>
      <c r="LR144">
        <v>87.3</v>
      </c>
      <c r="LS144">
        <v>87.3</v>
      </c>
      <c r="LT144">
        <v>87.3</v>
      </c>
      <c r="LU144">
        <v>87.3</v>
      </c>
      <c r="LV144">
        <v>87.3</v>
      </c>
      <c r="LW144">
        <v>87.3</v>
      </c>
      <c r="LX144">
        <v>87.3</v>
      </c>
      <c r="LY144">
        <v>87.3</v>
      </c>
      <c r="LZ144">
        <v>87.3</v>
      </c>
      <c r="MA144">
        <v>87.3</v>
      </c>
      <c r="MB144">
        <v>87.3</v>
      </c>
      <c r="MC144">
        <v>87.3</v>
      </c>
      <c r="MD144">
        <v>87.3</v>
      </c>
      <c r="ME144">
        <v>87.3</v>
      </c>
      <c r="MF144">
        <v>87.3</v>
      </c>
      <c r="MG144">
        <v>87.3</v>
      </c>
      <c r="MH144">
        <v>87.3</v>
      </c>
      <c r="MI144">
        <v>87.3</v>
      </c>
      <c r="MJ144">
        <v>87.3</v>
      </c>
      <c r="MK144">
        <v>87.3</v>
      </c>
      <c r="ML144">
        <v>87.3</v>
      </c>
      <c r="MM144">
        <v>87.3</v>
      </c>
      <c r="MN144">
        <v>87.3</v>
      </c>
      <c r="MO144">
        <v>87.3</v>
      </c>
      <c r="MP144">
        <v>87.3</v>
      </c>
      <c r="MQ144">
        <v>87.3</v>
      </c>
      <c r="MR144">
        <v>87.3</v>
      </c>
      <c r="MS144">
        <v>87.3</v>
      </c>
      <c r="MT144">
        <v>87.3</v>
      </c>
      <c r="MU144">
        <v>87.3</v>
      </c>
      <c r="MV144">
        <v>87.3</v>
      </c>
      <c r="MW144">
        <v>87.3</v>
      </c>
      <c r="MX144">
        <v>87.3</v>
      </c>
      <c r="MY144">
        <v>87.3</v>
      </c>
      <c r="MZ144">
        <v>87.3</v>
      </c>
      <c r="NA144">
        <v>87.3</v>
      </c>
      <c r="NB144">
        <v>87.3</v>
      </c>
      <c r="NC144">
        <v>87.3</v>
      </c>
      <c r="ND144">
        <v>87.3</v>
      </c>
      <c r="NE144">
        <v>87.3</v>
      </c>
      <c r="NF144">
        <v>87.3</v>
      </c>
      <c r="NG144">
        <v>87.3</v>
      </c>
      <c r="NH144">
        <v>87.3</v>
      </c>
      <c r="NI144">
        <v>87.3</v>
      </c>
      <c r="NJ144">
        <v>87.3</v>
      </c>
      <c r="NK144">
        <v>87.3</v>
      </c>
      <c r="NL144">
        <v>87.3</v>
      </c>
      <c r="NM144">
        <v>87.3</v>
      </c>
      <c r="NN144">
        <v>87.3</v>
      </c>
      <c r="NO144">
        <v>87.3</v>
      </c>
      <c r="NP144">
        <v>87.3</v>
      </c>
      <c r="NQ144">
        <v>87.3</v>
      </c>
      <c r="NR144">
        <v>87.3</v>
      </c>
      <c r="NS144">
        <v>87.3</v>
      </c>
      <c r="NT144">
        <v>87.3</v>
      </c>
      <c r="NU144">
        <v>87.3</v>
      </c>
      <c r="NV144">
        <v>87.3</v>
      </c>
      <c r="NW144">
        <v>87.3</v>
      </c>
      <c r="NX144">
        <v>87.3</v>
      </c>
      <c r="NY144">
        <v>87.3</v>
      </c>
      <c r="NZ144">
        <v>87.3</v>
      </c>
      <c r="OA144">
        <v>87.3</v>
      </c>
      <c r="OB144">
        <v>87.3</v>
      </c>
      <c r="OC144">
        <v>87.3</v>
      </c>
      <c r="OD144">
        <v>87.3</v>
      </c>
      <c r="OE144">
        <v>87.3</v>
      </c>
      <c r="OF144">
        <v>87.3</v>
      </c>
      <c r="OG144">
        <v>87.3</v>
      </c>
      <c r="OH144">
        <v>87.3</v>
      </c>
      <c r="OI144">
        <v>87.3</v>
      </c>
      <c r="OJ144">
        <v>87.3</v>
      </c>
      <c r="OK144">
        <v>87.3</v>
      </c>
      <c r="OL144">
        <v>87.3</v>
      </c>
      <c r="OM144">
        <v>87.3</v>
      </c>
      <c r="ON144">
        <v>87.3</v>
      </c>
      <c r="OO144">
        <v>87.3</v>
      </c>
      <c r="OP144">
        <v>87.3</v>
      </c>
      <c r="OQ144">
        <v>87.3</v>
      </c>
      <c r="OR144">
        <v>87.3</v>
      </c>
      <c r="OS144">
        <v>87.3</v>
      </c>
      <c r="OT144">
        <v>87.3</v>
      </c>
      <c r="OU144">
        <v>87.3</v>
      </c>
      <c r="OV144">
        <v>87.3</v>
      </c>
      <c r="OW144">
        <v>87.3</v>
      </c>
      <c r="OX144">
        <v>87.3</v>
      </c>
      <c r="OY144">
        <v>87.3</v>
      </c>
      <c r="OZ144">
        <v>87.3</v>
      </c>
      <c r="PA144">
        <v>87.3</v>
      </c>
      <c r="PB144">
        <v>87.3</v>
      </c>
      <c r="PC144">
        <v>87.3</v>
      </c>
      <c r="PD144">
        <v>87.3</v>
      </c>
      <c r="PE144">
        <v>87.3</v>
      </c>
      <c r="PF144">
        <v>87.3</v>
      </c>
      <c r="PG144">
        <v>87.3</v>
      </c>
      <c r="PH144">
        <v>87.3</v>
      </c>
      <c r="PI144">
        <v>87.3</v>
      </c>
      <c r="PJ144">
        <v>87.3</v>
      </c>
      <c r="PK144">
        <v>87.3</v>
      </c>
      <c r="PL144">
        <v>87.3</v>
      </c>
      <c r="PM144">
        <v>87.3</v>
      </c>
      <c r="PN144">
        <v>87.3</v>
      </c>
      <c r="PO144">
        <v>87.3</v>
      </c>
      <c r="PP144">
        <v>87.3</v>
      </c>
      <c r="PQ144">
        <v>87.3</v>
      </c>
      <c r="PR144">
        <v>87.3</v>
      </c>
      <c r="PS144">
        <v>87.3</v>
      </c>
      <c r="PT144">
        <v>87.3</v>
      </c>
      <c r="PU144">
        <v>87.3</v>
      </c>
      <c r="PV144">
        <v>87.3</v>
      </c>
      <c r="PW144">
        <v>87.3</v>
      </c>
      <c r="PX144">
        <v>87.3</v>
      </c>
      <c r="PY144">
        <v>87.3</v>
      </c>
      <c r="PZ144">
        <v>87.3</v>
      </c>
      <c r="QA144">
        <v>87.3</v>
      </c>
      <c r="QB144">
        <v>87.3</v>
      </c>
      <c r="QC144">
        <v>87.3</v>
      </c>
      <c r="QD144">
        <v>87.3</v>
      </c>
      <c r="QE144">
        <v>87.3</v>
      </c>
      <c r="QF144">
        <v>87.3</v>
      </c>
      <c r="QG144">
        <v>87.3</v>
      </c>
      <c r="QH144">
        <v>87.3</v>
      </c>
      <c r="QI144">
        <v>87.3</v>
      </c>
      <c r="QJ144">
        <v>87.3</v>
      </c>
      <c r="QK144">
        <v>87.3</v>
      </c>
      <c r="QL144">
        <v>87.3</v>
      </c>
      <c r="QM144">
        <v>87.3</v>
      </c>
      <c r="QN144">
        <v>87.3</v>
      </c>
      <c r="QO144">
        <v>87.3</v>
      </c>
      <c r="QP144">
        <v>87.3</v>
      </c>
      <c r="QQ144">
        <v>87.3</v>
      </c>
      <c r="QR144">
        <v>87.3</v>
      </c>
      <c r="QS144">
        <v>87.3</v>
      </c>
      <c r="QT144">
        <v>87.3</v>
      </c>
      <c r="QU144">
        <v>87.3</v>
      </c>
      <c r="QV144">
        <v>87.3</v>
      </c>
      <c r="QW144">
        <v>87.3</v>
      </c>
      <c r="QX144">
        <v>87.3</v>
      </c>
      <c r="QY144">
        <v>87.3</v>
      </c>
      <c r="QZ144">
        <v>87.3</v>
      </c>
      <c r="RA144">
        <v>87.3</v>
      </c>
      <c r="RB144">
        <v>87.3</v>
      </c>
      <c r="RC144">
        <v>87.3</v>
      </c>
      <c r="RD144">
        <v>87.3</v>
      </c>
      <c r="RE144">
        <v>87.3</v>
      </c>
      <c r="RF144">
        <v>87.3</v>
      </c>
      <c r="RG144">
        <v>87.3</v>
      </c>
      <c r="RH144">
        <v>87.3</v>
      </c>
      <c r="RI144">
        <v>87.3</v>
      </c>
      <c r="RJ144">
        <v>87.3</v>
      </c>
      <c r="RK144">
        <v>87.3</v>
      </c>
      <c r="RL144">
        <v>87.3</v>
      </c>
      <c r="RM144">
        <v>87.3</v>
      </c>
      <c r="RN144">
        <v>87.3</v>
      </c>
      <c r="RO144">
        <v>87.3</v>
      </c>
      <c r="RP144">
        <v>87.3</v>
      </c>
      <c r="RQ144">
        <v>87.3</v>
      </c>
      <c r="RR144">
        <v>87.3</v>
      </c>
      <c r="RS144">
        <v>87.3</v>
      </c>
      <c r="RT144">
        <v>87.3</v>
      </c>
      <c r="RU144">
        <v>87.3</v>
      </c>
      <c r="RV144">
        <v>87.3</v>
      </c>
      <c r="RW144">
        <v>87.3</v>
      </c>
      <c r="RX144">
        <v>87.3</v>
      </c>
      <c r="RY144">
        <v>87.3</v>
      </c>
      <c r="RZ144">
        <v>87.3</v>
      </c>
      <c r="SA144">
        <v>87.3</v>
      </c>
      <c r="SB144">
        <v>87.3</v>
      </c>
      <c r="SC144">
        <v>87.3</v>
      </c>
      <c r="SD144">
        <v>87.3</v>
      </c>
      <c r="SE144">
        <v>87.3</v>
      </c>
      <c r="SF144">
        <v>87.3</v>
      </c>
      <c r="SG144">
        <v>87.3</v>
      </c>
      <c r="SH144">
        <v>87.3</v>
      </c>
      <c r="SI144">
        <v>87.3</v>
      </c>
      <c r="SJ144">
        <v>87.3</v>
      </c>
      <c r="SK144">
        <v>87.3</v>
      </c>
      <c r="SL144">
        <v>87.3</v>
      </c>
      <c r="SM144">
        <v>87.3</v>
      </c>
      <c r="SN144">
        <v>87.3</v>
      </c>
      <c r="SO144">
        <v>87.3</v>
      </c>
      <c r="SP144">
        <v>87.3</v>
      </c>
      <c r="SQ144">
        <v>87.3</v>
      </c>
      <c r="SR144">
        <v>87.3</v>
      </c>
      <c r="SS144">
        <v>87.3</v>
      </c>
      <c r="ST144">
        <v>87.3</v>
      </c>
      <c r="SU144">
        <v>87.3</v>
      </c>
      <c r="SV144">
        <v>87.3</v>
      </c>
      <c r="SW144">
        <v>87.3</v>
      </c>
      <c r="SX144">
        <v>87.3</v>
      </c>
      <c r="SY144">
        <v>87.3</v>
      </c>
      <c r="SZ144">
        <v>87.3</v>
      </c>
      <c r="TA144">
        <v>87.3</v>
      </c>
      <c r="TB144">
        <v>87.3</v>
      </c>
      <c r="TC144">
        <v>87.3</v>
      </c>
      <c r="TD144">
        <v>87.3</v>
      </c>
      <c r="TE144">
        <v>87.3</v>
      </c>
      <c r="TF144">
        <v>87.3</v>
      </c>
      <c r="TG144">
        <v>87.3</v>
      </c>
      <c r="TH144">
        <v>87.3</v>
      </c>
      <c r="TI144">
        <v>87.3</v>
      </c>
      <c r="TJ144">
        <v>87.3</v>
      </c>
      <c r="TK144">
        <v>87.3</v>
      </c>
      <c r="TL144">
        <v>87.3</v>
      </c>
      <c r="TM144">
        <v>87.3</v>
      </c>
      <c r="TN144">
        <v>87.3</v>
      </c>
      <c r="TO144">
        <v>87.3</v>
      </c>
      <c r="TP144">
        <v>87.3</v>
      </c>
      <c r="TQ144">
        <v>87.3</v>
      </c>
      <c r="TR144">
        <v>87.3</v>
      </c>
      <c r="TS144">
        <v>87.3</v>
      </c>
      <c r="TT144">
        <v>87.3</v>
      </c>
      <c r="TU144">
        <v>87.3</v>
      </c>
      <c r="TV144">
        <v>87.3</v>
      </c>
      <c r="TW144">
        <v>87.3</v>
      </c>
      <c r="TX144">
        <v>87.3</v>
      </c>
      <c r="TY144">
        <v>87.3</v>
      </c>
      <c r="TZ144">
        <v>87.3</v>
      </c>
      <c r="UA144">
        <v>87.3</v>
      </c>
      <c r="UB144">
        <v>87.3</v>
      </c>
      <c r="UC144">
        <v>87.3</v>
      </c>
      <c r="UD144">
        <v>87.3</v>
      </c>
      <c r="UE144">
        <v>87.3</v>
      </c>
      <c r="UF144">
        <v>87.3</v>
      </c>
      <c r="UG144">
        <v>87.3</v>
      </c>
      <c r="UH144">
        <v>87.3</v>
      </c>
      <c r="UI144">
        <v>87.3</v>
      </c>
      <c r="UJ144">
        <v>87.3</v>
      </c>
      <c r="UK144">
        <v>87.3</v>
      </c>
      <c r="UL144">
        <v>87.3</v>
      </c>
      <c r="UM144">
        <v>87.3</v>
      </c>
      <c r="UN144">
        <v>87.3</v>
      </c>
      <c r="UO144">
        <v>87.3</v>
      </c>
      <c r="UP144">
        <v>87.3</v>
      </c>
      <c r="UQ144">
        <v>87.3</v>
      </c>
      <c r="UR144">
        <v>87.3</v>
      </c>
      <c r="US144">
        <v>87.3</v>
      </c>
      <c r="UT144">
        <v>87.3</v>
      </c>
      <c r="UU144">
        <v>87.3</v>
      </c>
      <c r="UV144">
        <v>87.3</v>
      </c>
      <c r="UW144">
        <v>87.3</v>
      </c>
      <c r="UX144">
        <v>87.3</v>
      </c>
      <c r="UY144">
        <v>87.3</v>
      </c>
      <c r="UZ144">
        <v>87.3</v>
      </c>
      <c r="VA144">
        <v>87.3</v>
      </c>
      <c r="VB144">
        <v>87.3</v>
      </c>
      <c r="VC144">
        <v>87.3</v>
      </c>
      <c r="VD144">
        <v>87.3</v>
      </c>
      <c r="VE144">
        <v>87.3</v>
      </c>
      <c r="VF144">
        <v>87.3</v>
      </c>
      <c r="VG144">
        <v>87.3</v>
      </c>
      <c r="VH144">
        <v>87.3</v>
      </c>
      <c r="VI144">
        <v>87.3</v>
      </c>
      <c r="VJ144">
        <v>87.3</v>
      </c>
      <c r="VK144">
        <v>87.3</v>
      </c>
      <c r="VL144">
        <v>87.3</v>
      </c>
      <c r="VM144">
        <v>87.3</v>
      </c>
      <c r="VN144">
        <v>87.3</v>
      </c>
      <c r="VO144">
        <v>87.3</v>
      </c>
      <c r="VP144">
        <v>87.3</v>
      </c>
      <c r="VQ144">
        <v>87.3</v>
      </c>
      <c r="VR144">
        <v>87.3</v>
      </c>
      <c r="VS144">
        <v>87.3</v>
      </c>
      <c r="VT144">
        <v>87.3</v>
      </c>
      <c r="VU144">
        <v>87.3</v>
      </c>
      <c r="VV144">
        <v>87.3</v>
      </c>
      <c r="VW144">
        <v>87.3</v>
      </c>
      <c r="VX144">
        <v>87.3</v>
      </c>
      <c r="VY144">
        <v>87.3</v>
      </c>
      <c r="VZ144">
        <v>87.3</v>
      </c>
      <c r="WA144">
        <v>87.3</v>
      </c>
      <c r="WB144">
        <v>87.3</v>
      </c>
      <c r="WC144">
        <v>87.3</v>
      </c>
      <c r="WD144">
        <v>87.3</v>
      </c>
      <c r="WE144">
        <v>87.3</v>
      </c>
      <c r="WF144">
        <v>87.3</v>
      </c>
      <c r="WG144">
        <v>87.3</v>
      </c>
      <c r="WH144">
        <v>87.3</v>
      </c>
      <c r="WI144">
        <v>87.3</v>
      </c>
      <c r="WJ144">
        <v>87.3</v>
      </c>
      <c r="WK144">
        <v>87.3</v>
      </c>
      <c r="WL144">
        <v>87.3</v>
      </c>
      <c r="WM144">
        <v>87.3</v>
      </c>
      <c r="WN144">
        <v>87.3</v>
      </c>
      <c r="WO144">
        <v>87.3</v>
      </c>
      <c r="WP144">
        <v>87.3</v>
      </c>
      <c r="WQ144">
        <v>87.3</v>
      </c>
      <c r="WR144">
        <v>87.3</v>
      </c>
      <c r="WS144">
        <v>87.3</v>
      </c>
      <c r="WT144">
        <v>87.3</v>
      </c>
      <c r="WU144">
        <v>87.3</v>
      </c>
      <c r="WV144">
        <v>87.3</v>
      </c>
      <c r="WW144">
        <v>87.3</v>
      </c>
      <c r="WX144">
        <v>87.3</v>
      </c>
      <c r="WY144">
        <v>87.3</v>
      </c>
      <c r="WZ144">
        <v>87.3</v>
      </c>
      <c r="XA144">
        <v>87.3</v>
      </c>
      <c r="XB144">
        <v>87.3</v>
      </c>
      <c r="XC144">
        <v>87.3</v>
      </c>
      <c r="XD144">
        <v>87.3</v>
      </c>
      <c r="XE144">
        <v>87.3</v>
      </c>
      <c r="XF144">
        <v>87.3</v>
      </c>
      <c r="XG144">
        <v>87.3</v>
      </c>
      <c r="XH144">
        <v>87.3</v>
      </c>
      <c r="XI144">
        <v>87.3</v>
      </c>
      <c r="XJ144">
        <v>87.3</v>
      </c>
      <c r="XK144">
        <v>87.3</v>
      </c>
      <c r="XL144">
        <v>87.3</v>
      </c>
      <c r="XM144">
        <v>87.3</v>
      </c>
      <c r="XN144">
        <v>87.3</v>
      </c>
      <c r="XO144">
        <v>87.3</v>
      </c>
      <c r="XP144">
        <v>87.3</v>
      </c>
      <c r="XQ144">
        <v>87.3</v>
      </c>
      <c r="XR144">
        <v>87.3</v>
      </c>
      <c r="XS144">
        <v>87.3</v>
      </c>
      <c r="XT144">
        <v>87.3</v>
      </c>
      <c r="XU144">
        <v>87.3</v>
      </c>
      <c r="XV144">
        <v>87.3</v>
      </c>
      <c r="XW144">
        <v>87.3</v>
      </c>
      <c r="XX144">
        <v>87.3</v>
      </c>
      <c r="XY144">
        <v>87.3</v>
      </c>
      <c r="XZ144">
        <v>87.3</v>
      </c>
      <c r="YA144">
        <v>87.3</v>
      </c>
      <c r="YB144">
        <v>87.3</v>
      </c>
      <c r="YC144">
        <v>87.3</v>
      </c>
      <c r="YD144">
        <v>87.3</v>
      </c>
      <c r="YE144">
        <v>87.3</v>
      </c>
      <c r="YF144">
        <v>87.3</v>
      </c>
      <c r="YG144">
        <v>87.3</v>
      </c>
      <c r="YH144">
        <v>87.3</v>
      </c>
      <c r="YI144">
        <v>87.3</v>
      </c>
      <c r="YJ144">
        <v>87.3</v>
      </c>
      <c r="YK144">
        <v>87.3</v>
      </c>
      <c r="YL144">
        <v>87.3</v>
      </c>
      <c r="YM144">
        <v>87.3</v>
      </c>
      <c r="YN144">
        <v>87.3</v>
      </c>
      <c r="YO144">
        <v>87.3</v>
      </c>
      <c r="YP144">
        <v>87.3</v>
      </c>
      <c r="YQ144">
        <v>87.3</v>
      </c>
      <c r="YR144">
        <v>87.3</v>
      </c>
      <c r="YS144">
        <v>87.3</v>
      </c>
      <c r="YT144">
        <v>87.3</v>
      </c>
      <c r="YU144">
        <v>87.3</v>
      </c>
      <c r="YV144">
        <v>87.3</v>
      </c>
      <c r="YW144">
        <v>87.3</v>
      </c>
      <c r="YX144">
        <v>87.3</v>
      </c>
      <c r="YY144">
        <v>87.3</v>
      </c>
      <c r="YZ144">
        <v>87.3</v>
      </c>
      <c r="ZA144">
        <v>87.3</v>
      </c>
      <c r="ZB144">
        <v>87.3</v>
      </c>
      <c r="ZC144">
        <v>87.3</v>
      </c>
      <c r="ZD144">
        <v>87.3</v>
      </c>
      <c r="ZE144">
        <v>87.3</v>
      </c>
      <c r="ZF144">
        <v>87.3</v>
      </c>
      <c r="ZG144">
        <v>87.3</v>
      </c>
      <c r="ZH144">
        <v>87.3</v>
      </c>
      <c r="ZI144">
        <v>87.3</v>
      </c>
      <c r="ZJ144">
        <v>87.3</v>
      </c>
      <c r="ZK144">
        <v>87.3</v>
      </c>
      <c r="ZL144">
        <v>87.3</v>
      </c>
      <c r="ZM144">
        <v>87.3</v>
      </c>
      <c r="ZN144">
        <v>87.3</v>
      </c>
      <c r="ZO144">
        <v>87.3</v>
      </c>
      <c r="ZP144">
        <v>87.3</v>
      </c>
      <c r="ZQ144">
        <v>87.3</v>
      </c>
      <c r="ZR144">
        <v>87.3</v>
      </c>
      <c r="ZS144">
        <v>87.3</v>
      </c>
      <c r="ZT144">
        <v>87.3</v>
      </c>
      <c r="ZU144">
        <v>87.3</v>
      </c>
      <c r="ZV144">
        <v>87.3</v>
      </c>
      <c r="ZW144">
        <v>87.3</v>
      </c>
      <c r="ZX144">
        <v>87.3</v>
      </c>
      <c r="ZY144">
        <v>87.3</v>
      </c>
      <c r="ZZ144">
        <v>87.3</v>
      </c>
      <c r="AAA144">
        <v>87.3</v>
      </c>
      <c r="AAB144">
        <v>87.3</v>
      </c>
      <c r="AAC144">
        <v>87.3</v>
      </c>
      <c r="AAD144">
        <v>87.3</v>
      </c>
      <c r="AAE144">
        <v>87.3</v>
      </c>
      <c r="AAF144">
        <v>87.3</v>
      </c>
      <c r="AAG144">
        <v>87.3</v>
      </c>
      <c r="AAH144">
        <v>87.3</v>
      </c>
      <c r="AAI144">
        <v>87.3</v>
      </c>
      <c r="AAJ144">
        <v>87.3</v>
      </c>
      <c r="AAK144">
        <v>87.3</v>
      </c>
      <c r="AAL144">
        <v>87.3</v>
      </c>
      <c r="AAM144">
        <v>87.3</v>
      </c>
      <c r="AAN144">
        <v>87.3</v>
      </c>
      <c r="AAO144">
        <v>87.3</v>
      </c>
      <c r="AAP144">
        <v>87.3</v>
      </c>
      <c r="AAQ144">
        <v>87.3</v>
      </c>
      <c r="AAR144">
        <v>87.3</v>
      </c>
      <c r="AAS144">
        <v>87.3</v>
      </c>
      <c r="AAT144">
        <v>87.3</v>
      </c>
      <c r="AAU144">
        <v>87.3</v>
      </c>
      <c r="AAV144">
        <v>87.3</v>
      </c>
      <c r="AAW144">
        <v>87.3</v>
      </c>
      <c r="AAX144">
        <v>87.3</v>
      </c>
      <c r="AAY144">
        <v>87.3</v>
      </c>
      <c r="AAZ144">
        <v>87.3</v>
      </c>
      <c r="ABA144">
        <v>87.3</v>
      </c>
      <c r="ABB144">
        <v>87.3</v>
      </c>
      <c r="ABC144">
        <v>87.3</v>
      </c>
      <c r="ABD144">
        <v>87.3</v>
      </c>
      <c r="ABE144">
        <v>87.3</v>
      </c>
      <c r="ABF144">
        <v>87.3</v>
      </c>
      <c r="ABG144">
        <v>87.3</v>
      </c>
      <c r="ABH144">
        <v>87.3</v>
      </c>
      <c r="ABI144">
        <v>87.3</v>
      </c>
      <c r="ABJ144">
        <v>87.3</v>
      </c>
      <c r="ABK144">
        <v>87.3</v>
      </c>
      <c r="ABL144">
        <v>87.3</v>
      </c>
      <c r="ABM144">
        <v>87.3</v>
      </c>
      <c r="ABN144">
        <v>87.3</v>
      </c>
      <c r="ABO144">
        <v>87.3</v>
      </c>
      <c r="ABP144">
        <v>87.3</v>
      </c>
      <c r="ABQ144">
        <v>87.3</v>
      </c>
      <c r="ABR144">
        <v>87.3</v>
      </c>
      <c r="ABS144">
        <v>87.3</v>
      </c>
      <c r="ABT144">
        <v>87.3</v>
      </c>
      <c r="ABU144">
        <v>87.3</v>
      </c>
      <c r="ABV144">
        <v>87.3</v>
      </c>
      <c r="ABW144">
        <v>87.3</v>
      </c>
      <c r="ABX144">
        <v>87.3</v>
      </c>
      <c r="ABY144">
        <v>87.3</v>
      </c>
      <c r="ABZ144">
        <v>87.3</v>
      </c>
      <c r="ACA144">
        <v>87.3</v>
      </c>
      <c r="ACB144">
        <v>87.3</v>
      </c>
      <c r="ACC144">
        <v>87.3</v>
      </c>
      <c r="ACD144">
        <v>87.3</v>
      </c>
      <c r="ACE144">
        <v>87.3</v>
      </c>
      <c r="ACF144">
        <v>87.3</v>
      </c>
      <c r="ACG144">
        <v>87.3</v>
      </c>
      <c r="ACH144">
        <v>87.3</v>
      </c>
      <c r="ACI144">
        <v>87.3</v>
      </c>
      <c r="ACJ144">
        <v>87.3</v>
      </c>
      <c r="ACK144">
        <v>87.3</v>
      </c>
      <c r="ACL144">
        <v>87.3</v>
      </c>
      <c r="ACM144">
        <v>87.3</v>
      </c>
      <c r="ACN144">
        <v>87.3</v>
      </c>
      <c r="ACO144">
        <v>87.3</v>
      </c>
      <c r="ACP144">
        <v>87.3</v>
      </c>
      <c r="ACQ144">
        <v>87.3</v>
      </c>
      <c r="ACR144">
        <v>87.3</v>
      </c>
      <c r="ACS144">
        <v>87.3</v>
      </c>
      <c r="ACT144">
        <v>87.3</v>
      </c>
      <c r="ACU144">
        <v>87.3</v>
      </c>
      <c r="ACV144">
        <v>87.3</v>
      </c>
      <c r="ACW144">
        <v>87.3</v>
      </c>
      <c r="ACX144">
        <v>87.3</v>
      </c>
      <c r="ACY144">
        <v>87.3</v>
      </c>
      <c r="ACZ144">
        <v>87.3</v>
      </c>
      <c r="ADA144">
        <v>87.3</v>
      </c>
      <c r="ADB144">
        <v>87.3</v>
      </c>
      <c r="ADC144">
        <v>87.3</v>
      </c>
      <c r="ADD144">
        <v>87.3</v>
      </c>
      <c r="ADE144">
        <v>87.3</v>
      </c>
      <c r="ADF144">
        <v>87.3</v>
      </c>
      <c r="ADG144">
        <v>87.3</v>
      </c>
      <c r="ADH144">
        <v>87.3</v>
      </c>
      <c r="ADI144">
        <v>87.3</v>
      </c>
      <c r="ADJ144">
        <v>87.3</v>
      </c>
      <c r="ADK144">
        <v>87.3</v>
      </c>
      <c r="ADL144">
        <v>87.3</v>
      </c>
      <c r="ADM144">
        <v>87.3</v>
      </c>
      <c r="ADN144">
        <v>87.3</v>
      </c>
      <c r="ADO144">
        <v>87.3</v>
      </c>
      <c r="ADP144">
        <v>87.3</v>
      </c>
      <c r="ADQ144">
        <v>87.3</v>
      </c>
      <c r="ADR144">
        <v>87.3</v>
      </c>
      <c r="ADS144">
        <v>87.3</v>
      </c>
      <c r="ADT144">
        <v>87.3</v>
      </c>
      <c r="ADU144">
        <v>87.3</v>
      </c>
      <c r="ADV144">
        <v>87.3</v>
      </c>
      <c r="ADW144">
        <v>87.3</v>
      </c>
      <c r="ADX144">
        <v>87.3</v>
      </c>
      <c r="ADY144">
        <v>87.3</v>
      </c>
      <c r="ADZ144">
        <v>87.3</v>
      </c>
      <c r="AEA144">
        <v>87.3</v>
      </c>
      <c r="AEB144">
        <v>87.3</v>
      </c>
      <c r="AEC144">
        <v>87.3</v>
      </c>
      <c r="AED144">
        <v>87.3</v>
      </c>
      <c r="AEE144">
        <v>87.3</v>
      </c>
      <c r="AEF144">
        <v>87.3</v>
      </c>
      <c r="AEG144">
        <v>87.3</v>
      </c>
      <c r="AEH144">
        <v>87.3</v>
      </c>
      <c r="AEI144">
        <v>87.3</v>
      </c>
      <c r="AEJ144">
        <v>87.3</v>
      </c>
      <c r="AEK144">
        <v>87.3</v>
      </c>
      <c r="AEL144">
        <v>87.3</v>
      </c>
      <c r="AEM144">
        <v>87.3</v>
      </c>
      <c r="AEN144">
        <v>87.3</v>
      </c>
      <c r="AEO144">
        <v>87.3</v>
      </c>
      <c r="AEP144">
        <v>87.3</v>
      </c>
      <c r="AEQ144">
        <v>87.3</v>
      </c>
      <c r="AER144">
        <v>87.3</v>
      </c>
      <c r="AES144">
        <v>87.3</v>
      </c>
      <c r="AET144">
        <v>87.3</v>
      </c>
      <c r="AEU144">
        <v>87.3</v>
      </c>
      <c r="AEV144">
        <v>87.3</v>
      </c>
      <c r="AEW144">
        <v>87.3</v>
      </c>
      <c r="AEX144">
        <v>87.3</v>
      </c>
      <c r="AEY144">
        <v>87.3</v>
      </c>
      <c r="AEZ144">
        <v>87.3</v>
      </c>
      <c r="AFA144">
        <v>87.3</v>
      </c>
      <c r="AFB144">
        <v>87.3</v>
      </c>
      <c r="AFC144">
        <v>87.3</v>
      </c>
      <c r="AFD144">
        <v>87.3</v>
      </c>
      <c r="AFE144">
        <v>87.3</v>
      </c>
      <c r="AFF144">
        <v>87.3</v>
      </c>
      <c r="AFG144">
        <v>87.3</v>
      </c>
      <c r="AFH144">
        <v>87.3</v>
      </c>
      <c r="AFI144">
        <v>87.3</v>
      </c>
      <c r="AFJ144">
        <v>87.3</v>
      </c>
      <c r="AFK144">
        <v>87.3</v>
      </c>
      <c r="AFL144">
        <v>87.3</v>
      </c>
      <c r="AFM144">
        <v>87.3</v>
      </c>
      <c r="AFN144">
        <v>87.3</v>
      </c>
      <c r="AFO144">
        <v>87.3</v>
      </c>
      <c r="AFP144">
        <v>87.3</v>
      </c>
      <c r="AFQ144">
        <v>87.3</v>
      </c>
      <c r="AFR144">
        <v>87.3</v>
      </c>
      <c r="AFS144">
        <v>87.3</v>
      </c>
      <c r="AFT144">
        <v>87.3</v>
      </c>
      <c r="AFU144">
        <v>87.3</v>
      </c>
      <c r="AFV144">
        <v>87.3</v>
      </c>
      <c r="AFW144">
        <v>87.3</v>
      </c>
      <c r="AFX144">
        <v>87.3</v>
      </c>
      <c r="AFY144">
        <v>87.3</v>
      </c>
      <c r="AFZ144">
        <v>87.3</v>
      </c>
      <c r="AGA144">
        <v>87.3</v>
      </c>
      <c r="AGB144">
        <v>87.3</v>
      </c>
      <c r="AGC144">
        <v>87.3</v>
      </c>
      <c r="AGD144">
        <v>87.3</v>
      </c>
      <c r="AGE144">
        <v>87.3</v>
      </c>
      <c r="AGF144">
        <v>87.3</v>
      </c>
      <c r="AGG144">
        <v>87.3</v>
      </c>
      <c r="AGH144">
        <v>87.3</v>
      </c>
      <c r="AGI144">
        <v>87.3</v>
      </c>
      <c r="AGJ144">
        <v>87.3</v>
      </c>
      <c r="AGK144">
        <v>87.3</v>
      </c>
      <c r="AGL144">
        <v>87.3</v>
      </c>
      <c r="AGM144">
        <v>87.3</v>
      </c>
      <c r="AGN144">
        <v>87.3</v>
      </c>
      <c r="AGO144">
        <v>87.3</v>
      </c>
      <c r="AGP144">
        <v>87.3</v>
      </c>
      <c r="AGQ144">
        <v>87.3</v>
      </c>
      <c r="AGR144">
        <v>87.3</v>
      </c>
      <c r="AGS144">
        <v>87.3</v>
      </c>
      <c r="AGT144">
        <v>87.3</v>
      </c>
      <c r="AGU144">
        <v>87.3</v>
      </c>
      <c r="AGV144">
        <v>87.3</v>
      </c>
      <c r="AGW144">
        <v>87.3</v>
      </c>
      <c r="AGX144">
        <v>87.3</v>
      </c>
      <c r="AGY144">
        <v>87.3</v>
      </c>
      <c r="AGZ144">
        <v>87.3</v>
      </c>
      <c r="AHA144">
        <v>87.3</v>
      </c>
      <c r="AHB144">
        <v>87.3</v>
      </c>
      <c r="AHC144">
        <v>87.3</v>
      </c>
      <c r="AHD144">
        <v>87.3</v>
      </c>
      <c r="AHE144">
        <v>87.3</v>
      </c>
      <c r="AHF144">
        <v>87.3</v>
      </c>
      <c r="AHG144">
        <v>87.3</v>
      </c>
      <c r="AHH144">
        <v>87.3</v>
      </c>
      <c r="AHI144">
        <v>87.3</v>
      </c>
      <c r="AHJ144">
        <v>87.3</v>
      </c>
      <c r="AHK144">
        <v>87.3</v>
      </c>
      <c r="AHL144">
        <v>87.3</v>
      </c>
      <c r="AHM144">
        <v>87.3</v>
      </c>
      <c r="AHN144">
        <v>87.3</v>
      </c>
      <c r="AHO144">
        <v>87.3</v>
      </c>
      <c r="AHP144">
        <v>87.3</v>
      </c>
      <c r="AHQ144">
        <v>87.3</v>
      </c>
      <c r="AHR144">
        <v>87.3</v>
      </c>
      <c r="AHS144">
        <v>87.3</v>
      </c>
      <c r="AHT144">
        <v>87.3</v>
      </c>
      <c r="AHU144">
        <v>87.3</v>
      </c>
      <c r="AHV144">
        <v>87.3</v>
      </c>
      <c r="AHW144">
        <v>87.3</v>
      </c>
      <c r="AHX144">
        <v>87.3</v>
      </c>
      <c r="AHY144">
        <v>87.3</v>
      </c>
      <c r="AHZ144">
        <v>87.3</v>
      </c>
      <c r="AIA144">
        <v>87.3</v>
      </c>
      <c r="AIB144">
        <v>87.3</v>
      </c>
      <c r="AIC144">
        <v>87.3</v>
      </c>
      <c r="AID144">
        <v>87.3</v>
      </c>
      <c r="AIE144">
        <v>87.3</v>
      </c>
      <c r="AIF144">
        <v>87.3</v>
      </c>
      <c r="AIG144">
        <v>87.3</v>
      </c>
      <c r="AIH144">
        <v>87.3</v>
      </c>
      <c r="AII144">
        <v>87.3</v>
      </c>
      <c r="AIJ144">
        <v>87.3</v>
      </c>
      <c r="AIK144">
        <v>87.3</v>
      </c>
      <c r="AIL144">
        <v>87.3</v>
      </c>
      <c r="AIM144">
        <v>87.3</v>
      </c>
      <c r="AIN144">
        <v>87.3</v>
      </c>
      <c r="AIO144">
        <v>87.3</v>
      </c>
      <c r="AIP144">
        <v>87.3</v>
      </c>
      <c r="AIQ144">
        <v>87.3</v>
      </c>
      <c r="AIR144">
        <v>87.3</v>
      </c>
      <c r="AIS144">
        <v>87.3</v>
      </c>
      <c r="AIT144">
        <v>87.3</v>
      </c>
      <c r="AIU144">
        <v>87.3</v>
      </c>
      <c r="AIV144">
        <v>87.3</v>
      </c>
      <c r="AIW144">
        <v>87.3</v>
      </c>
      <c r="AIX144">
        <v>87.3</v>
      </c>
      <c r="AIY144">
        <v>87.3</v>
      </c>
      <c r="AIZ144">
        <v>87.3</v>
      </c>
      <c r="AJA144">
        <v>87.3</v>
      </c>
      <c r="AJB144">
        <v>87.3</v>
      </c>
      <c r="AJC144">
        <v>87.3</v>
      </c>
      <c r="AJD144">
        <v>87.3</v>
      </c>
      <c r="AJE144">
        <v>87.3</v>
      </c>
      <c r="AJF144">
        <v>87.3</v>
      </c>
      <c r="AJG144">
        <v>87.3</v>
      </c>
      <c r="AJH144">
        <v>87.3</v>
      </c>
      <c r="AJI144">
        <v>87.3</v>
      </c>
      <c r="AJJ144">
        <v>87.3</v>
      </c>
      <c r="AJK144">
        <v>87.3</v>
      </c>
      <c r="AJL144">
        <v>87.3</v>
      </c>
      <c r="AJM144">
        <v>87.3</v>
      </c>
      <c r="AJN144">
        <v>87.3</v>
      </c>
      <c r="AJO144">
        <v>87.3</v>
      </c>
      <c r="AJP144">
        <v>87.3</v>
      </c>
      <c r="AJQ144">
        <v>87.3</v>
      </c>
      <c r="AJR144">
        <f t="shared" ref="AJR144:AJZ144" si="76">(AJR153*AJR64+AJR154*AJR65+AJR155*AJR66)/SUM(AJR64:AJR66)</f>
        <v>42.232242950113822</v>
      </c>
      <c r="AJS144">
        <f t="shared" si="76"/>
        <v>42.232242950113822</v>
      </c>
      <c r="AJT144">
        <f t="shared" si="76"/>
        <v>44.522060105166055</v>
      </c>
      <c r="AJU144">
        <f t="shared" si="76"/>
        <v>45.643680495327104</v>
      </c>
      <c r="AJV144">
        <f t="shared" si="76"/>
        <v>42.797628990277779</v>
      </c>
      <c r="AJW144">
        <f t="shared" si="76"/>
        <v>47.624864217919225</v>
      </c>
      <c r="AJX144">
        <f t="shared" si="76"/>
        <v>49.518645810835785</v>
      </c>
      <c r="AJY144">
        <f t="shared" si="76"/>
        <v>49.344213047130282</v>
      </c>
      <c r="AJZ144">
        <f t="shared" si="76"/>
        <v>49.021056311700889</v>
      </c>
      <c r="AKA144">
        <f>45.8818483198428*0.805</f>
        <v>36.934887897473459</v>
      </c>
      <c r="AKB144">
        <f t="shared" ref="AKB144:AKF144" si="77">45.8818483198428*0.805</f>
        <v>36.934887897473459</v>
      </c>
      <c r="AKC144">
        <f t="shared" si="77"/>
        <v>36.934887897473459</v>
      </c>
      <c r="AKD144">
        <f t="shared" si="77"/>
        <v>36.934887897473459</v>
      </c>
      <c r="AKE144">
        <f t="shared" si="77"/>
        <v>36.934887897473459</v>
      </c>
      <c r="AKF144">
        <f t="shared" si="77"/>
        <v>36.934887897473459</v>
      </c>
      <c r="AKG144">
        <v>45.881848319842803</v>
      </c>
    </row>
    <row r="145" spans="1:985" ht="14.4" customHeight="1" x14ac:dyDescent="0.55000000000000004">
      <c r="A145" t="s">
        <v>774</v>
      </c>
      <c r="B145" t="s">
        <v>480</v>
      </c>
      <c r="C145" s="1" t="s">
        <v>775</v>
      </c>
      <c r="AKN145">
        <v>1.2060852205039934E-4</v>
      </c>
      <c r="AKU145">
        <v>4.9433084633995709E-3</v>
      </c>
      <c r="AKV145">
        <v>4.9433084633995709E-3</v>
      </c>
      <c r="AKW145">
        <v>4.9433084633995709E-3</v>
      </c>
    </row>
    <row r="146" spans="1:985" ht="14.4" customHeight="1" x14ac:dyDescent="0.55000000000000004">
      <c r="A146" t="s">
        <v>596</v>
      </c>
      <c r="B146" t="s">
        <v>480</v>
      </c>
      <c r="C146" s="1" t="s">
        <v>773</v>
      </c>
      <c r="AKU146">
        <v>2.6193952144807701E-5</v>
      </c>
      <c r="AKV146">
        <v>2.6193952144807701E-5</v>
      </c>
      <c r="AKW146">
        <v>2.6193952144807701E-5</v>
      </c>
    </row>
    <row r="147" spans="1:985" ht="14.4" customHeight="1" x14ac:dyDescent="0.55000000000000004">
      <c r="A147" t="s">
        <v>528</v>
      </c>
      <c r="B147" t="s">
        <v>480</v>
      </c>
      <c r="C147" s="1" t="s">
        <v>780</v>
      </c>
      <c r="AKH147">
        <v>112</v>
      </c>
      <c r="AKI147">
        <v>112</v>
      </c>
      <c r="AKN147">
        <v>112</v>
      </c>
      <c r="AKO147">
        <v>112</v>
      </c>
      <c r="AKP147">
        <v>112</v>
      </c>
      <c r="AKQ147">
        <v>112</v>
      </c>
      <c r="AKR147">
        <v>112</v>
      </c>
      <c r="AKU147">
        <v>112</v>
      </c>
      <c r="AKV147">
        <v>112</v>
      </c>
      <c r="AKW147">
        <v>112</v>
      </c>
    </row>
    <row r="148" spans="1:985" ht="14.4" customHeight="1" x14ac:dyDescent="0.55000000000000004">
      <c r="A148" t="s">
        <v>528</v>
      </c>
      <c r="B148" t="s">
        <v>549</v>
      </c>
      <c r="C148" s="1" t="s">
        <v>778</v>
      </c>
      <c r="AKJ148">
        <v>1.7472000000000001</v>
      </c>
      <c r="AKK148">
        <v>1.7472000000000001</v>
      </c>
      <c r="AKL148">
        <v>1.7472000000000001</v>
      </c>
      <c r="AKM148">
        <v>1.7472000000000001</v>
      </c>
    </row>
    <row r="149" spans="1:985" ht="14.4" customHeight="1" x14ac:dyDescent="0.55000000000000004">
      <c r="A149" t="s">
        <v>529</v>
      </c>
      <c r="B149" t="s">
        <v>776</v>
      </c>
      <c r="C149" s="1" t="s">
        <v>781</v>
      </c>
      <c r="AKH149">
        <v>9.4600000000000009</v>
      </c>
      <c r="AKI149">
        <v>9.4600000000000009</v>
      </c>
      <c r="AKN149">
        <v>9.4600000000000009</v>
      </c>
      <c r="AKO149">
        <v>9.4600000000000009</v>
      </c>
      <c r="AKP149">
        <v>9.4600000000000009</v>
      </c>
      <c r="AKQ149">
        <v>9.4600000000000009</v>
      </c>
      <c r="AKR149">
        <v>9.4600000000000009</v>
      </c>
      <c r="AKU149">
        <v>37.253250000000001</v>
      </c>
      <c r="AKV149">
        <v>37.253250000000001</v>
      </c>
      <c r="AKW149">
        <v>37.253250000000001</v>
      </c>
    </row>
    <row r="150" spans="1:985" ht="14.4" customHeight="1" x14ac:dyDescent="0.55000000000000004">
      <c r="A150" t="s">
        <v>529</v>
      </c>
      <c r="B150" t="s">
        <v>777</v>
      </c>
      <c r="C150" s="1" t="s">
        <v>781</v>
      </c>
      <c r="AKJ150">
        <v>0.1356</v>
      </c>
      <c r="AKK150">
        <v>0.1356</v>
      </c>
      <c r="AKL150">
        <v>0.1356</v>
      </c>
      <c r="AKM150">
        <v>0.1356</v>
      </c>
    </row>
    <row r="151" spans="1:985" ht="14.4" customHeight="1" x14ac:dyDescent="0.55000000000000004">
      <c r="A151" t="s">
        <v>530</v>
      </c>
      <c r="B151" t="s">
        <v>480</v>
      </c>
      <c r="C151" s="1" t="s">
        <v>782</v>
      </c>
      <c r="AKH151">
        <v>63.1</v>
      </c>
      <c r="AKI151">
        <v>63.1</v>
      </c>
      <c r="AKU151">
        <v>63.1</v>
      </c>
      <c r="AKV151">
        <v>63.1</v>
      </c>
      <c r="AKW151">
        <v>63.1</v>
      </c>
    </row>
    <row r="152" spans="1:985" ht="14.4" customHeight="1" x14ac:dyDescent="0.55000000000000004">
      <c r="A152" t="s">
        <v>531</v>
      </c>
      <c r="B152" t="s">
        <v>480</v>
      </c>
      <c r="C152" s="1" t="s">
        <v>783</v>
      </c>
      <c r="AKH152">
        <v>0.17</v>
      </c>
      <c r="AKI152">
        <v>0.17</v>
      </c>
      <c r="AKU152">
        <v>0.89109999999999989</v>
      </c>
      <c r="AKV152">
        <v>0.89109999999999989</v>
      </c>
      <c r="AKW152">
        <v>0.89109999999999989</v>
      </c>
    </row>
    <row r="153" spans="1:985" ht="14.4" customHeight="1" x14ac:dyDescent="0.55000000000000004">
      <c r="A153" t="s">
        <v>784</v>
      </c>
      <c r="B153" t="s">
        <v>779</v>
      </c>
      <c r="C153" s="1" t="s">
        <v>787</v>
      </c>
      <c r="AJR153">
        <v>50.593464469207447</v>
      </c>
      <c r="AJS153">
        <v>50.593464469207447</v>
      </c>
      <c r="AJT153">
        <v>50.739233999999996</v>
      </c>
      <c r="AJU153">
        <v>50.739233999999996</v>
      </c>
      <c r="AJV153">
        <v>50.739233999999996</v>
      </c>
      <c r="AJW153">
        <v>50.739234000000003</v>
      </c>
      <c r="AJX153">
        <v>50.739234000000003</v>
      </c>
      <c r="AJY153">
        <v>50.739234000000003</v>
      </c>
      <c r="AJZ153">
        <v>50.739234000000003</v>
      </c>
      <c r="AKN153">
        <v>1.2060852205039934E-4</v>
      </c>
      <c r="AKO153">
        <v>9.7689660491416801E-5</v>
      </c>
      <c r="AKP153">
        <v>1.0519427900042127E-4</v>
      </c>
      <c r="AKQ153">
        <v>1.1314851853959247E-4</v>
      </c>
      <c r="AKR153">
        <v>1.1749731058770337E-4</v>
      </c>
    </row>
    <row r="154" spans="1:985" ht="14.4" customHeight="1" x14ac:dyDescent="0.55000000000000004">
      <c r="A154" t="s">
        <v>785</v>
      </c>
      <c r="B154" t="s">
        <v>779</v>
      </c>
      <c r="C154" s="1" t="s">
        <v>788</v>
      </c>
      <c r="AJR154">
        <v>27.515743834130369</v>
      </c>
      <c r="AJS154">
        <v>27.515743834130369</v>
      </c>
      <c r="AJT154">
        <v>27.595022</v>
      </c>
      <c r="AJU154">
        <v>27.595022</v>
      </c>
      <c r="AJV154">
        <v>27.595022</v>
      </c>
      <c r="AJW154">
        <v>27.595022</v>
      </c>
      <c r="AJX154">
        <v>27.595022</v>
      </c>
      <c r="AJY154">
        <v>27.595022</v>
      </c>
      <c r="AJZ154">
        <v>27.595022</v>
      </c>
      <c r="AKN154">
        <v>1.1264691202961464E-4</v>
      </c>
      <c r="AKO154">
        <v>9.124097040987755E-5</v>
      </c>
      <c r="AKP154">
        <v>5.7210923666895786E-5</v>
      </c>
      <c r="AKQ154">
        <v>6.15369135917082E-5</v>
      </c>
      <c r="AKR154">
        <v>6.3902046109101833E-5</v>
      </c>
    </row>
    <row r="155" spans="1:985" ht="14.4" customHeight="1" x14ac:dyDescent="0.55000000000000004">
      <c r="A155" t="s">
        <v>786</v>
      </c>
      <c r="B155" t="s">
        <v>779</v>
      </c>
      <c r="C155" s="1" t="s">
        <v>789</v>
      </c>
      <c r="AJR155">
        <v>12.426464957349197</v>
      </c>
      <c r="AJS155">
        <v>12.426464957349197</v>
      </c>
      <c r="AJT155">
        <v>12.462267999999998</v>
      </c>
      <c r="AJU155">
        <v>12.462267999999998</v>
      </c>
      <c r="AJV155">
        <v>12.462267999999998</v>
      </c>
      <c r="AJW155">
        <v>12.462268</v>
      </c>
      <c r="AJX155">
        <v>12.462268</v>
      </c>
      <c r="AJY155">
        <v>12.462268</v>
      </c>
      <c r="AJZ155">
        <v>12.462268</v>
      </c>
      <c r="AKN155">
        <v>8.2752722905900448E-5</v>
      </c>
      <c r="AKO155">
        <v>6.7027480877674344E-5</v>
      </c>
      <c r="AKP155">
        <v>2.5837191333436806E-5</v>
      </c>
      <c r="AKQ155">
        <v>2.7790864202706924E-5</v>
      </c>
      <c r="AKR155">
        <v>2.8858988565400828E-5</v>
      </c>
    </row>
    <row r="156" spans="1:985" ht="14.4" customHeight="1" x14ac:dyDescent="0.55000000000000004">
      <c r="A156" t="s">
        <v>568</v>
      </c>
      <c r="B156" t="s">
        <v>779</v>
      </c>
      <c r="C156" s="1" t="s">
        <v>790</v>
      </c>
      <c r="AKN156">
        <v>2.5052838071851652E-5</v>
      </c>
      <c r="AKO156">
        <v>9.7689660491416801E-5</v>
      </c>
      <c r="AKP156">
        <v>4.6279130722635189E-6</v>
      </c>
      <c r="AKQ156">
        <v>4.6026516016105414E-6</v>
      </c>
      <c r="AKR156">
        <v>2.3734889155724997E-5</v>
      </c>
    </row>
    <row r="157" spans="1:985" ht="14.4" customHeight="1" x14ac:dyDescent="0.55000000000000004">
      <c r="A157" t="s">
        <v>569</v>
      </c>
      <c r="B157" t="s">
        <v>779</v>
      </c>
      <c r="C157" s="1" t="s">
        <v>788</v>
      </c>
      <c r="AKN157">
        <v>2.33990500703819E-5</v>
      </c>
      <c r="AKO157">
        <v>9.124097040987755E-5</v>
      </c>
      <c r="AKP157">
        <v>2.5169351796520894E-6</v>
      </c>
      <c r="AKQ157">
        <v>2.5031964850864349E-6</v>
      </c>
      <c r="AKR157">
        <v>1.2908448488201313E-5</v>
      </c>
    </row>
    <row r="158" spans="1:985" ht="14.4" customHeight="1" x14ac:dyDescent="0.55000000000000004">
      <c r="A158" t="s">
        <v>570</v>
      </c>
      <c r="B158" t="s">
        <v>779</v>
      </c>
      <c r="C158" s="1" t="s">
        <v>789</v>
      </c>
      <c r="AKN158">
        <v>1.7189420214435576E-5</v>
      </c>
      <c r="AKO158">
        <v>6.7027480877674344E-5</v>
      </c>
      <c r="AKP158">
        <v>1.1366804037138468E-6</v>
      </c>
      <c r="AKQ158">
        <v>1.1304758319745189E-6</v>
      </c>
      <c r="AKR158">
        <v>5.8296218978973672E-6</v>
      </c>
    </row>
    <row r="159" spans="1:985" ht="14.4" customHeight="1" x14ac:dyDescent="0.55000000000000004">
      <c r="A159" t="s">
        <v>959</v>
      </c>
      <c r="B159" t="s">
        <v>626</v>
      </c>
      <c r="C159" s="1" t="s">
        <v>791</v>
      </c>
      <c r="AJR159">
        <v>0.67</v>
      </c>
      <c r="AJS159">
        <v>0.67</v>
      </c>
      <c r="AJT159">
        <v>0.67</v>
      </c>
      <c r="AJU159">
        <v>0.67</v>
      </c>
      <c r="AJV159">
        <v>0.67</v>
      </c>
      <c r="AJW159">
        <v>0.67</v>
      </c>
      <c r="AJX159">
        <v>0.67</v>
      </c>
      <c r="AJY159">
        <v>0.67</v>
      </c>
      <c r="AJZ159">
        <v>0.67</v>
      </c>
    </row>
    <row r="160" spans="1:985" ht="14.4" customHeight="1" x14ac:dyDescent="0.55000000000000004">
      <c r="A160" t="s">
        <v>20</v>
      </c>
      <c r="B160" t="s">
        <v>626</v>
      </c>
      <c r="C160" s="1" t="s">
        <v>792</v>
      </c>
      <c r="CA160">
        <v>0.94</v>
      </c>
      <c r="CB160">
        <v>0.94</v>
      </c>
      <c r="CC160">
        <v>0.94</v>
      </c>
      <c r="CD160">
        <v>0.94</v>
      </c>
      <c r="CE160">
        <v>0.94</v>
      </c>
      <c r="CF160">
        <v>0.94</v>
      </c>
      <c r="CG160">
        <v>0.94</v>
      </c>
      <c r="CH160">
        <v>0.94</v>
      </c>
      <c r="CI160">
        <v>0.94</v>
      </c>
      <c r="CJ160">
        <v>0.94</v>
      </c>
      <c r="CK160">
        <v>0.94</v>
      </c>
      <c r="CL160">
        <v>0.94</v>
      </c>
      <c r="CM160">
        <v>0.94</v>
      </c>
      <c r="CN160">
        <v>0.94</v>
      </c>
      <c r="CO160">
        <v>0.94</v>
      </c>
      <c r="CP160">
        <v>0.94</v>
      </c>
      <c r="CQ160">
        <v>0.94</v>
      </c>
      <c r="CR160">
        <v>0.94</v>
      </c>
      <c r="CS160">
        <v>0.94</v>
      </c>
      <c r="CT160">
        <v>0.94</v>
      </c>
      <c r="CU160">
        <v>0.94</v>
      </c>
      <c r="CV160">
        <v>0.94</v>
      </c>
      <c r="CW160">
        <v>0.94</v>
      </c>
      <c r="CX160">
        <v>0.94</v>
      </c>
      <c r="CY160">
        <v>0.94</v>
      </c>
      <c r="CZ160">
        <v>0.94</v>
      </c>
      <c r="DA160">
        <v>0.94</v>
      </c>
      <c r="DB160">
        <v>0.94</v>
      </c>
      <c r="DC160">
        <v>0.94</v>
      </c>
      <c r="DD160">
        <v>0.94</v>
      </c>
      <c r="DE160">
        <v>0.94</v>
      </c>
      <c r="DF160">
        <v>0.94</v>
      </c>
      <c r="DG160">
        <v>0.94</v>
      </c>
      <c r="DH160">
        <v>0.94</v>
      </c>
      <c r="DI160">
        <v>0.94</v>
      </c>
      <c r="DJ160">
        <v>0.94</v>
      </c>
      <c r="DK160">
        <v>0.94</v>
      </c>
      <c r="DL160">
        <v>0.94</v>
      </c>
      <c r="DM160">
        <v>0.94</v>
      </c>
      <c r="DN160">
        <v>0.94</v>
      </c>
      <c r="DO160">
        <v>0.94</v>
      </c>
      <c r="DP160">
        <v>0.94</v>
      </c>
      <c r="DQ160">
        <v>0.94</v>
      </c>
      <c r="DR160">
        <v>0.94</v>
      </c>
      <c r="DS160">
        <v>0.94</v>
      </c>
      <c r="DT160">
        <v>0.94</v>
      </c>
      <c r="DU160">
        <v>0.94</v>
      </c>
      <c r="DV160">
        <v>0.94</v>
      </c>
      <c r="DW160">
        <v>0.94</v>
      </c>
      <c r="DX160">
        <v>0.94</v>
      </c>
      <c r="DY160">
        <v>0.94</v>
      </c>
      <c r="DZ160">
        <v>0.94</v>
      </c>
      <c r="EA160">
        <v>0.94</v>
      </c>
      <c r="EB160">
        <v>0.94</v>
      </c>
      <c r="EC160">
        <v>0.94</v>
      </c>
      <c r="ED160">
        <v>0.94</v>
      </c>
      <c r="EE160">
        <v>0.94</v>
      </c>
      <c r="EF160">
        <v>0.94</v>
      </c>
      <c r="EG160">
        <v>0.94</v>
      </c>
      <c r="EH160">
        <v>0.94</v>
      </c>
      <c r="EI160">
        <v>0.94</v>
      </c>
      <c r="EJ160">
        <v>0.94</v>
      </c>
      <c r="EK160">
        <v>0.94</v>
      </c>
      <c r="EL160">
        <v>0.94</v>
      </c>
      <c r="EM160">
        <v>0.94</v>
      </c>
      <c r="EN160">
        <v>0.94</v>
      </c>
      <c r="EO160">
        <v>0.94</v>
      </c>
      <c r="EP160">
        <v>0.94</v>
      </c>
      <c r="EQ160">
        <v>0.94</v>
      </c>
      <c r="ER160">
        <v>0.94</v>
      </c>
      <c r="ES160">
        <v>0.94</v>
      </c>
      <c r="ET160">
        <v>0.94</v>
      </c>
      <c r="EU160">
        <v>0.94</v>
      </c>
      <c r="EV160">
        <v>0.94</v>
      </c>
      <c r="EW160">
        <v>0.94</v>
      </c>
      <c r="EX160">
        <v>0.94</v>
      </c>
      <c r="EY160">
        <v>0.94</v>
      </c>
      <c r="EZ160">
        <v>0.94</v>
      </c>
      <c r="FA160">
        <v>0.94</v>
      </c>
      <c r="FB160">
        <v>0.94</v>
      </c>
      <c r="FC160">
        <v>0.94</v>
      </c>
      <c r="FD160">
        <v>0.94</v>
      </c>
      <c r="FE160">
        <v>0.94</v>
      </c>
      <c r="FF160">
        <v>0.94</v>
      </c>
      <c r="FG160">
        <v>0.94</v>
      </c>
      <c r="FH160">
        <v>0.94</v>
      </c>
      <c r="FI160">
        <v>0.94</v>
      </c>
      <c r="FJ160">
        <v>0.94</v>
      </c>
      <c r="FK160">
        <v>0.94</v>
      </c>
      <c r="FL160">
        <v>0.94</v>
      </c>
      <c r="FM160">
        <v>0.94</v>
      </c>
      <c r="FN160">
        <v>0.94</v>
      </c>
      <c r="FO160">
        <v>0.94</v>
      </c>
      <c r="FP160">
        <v>0.94</v>
      </c>
      <c r="FQ160">
        <v>0.94</v>
      </c>
      <c r="FR160">
        <v>0.94</v>
      </c>
      <c r="FS160">
        <v>0.94</v>
      </c>
      <c r="FT160">
        <v>0.94</v>
      </c>
      <c r="FU160">
        <v>0.94</v>
      </c>
      <c r="FV160">
        <v>0.94</v>
      </c>
      <c r="FW160">
        <v>0.94</v>
      </c>
      <c r="FX160">
        <v>0.94</v>
      </c>
      <c r="FY160">
        <v>0.94</v>
      </c>
      <c r="FZ160">
        <v>0.94</v>
      </c>
      <c r="GA160">
        <v>0.94</v>
      </c>
      <c r="GB160">
        <v>0.94</v>
      </c>
      <c r="GC160">
        <v>0.94</v>
      </c>
      <c r="GD160">
        <v>0.94</v>
      </c>
      <c r="GE160">
        <v>0.94</v>
      </c>
      <c r="GF160">
        <v>0.94</v>
      </c>
      <c r="GG160">
        <v>0.94</v>
      </c>
      <c r="GH160">
        <v>0.94</v>
      </c>
      <c r="GI160">
        <v>0.94</v>
      </c>
      <c r="GJ160">
        <v>0.94</v>
      </c>
      <c r="GK160">
        <v>0.94</v>
      </c>
      <c r="GL160">
        <v>0.94</v>
      </c>
      <c r="GM160">
        <v>0.94</v>
      </c>
      <c r="GN160">
        <v>0.94</v>
      </c>
      <c r="GO160">
        <v>0.94</v>
      </c>
      <c r="GP160">
        <v>0.94</v>
      </c>
      <c r="GQ160">
        <v>0.94</v>
      </c>
      <c r="GR160">
        <v>0.94</v>
      </c>
      <c r="GS160">
        <v>0.94</v>
      </c>
      <c r="GT160">
        <v>0.94</v>
      </c>
      <c r="GU160">
        <v>0.94</v>
      </c>
      <c r="GV160">
        <v>0.94</v>
      </c>
      <c r="GW160">
        <v>0.94</v>
      </c>
      <c r="GX160">
        <v>0.94</v>
      </c>
      <c r="GY160">
        <v>0.94</v>
      </c>
      <c r="GZ160">
        <v>0.94</v>
      </c>
      <c r="HA160">
        <v>0.94</v>
      </c>
      <c r="HB160">
        <v>0.94</v>
      </c>
      <c r="HC160">
        <v>0.94</v>
      </c>
      <c r="HD160">
        <v>0.94</v>
      </c>
      <c r="HE160">
        <v>0.94</v>
      </c>
      <c r="HF160">
        <v>0.94</v>
      </c>
      <c r="HG160">
        <v>0.94</v>
      </c>
      <c r="HH160">
        <v>0.94</v>
      </c>
      <c r="HI160">
        <v>0.94</v>
      </c>
      <c r="HJ160">
        <v>0.94</v>
      </c>
      <c r="HK160">
        <v>0.94</v>
      </c>
      <c r="HL160">
        <v>0.94</v>
      </c>
      <c r="HM160">
        <v>0.94</v>
      </c>
      <c r="HN160">
        <v>0.94</v>
      </c>
      <c r="HO160">
        <v>0.94</v>
      </c>
      <c r="HP160">
        <v>0.94</v>
      </c>
      <c r="HQ160">
        <v>0.94</v>
      </c>
      <c r="HR160">
        <v>0.94</v>
      </c>
      <c r="HS160">
        <v>0.94</v>
      </c>
      <c r="HT160">
        <v>0.94</v>
      </c>
      <c r="HU160">
        <v>0.94</v>
      </c>
      <c r="HV160">
        <v>0.94</v>
      </c>
      <c r="HW160">
        <v>0.94</v>
      </c>
      <c r="HX160">
        <v>0.94</v>
      </c>
      <c r="HY160">
        <v>0.94</v>
      </c>
      <c r="HZ160">
        <v>0.94</v>
      </c>
      <c r="IA160">
        <v>0.94</v>
      </c>
      <c r="IB160">
        <v>0.94</v>
      </c>
      <c r="IC160">
        <v>0.94</v>
      </c>
      <c r="ID160">
        <v>0.94</v>
      </c>
      <c r="IE160">
        <v>0.94</v>
      </c>
      <c r="IF160">
        <v>0.94</v>
      </c>
      <c r="IG160">
        <v>0.94</v>
      </c>
      <c r="IH160">
        <v>0.94</v>
      </c>
      <c r="II160">
        <v>0.94</v>
      </c>
      <c r="IJ160">
        <v>0.94</v>
      </c>
      <c r="IK160">
        <v>0.94</v>
      </c>
      <c r="IL160">
        <v>0.94</v>
      </c>
      <c r="IM160">
        <v>0.94</v>
      </c>
      <c r="IN160">
        <v>0.94</v>
      </c>
      <c r="IO160">
        <v>0.94</v>
      </c>
      <c r="IP160">
        <v>0.94</v>
      </c>
      <c r="IQ160">
        <v>0.94</v>
      </c>
      <c r="IR160">
        <v>0.94</v>
      </c>
      <c r="IS160">
        <v>0.94</v>
      </c>
      <c r="IT160">
        <v>0.94</v>
      </c>
      <c r="IU160">
        <v>0.94</v>
      </c>
      <c r="IV160">
        <v>0.94</v>
      </c>
      <c r="IW160">
        <v>0.94</v>
      </c>
      <c r="IX160">
        <v>0.94</v>
      </c>
      <c r="IY160">
        <v>0.94</v>
      </c>
      <c r="IZ160">
        <v>0.94</v>
      </c>
      <c r="JA160">
        <v>0.94</v>
      </c>
      <c r="JB160">
        <v>0.94</v>
      </c>
      <c r="JC160">
        <v>0.94</v>
      </c>
      <c r="JD160">
        <v>0.94</v>
      </c>
      <c r="JE160">
        <v>0.94</v>
      </c>
      <c r="JF160">
        <v>0.94</v>
      </c>
      <c r="JG160">
        <v>0.94</v>
      </c>
      <c r="JH160">
        <v>0.94</v>
      </c>
      <c r="JI160">
        <v>0.94</v>
      </c>
      <c r="JJ160">
        <v>0.94</v>
      </c>
      <c r="JK160">
        <v>0.94</v>
      </c>
      <c r="JL160">
        <v>0.94</v>
      </c>
      <c r="JM160">
        <v>0.94</v>
      </c>
      <c r="JN160">
        <v>0.94</v>
      </c>
      <c r="JO160">
        <v>0.94</v>
      </c>
      <c r="JP160">
        <v>0.94</v>
      </c>
      <c r="JQ160">
        <v>0.94</v>
      </c>
      <c r="JR160">
        <v>0.94</v>
      </c>
      <c r="JS160">
        <v>0.94</v>
      </c>
      <c r="JT160">
        <v>0.94</v>
      </c>
      <c r="JU160">
        <v>0.94</v>
      </c>
      <c r="JV160">
        <v>0.94</v>
      </c>
      <c r="JW160">
        <v>0.94</v>
      </c>
      <c r="JX160">
        <v>0.94</v>
      </c>
      <c r="JY160">
        <v>0.94</v>
      </c>
      <c r="JZ160">
        <v>0.94</v>
      </c>
      <c r="KA160">
        <v>0.94</v>
      </c>
      <c r="KB160">
        <v>0.94</v>
      </c>
      <c r="KC160">
        <v>0.94</v>
      </c>
      <c r="KD160">
        <v>0.94</v>
      </c>
      <c r="KE160">
        <v>0.94</v>
      </c>
      <c r="KF160">
        <v>0.94</v>
      </c>
      <c r="KG160">
        <v>0.94</v>
      </c>
      <c r="KH160">
        <v>0.94</v>
      </c>
      <c r="KI160">
        <v>0.94</v>
      </c>
      <c r="KJ160">
        <v>0.94</v>
      </c>
      <c r="KK160">
        <v>0.94</v>
      </c>
      <c r="KL160">
        <v>0.94</v>
      </c>
      <c r="KM160">
        <v>0.94</v>
      </c>
      <c r="KN160">
        <v>0.94</v>
      </c>
      <c r="KO160">
        <v>0.94</v>
      </c>
      <c r="KP160">
        <v>0.94</v>
      </c>
      <c r="KQ160">
        <v>0.94</v>
      </c>
      <c r="KR160">
        <v>0.94</v>
      </c>
      <c r="KS160">
        <v>0.94</v>
      </c>
      <c r="KT160">
        <v>0.94</v>
      </c>
      <c r="KU160">
        <v>0.94</v>
      </c>
      <c r="KV160">
        <v>0.94</v>
      </c>
      <c r="KW160">
        <v>0.94</v>
      </c>
      <c r="KX160">
        <v>0.94</v>
      </c>
      <c r="KY160">
        <v>0.94</v>
      </c>
      <c r="KZ160">
        <v>0.94</v>
      </c>
      <c r="LA160">
        <v>0.94</v>
      </c>
      <c r="LB160">
        <v>0.94</v>
      </c>
      <c r="LC160">
        <v>0.94</v>
      </c>
      <c r="LD160">
        <v>0.94</v>
      </c>
      <c r="LE160">
        <v>0.94</v>
      </c>
      <c r="LF160">
        <v>0.94</v>
      </c>
      <c r="LG160">
        <v>0.94</v>
      </c>
      <c r="LH160">
        <v>0.94</v>
      </c>
      <c r="LI160">
        <v>0.94</v>
      </c>
      <c r="LJ160">
        <v>0.94</v>
      </c>
      <c r="LK160">
        <v>0.94</v>
      </c>
      <c r="LL160">
        <v>0.94</v>
      </c>
      <c r="LM160">
        <v>0.94</v>
      </c>
      <c r="LN160">
        <v>0.94</v>
      </c>
      <c r="LO160">
        <v>0.94</v>
      </c>
      <c r="LP160">
        <v>0.94</v>
      </c>
      <c r="LQ160">
        <v>0.94</v>
      </c>
      <c r="LR160">
        <v>0.94</v>
      </c>
      <c r="LS160">
        <v>0.94</v>
      </c>
      <c r="LT160">
        <v>0.94</v>
      </c>
      <c r="LU160">
        <v>0.94</v>
      </c>
      <c r="LV160">
        <v>0.94</v>
      </c>
      <c r="LW160">
        <v>0.94</v>
      </c>
      <c r="LX160">
        <v>0.94</v>
      </c>
      <c r="LY160">
        <v>0.94</v>
      </c>
      <c r="LZ160">
        <v>0.94</v>
      </c>
      <c r="MA160">
        <v>0.94</v>
      </c>
      <c r="MB160">
        <v>0.94</v>
      </c>
      <c r="MC160">
        <v>0.94</v>
      </c>
      <c r="MD160">
        <v>0.94</v>
      </c>
      <c r="ME160">
        <v>0.94</v>
      </c>
      <c r="MF160">
        <v>0.94</v>
      </c>
      <c r="MG160">
        <v>0.94</v>
      </c>
      <c r="MH160">
        <v>0.94</v>
      </c>
      <c r="MI160">
        <v>0.94</v>
      </c>
      <c r="MJ160">
        <v>0.94</v>
      </c>
      <c r="MK160">
        <v>0.94</v>
      </c>
      <c r="ML160">
        <v>0.94</v>
      </c>
      <c r="MM160">
        <v>0.94</v>
      </c>
      <c r="MN160">
        <v>0.94</v>
      </c>
      <c r="MO160">
        <v>0.94</v>
      </c>
      <c r="MP160">
        <v>0.94</v>
      </c>
      <c r="MQ160">
        <v>0.94</v>
      </c>
      <c r="MR160">
        <v>0.94</v>
      </c>
      <c r="MS160">
        <v>0.94</v>
      </c>
      <c r="MT160">
        <v>0.94</v>
      </c>
      <c r="MU160">
        <v>0.94</v>
      </c>
      <c r="MV160">
        <v>0.94</v>
      </c>
      <c r="MW160">
        <v>0.94</v>
      </c>
      <c r="MX160">
        <v>0.94</v>
      </c>
      <c r="MY160">
        <v>0.94</v>
      </c>
      <c r="MZ160">
        <v>0.94</v>
      </c>
      <c r="NA160">
        <v>0.94</v>
      </c>
      <c r="NB160">
        <v>0.94</v>
      </c>
      <c r="NC160">
        <v>0.94</v>
      </c>
      <c r="ND160">
        <v>0.94</v>
      </c>
      <c r="NE160">
        <v>0.94</v>
      </c>
      <c r="NF160">
        <v>0.94</v>
      </c>
      <c r="NG160">
        <v>0.94</v>
      </c>
      <c r="NH160">
        <v>0.94</v>
      </c>
      <c r="NI160">
        <v>0.94</v>
      </c>
      <c r="NJ160">
        <v>0.94</v>
      </c>
      <c r="NK160">
        <v>0.94</v>
      </c>
      <c r="NL160">
        <v>0.94</v>
      </c>
      <c r="NM160">
        <v>0.94</v>
      </c>
      <c r="NN160">
        <v>0.94</v>
      </c>
      <c r="NO160">
        <v>0.94</v>
      </c>
      <c r="NP160">
        <v>0.94</v>
      </c>
      <c r="NQ160">
        <v>0.94</v>
      </c>
      <c r="NR160">
        <v>0.94</v>
      </c>
      <c r="NS160">
        <v>0.94</v>
      </c>
      <c r="NT160">
        <v>0.94</v>
      </c>
      <c r="NU160">
        <v>0.94</v>
      </c>
      <c r="NV160">
        <v>0.94</v>
      </c>
      <c r="NW160">
        <v>0.94</v>
      </c>
      <c r="NX160">
        <v>0.94</v>
      </c>
      <c r="NY160">
        <v>0.94</v>
      </c>
      <c r="NZ160">
        <v>0.94</v>
      </c>
      <c r="OA160">
        <v>0.94</v>
      </c>
      <c r="OB160">
        <v>0.94</v>
      </c>
      <c r="OC160">
        <v>0.94</v>
      </c>
      <c r="OD160">
        <v>0.94</v>
      </c>
      <c r="OE160">
        <v>0.94</v>
      </c>
      <c r="OF160">
        <v>0.94</v>
      </c>
      <c r="OG160">
        <v>0.94</v>
      </c>
      <c r="OH160">
        <v>0.94</v>
      </c>
      <c r="OI160">
        <v>0.94</v>
      </c>
      <c r="OJ160">
        <v>0.94</v>
      </c>
      <c r="OK160">
        <v>0.94</v>
      </c>
      <c r="OL160">
        <v>0.94</v>
      </c>
      <c r="OM160">
        <v>0.94</v>
      </c>
      <c r="ON160">
        <v>0.94</v>
      </c>
      <c r="OO160">
        <v>0.94</v>
      </c>
      <c r="OP160">
        <v>0.94</v>
      </c>
      <c r="OQ160">
        <v>0.94</v>
      </c>
      <c r="OR160">
        <v>0.94</v>
      </c>
      <c r="OS160">
        <v>0.94</v>
      </c>
      <c r="OT160">
        <v>0.94</v>
      </c>
      <c r="OU160">
        <v>0.94</v>
      </c>
      <c r="OV160">
        <v>0.94</v>
      </c>
      <c r="OW160">
        <v>0.94</v>
      </c>
      <c r="OX160">
        <v>0.94</v>
      </c>
      <c r="OY160">
        <v>0.94</v>
      </c>
      <c r="OZ160">
        <v>0.94</v>
      </c>
      <c r="PA160">
        <v>0.94</v>
      </c>
      <c r="PB160">
        <v>0.94</v>
      </c>
      <c r="PC160">
        <v>0.94</v>
      </c>
      <c r="PD160">
        <v>0.94</v>
      </c>
      <c r="PE160">
        <v>0.94</v>
      </c>
      <c r="PF160">
        <v>0.94</v>
      </c>
      <c r="PG160">
        <v>0.94</v>
      </c>
      <c r="PH160">
        <v>0.94</v>
      </c>
      <c r="PI160">
        <v>0.94</v>
      </c>
      <c r="PJ160">
        <v>0.94</v>
      </c>
      <c r="PK160">
        <v>0.94</v>
      </c>
      <c r="PL160">
        <v>0.94</v>
      </c>
      <c r="PM160">
        <v>0.94</v>
      </c>
      <c r="PN160">
        <v>0.94</v>
      </c>
      <c r="PO160">
        <v>0.94</v>
      </c>
      <c r="PP160">
        <v>0.94</v>
      </c>
      <c r="PQ160">
        <v>0.94</v>
      </c>
      <c r="PR160">
        <v>0.94</v>
      </c>
      <c r="PS160">
        <v>0.94</v>
      </c>
      <c r="PT160">
        <v>0.94</v>
      </c>
      <c r="PU160">
        <v>0.94</v>
      </c>
      <c r="PV160">
        <v>0.94</v>
      </c>
      <c r="PW160">
        <v>0.94</v>
      </c>
      <c r="PX160">
        <v>0.94</v>
      </c>
      <c r="PY160">
        <v>0.94</v>
      </c>
      <c r="PZ160">
        <v>0.94</v>
      </c>
      <c r="QA160">
        <v>0.94</v>
      </c>
      <c r="QB160">
        <v>0.94</v>
      </c>
      <c r="QC160">
        <v>0.94</v>
      </c>
      <c r="QD160">
        <v>0.94</v>
      </c>
      <c r="QE160">
        <v>0.94</v>
      </c>
      <c r="QF160">
        <v>0.94</v>
      </c>
      <c r="QG160">
        <v>0.94</v>
      </c>
      <c r="QH160">
        <v>0.94</v>
      </c>
      <c r="QI160">
        <v>0.94</v>
      </c>
      <c r="QJ160">
        <v>0.94</v>
      </c>
      <c r="QK160">
        <v>0.94</v>
      </c>
      <c r="QL160">
        <v>0.94</v>
      </c>
      <c r="QM160">
        <v>0.94</v>
      </c>
      <c r="QN160">
        <v>0.94</v>
      </c>
      <c r="QO160">
        <v>0.94</v>
      </c>
      <c r="QP160">
        <v>0.94</v>
      </c>
      <c r="QQ160">
        <v>0.94</v>
      </c>
      <c r="QR160">
        <v>0.94</v>
      </c>
      <c r="QS160">
        <v>0.94</v>
      </c>
      <c r="QT160">
        <v>0.94</v>
      </c>
      <c r="QU160">
        <v>0.94</v>
      </c>
      <c r="QV160">
        <v>0.94</v>
      </c>
      <c r="QW160">
        <v>0.94</v>
      </c>
      <c r="QX160">
        <v>0.94</v>
      </c>
      <c r="QY160">
        <v>0.94</v>
      </c>
      <c r="QZ160">
        <v>0.94</v>
      </c>
      <c r="RA160">
        <v>0.94</v>
      </c>
      <c r="RB160">
        <v>0.94</v>
      </c>
      <c r="RC160">
        <v>0.94</v>
      </c>
      <c r="RD160">
        <v>0.94</v>
      </c>
      <c r="RE160">
        <v>0.94</v>
      </c>
      <c r="RF160">
        <v>0.94</v>
      </c>
      <c r="RG160">
        <v>0.94</v>
      </c>
      <c r="RH160">
        <v>0.94</v>
      </c>
      <c r="RI160">
        <v>0.94</v>
      </c>
      <c r="RJ160">
        <v>0.94</v>
      </c>
      <c r="RK160">
        <v>0.94</v>
      </c>
      <c r="RL160">
        <v>0.94</v>
      </c>
      <c r="RM160">
        <v>0.94</v>
      </c>
      <c r="RN160">
        <v>0.94</v>
      </c>
      <c r="RO160">
        <v>0.94</v>
      </c>
      <c r="RP160">
        <v>0.94</v>
      </c>
      <c r="RQ160">
        <v>0.94</v>
      </c>
      <c r="RR160">
        <v>0.94</v>
      </c>
      <c r="RS160">
        <v>0.94</v>
      </c>
      <c r="RT160">
        <v>0.94</v>
      </c>
      <c r="RU160">
        <v>0.94</v>
      </c>
      <c r="RV160">
        <v>0.94</v>
      </c>
      <c r="RW160">
        <v>0.94</v>
      </c>
      <c r="RX160">
        <v>0.94</v>
      </c>
      <c r="RY160">
        <v>0.94</v>
      </c>
      <c r="RZ160">
        <v>0.94</v>
      </c>
      <c r="SA160">
        <v>0.94</v>
      </c>
      <c r="SB160">
        <v>0.94</v>
      </c>
      <c r="SC160">
        <v>0.94</v>
      </c>
      <c r="SD160">
        <v>0.94</v>
      </c>
      <c r="SE160">
        <v>0.94</v>
      </c>
      <c r="SF160">
        <v>0.94</v>
      </c>
      <c r="SG160">
        <v>0.94</v>
      </c>
      <c r="SH160">
        <v>0.94</v>
      </c>
      <c r="SI160">
        <v>0.94</v>
      </c>
      <c r="SJ160">
        <v>0.94</v>
      </c>
      <c r="SK160">
        <v>0.94</v>
      </c>
      <c r="SL160">
        <v>0.94</v>
      </c>
      <c r="SM160">
        <v>0.94</v>
      </c>
      <c r="SN160">
        <v>0.94</v>
      </c>
      <c r="SO160">
        <v>0.94</v>
      </c>
      <c r="SP160">
        <v>0.94</v>
      </c>
      <c r="SQ160">
        <v>0.94</v>
      </c>
      <c r="SR160">
        <v>0.94</v>
      </c>
      <c r="SS160">
        <v>0.94</v>
      </c>
      <c r="ST160">
        <v>0.94</v>
      </c>
      <c r="SU160">
        <v>0.94</v>
      </c>
      <c r="SV160">
        <v>0.94</v>
      </c>
      <c r="SW160">
        <v>0.94</v>
      </c>
      <c r="SX160">
        <v>0.94</v>
      </c>
      <c r="SY160">
        <v>0.94</v>
      </c>
      <c r="SZ160">
        <v>0.94</v>
      </c>
      <c r="TA160">
        <v>0.94</v>
      </c>
      <c r="TB160">
        <v>0.94</v>
      </c>
      <c r="TC160">
        <v>0.94</v>
      </c>
      <c r="TD160">
        <v>0.94</v>
      </c>
      <c r="TE160">
        <v>0.94</v>
      </c>
      <c r="TF160">
        <v>0.94</v>
      </c>
      <c r="TG160">
        <v>0.94</v>
      </c>
      <c r="TH160">
        <v>0.94</v>
      </c>
      <c r="TI160">
        <v>0.94</v>
      </c>
      <c r="TJ160">
        <v>0.94</v>
      </c>
      <c r="TK160">
        <v>0.94</v>
      </c>
      <c r="TL160">
        <v>0.94</v>
      </c>
      <c r="TM160">
        <v>0.94</v>
      </c>
      <c r="TN160">
        <v>0.94</v>
      </c>
      <c r="TO160">
        <v>0.94</v>
      </c>
      <c r="TP160">
        <v>0.94</v>
      </c>
      <c r="TQ160">
        <v>0.94</v>
      </c>
      <c r="TR160">
        <v>0.94</v>
      </c>
      <c r="TS160">
        <v>0.94</v>
      </c>
      <c r="TT160">
        <v>0.94</v>
      </c>
      <c r="TU160">
        <v>0.94</v>
      </c>
      <c r="TV160">
        <v>0.94</v>
      </c>
      <c r="TW160">
        <v>0.94</v>
      </c>
      <c r="TX160">
        <v>0.94</v>
      </c>
      <c r="TY160">
        <v>0.94</v>
      </c>
      <c r="TZ160">
        <v>0.94</v>
      </c>
      <c r="UA160">
        <v>0.94</v>
      </c>
      <c r="UB160">
        <v>0.94</v>
      </c>
      <c r="UC160">
        <v>0.94</v>
      </c>
      <c r="UD160">
        <v>0.94</v>
      </c>
      <c r="UE160">
        <v>0.94</v>
      </c>
      <c r="UF160">
        <v>0.94</v>
      </c>
      <c r="UG160">
        <v>0.94</v>
      </c>
      <c r="UH160">
        <v>0.94</v>
      </c>
      <c r="UI160">
        <v>0.94</v>
      </c>
      <c r="UJ160">
        <v>0.94</v>
      </c>
      <c r="UK160">
        <v>0.94</v>
      </c>
      <c r="UL160">
        <v>0.94</v>
      </c>
      <c r="UM160">
        <v>0.94</v>
      </c>
      <c r="UN160">
        <v>0.94</v>
      </c>
      <c r="UO160">
        <v>0.94</v>
      </c>
      <c r="UP160">
        <v>0.94</v>
      </c>
      <c r="UQ160">
        <v>0.94</v>
      </c>
      <c r="UR160">
        <v>0.94</v>
      </c>
      <c r="US160">
        <v>0.94</v>
      </c>
      <c r="UT160">
        <v>0.94</v>
      </c>
      <c r="UU160">
        <v>0.94</v>
      </c>
      <c r="UV160">
        <v>0.94</v>
      </c>
      <c r="UW160">
        <v>0.94</v>
      </c>
      <c r="UX160">
        <v>0.94</v>
      </c>
      <c r="UY160">
        <v>0.94</v>
      </c>
      <c r="UZ160">
        <v>0.94</v>
      </c>
      <c r="VA160">
        <v>0.94</v>
      </c>
      <c r="VB160">
        <v>0.94</v>
      </c>
      <c r="VC160">
        <v>0.94</v>
      </c>
      <c r="VD160">
        <v>0.94</v>
      </c>
      <c r="VE160">
        <v>0.94</v>
      </c>
      <c r="VF160">
        <v>0.94</v>
      </c>
      <c r="VG160">
        <v>0.94</v>
      </c>
      <c r="VH160">
        <v>0.94</v>
      </c>
      <c r="VI160">
        <v>0.94</v>
      </c>
      <c r="VJ160">
        <v>0.94</v>
      </c>
      <c r="VK160">
        <v>0.94</v>
      </c>
      <c r="VL160">
        <v>0.94</v>
      </c>
      <c r="VM160">
        <v>0.94</v>
      </c>
      <c r="VN160">
        <v>0.94</v>
      </c>
      <c r="VO160">
        <v>0.94</v>
      </c>
      <c r="VP160">
        <v>0.94</v>
      </c>
      <c r="VQ160">
        <v>0.94</v>
      </c>
      <c r="VR160">
        <v>0.94</v>
      </c>
      <c r="VS160">
        <v>0.94</v>
      </c>
      <c r="VT160">
        <v>0.94</v>
      </c>
      <c r="VU160">
        <v>0.94</v>
      </c>
      <c r="VV160">
        <v>0.94</v>
      </c>
      <c r="VW160">
        <v>0.94</v>
      </c>
      <c r="VX160">
        <v>0.94</v>
      </c>
      <c r="VY160">
        <v>0.94</v>
      </c>
      <c r="VZ160">
        <v>0.94</v>
      </c>
      <c r="WA160">
        <v>0.94</v>
      </c>
      <c r="WB160">
        <v>0.94</v>
      </c>
      <c r="WC160">
        <v>0.94</v>
      </c>
      <c r="WD160">
        <v>0.94</v>
      </c>
      <c r="WE160">
        <v>0.94</v>
      </c>
      <c r="WF160">
        <v>0.94</v>
      </c>
      <c r="WG160">
        <v>0.94</v>
      </c>
      <c r="WH160">
        <v>0.94</v>
      </c>
      <c r="WI160">
        <v>0.94</v>
      </c>
      <c r="WJ160">
        <v>0.94</v>
      </c>
      <c r="WK160">
        <v>0.94</v>
      </c>
      <c r="WL160">
        <v>0.94</v>
      </c>
      <c r="WM160">
        <v>0.94</v>
      </c>
      <c r="WN160">
        <v>0.94</v>
      </c>
      <c r="WO160">
        <v>0.94</v>
      </c>
      <c r="WP160">
        <v>0.94</v>
      </c>
      <c r="WQ160">
        <v>0.94</v>
      </c>
      <c r="WR160">
        <v>0.94</v>
      </c>
      <c r="WS160">
        <v>0.94</v>
      </c>
      <c r="WT160">
        <v>0.94</v>
      </c>
      <c r="WU160">
        <v>0.94</v>
      </c>
      <c r="WV160">
        <v>0.94</v>
      </c>
      <c r="WW160">
        <v>0.94</v>
      </c>
      <c r="WX160">
        <v>0.94</v>
      </c>
      <c r="WY160">
        <v>0.94</v>
      </c>
      <c r="WZ160">
        <v>0.94</v>
      </c>
      <c r="XA160">
        <v>0.94</v>
      </c>
      <c r="XB160">
        <v>0.94</v>
      </c>
      <c r="XC160">
        <v>0.94</v>
      </c>
      <c r="XD160">
        <v>0.94</v>
      </c>
      <c r="XE160">
        <v>0.94</v>
      </c>
      <c r="XF160">
        <v>0.94</v>
      </c>
      <c r="XG160">
        <v>0.94</v>
      </c>
      <c r="XH160">
        <v>0.94</v>
      </c>
      <c r="XI160">
        <v>0.94</v>
      </c>
      <c r="XJ160">
        <v>0.94</v>
      </c>
      <c r="XK160">
        <v>0.94</v>
      </c>
      <c r="XL160">
        <v>0.94</v>
      </c>
      <c r="XM160">
        <v>0.94</v>
      </c>
      <c r="XN160">
        <v>0.94</v>
      </c>
      <c r="XO160">
        <v>0.94</v>
      </c>
      <c r="XP160">
        <v>0.94</v>
      </c>
      <c r="XQ160">
        <v>0.94</v>
      </c>
      <c r="XR160">
        <v>0.94</v>
      </c>
      <c r="XS160">
        <v>0.94</v>
      </c>
      <c r="XT160">
        <v>0.94</v>
      </c>
      <c r="XU160">
        <v>0.94</v>
      </c>
      <c r="XV160">
        <v>0.94</v>
      </c>
      <c r="XW160">
        <v>0.94</v>
      </c>
      <c r="XX160">
        <v>0.94</v>
      </c>
      <c r="XY160">
        <v>0.94</v>
      </c>
      <c r="XZ160">
        <v>0.94</v>
      </c>
      <c r="YA160">
        <v>0.94</v>
      </c>
      <c r="YB160">
        <v>0.94</v>
      </c>
      <c r="YC160">
        <v>0.94</v>
      </c>
      <c r="YD160">
        <v>0.94</v>
      </c>
      <c r="YE160">
        <v>0.94</v>
      </c>
      <c r="YF160">
        <v>0.94</v>
      </c>
      <c r="YG160">
        <v>0.94</v>
      </c>
      <c r="YH160">
        <v>0.94</v>
      </c>
      <c r="YI160">
        <v>0.94</v>
      </c>
      <c r="YJ160">
        <v>0.94</v>
      </c>
      <c r="YK160">
        <v>0.94</v>
      </c>
      <c r="YL160">
        <v>0.94</v>
      </c>
      <c r="YM160">
        <v>0.94</v>
      </c>
      <c r="YN160">
        <v>0.94</v>
      </c>
      <c r="YO160">
        <v>0.94</v>
      </c>
      <c r="YP160">
        <v>0.94</v>
      </c>
      <c r="YQ160">
        <v>0.94</v>
      </c>
      <c r="YR160">
        <v>0.94</v>
      </c>
      <c r="YS160">
        <v>0.94</v>
      </c>
      <c r="YT160">
        <v>0.94</v>
      </c>
      <c r="YU160">
        <v>0.94</v>
      </c>
      <c r="YV160">
        <v>0.94</v>
      </c>
      <c r="YW160">
        <v>0.94</v>
      </c>
      <c r="YX160">
        <v>0.94</v>
      </c>
      <c r="YY160">
        <v>0.94</v>
      </c>
      <c r="YZ160">
        <v>0.94</v>
      </c>
      <c r="ZA160">
        <v>0.94</v>
      </c>
      <c r="ZB160">
        <v>0.94</v>
      </c>
      <c r="ZC160">
        <v>0.94</v>
      </c>
      <c r="ZD160">
        <v>0.94</v>
      </c>
      <c r="ZE160">
        <v>0.94</v>
      </c>
      <c r="ZF160">
        <v>0.94</v>
      </c>
      <c r="ZG160">
        <v>0.94</v>
      </c>
      <c r="ZH160">
        <v>0.94</v>
      </c>
      <c r="ZI160">
        <v>0.94</v>
      </c>
      <c r="ZJ160">
        <v>0.94</v>
      </c>
      <c r="ZK160">
        <v>0.94</v>
      </c>
      <c r="ZL160">
        <v>0.94</v>
      </c>
      <c r="ZM160">
        <v>0.94</v>
      </c>
      <c r="ZN160">
        <v>0.94</v>
      </c>
      <c r="ZO160">
        <v>0.94</v>
      </c>
      <c r="ZP160">
        <v>0.94</v>
      </c>
      <c r="ZQ160">
        <v>0.94</v>
      </c>
      <c r="ZR160">
        <v>0.94</v>
      </c>
      <c r="ZS160">
        <v>0.94</v>
      </c>
      <c r="ZT160">
        <v>0.94</v>
      </c>
      <c r="ZU160">
        <v>0.94</v>
      </c>
      <c r="ZV160">
        <v>0.94</v>
      </c>
      <c r="ZW160">
        <v>0.94</v>
      </c>
      <c r="ZX160">
        <v>0.94</v>
      </c>
      <c r="ZY160">
        <v>0.94</v>
      </c>
      <c r="ZZ160">
        <v>0.94</v>
      </c>
      <c r="AAA160">
        <v>0.94</v>
      </c>
      <c r="AAB160">
        <v>0.94</v>
      </c>
      <c r="AAC160">
        <v>0.94</v>
      </c>
      <c r="AAD160">
        <v>0.94</v>
      </c>
      <c r="AAE160">
        <v>0.94</v>
      </c>
      <c r="AAF160">
        <v>0.94</v>
      </c>
      <c r="AAG160">
        <v>0.94</v>
      </c>
      <c r="AAH160">
        <v>0.94</v>
      </c>
      <c r="AAI160">
        <v>0.94</v>
      </c>
      <c r="AAJ160">
        <v>0.94</v>
      </c>
      <c r="AAK160">
        <v>0.94</v>
      </c>
      <c r="AAL160">
        <v>0.94</v>
      </c>
      <c r="AAM160">
        <v>0.94</v>
      </c>
      <c r="AAN160">
        <v>0.94</v>
      </c>
      <c r="AAO160">
        <v>0.94</v>
      </c>
      <c r="AAP160">
        <v>0.94</v>
      </c>
      <c r="AAQ160">
        <v>0.94</v>
      </c>
      <c r="AAR160">
        <v>0.94</v>
      </c>
      <c r="AAS160">
        <v>0.94</v>
      </c>
      <c r="AAT160">
        <v>0.94</v>
      </c>
      <c r="AAU160">
        <v>0.94</v>
      </c>
      <c r="AAV160">
        <v>0.94</v>
      </c>
      <c r="AAW160">
        <v>0.94</v>
      </c>
      <c r="AAX160">
        <v>0.94</v>
      </c>
      <c r="AAY160">
        <v>0.94</v>
      </c>
      <c r="AAZ160">
        <v>0.94</v>
      </c>
      <c r="ABA160">
        <v>0.94</v>
      </c>
      <c r="ABB160">
        <v>0.94</v>
      </c>
      <c r="ABC160">
        <v>0.94</v>
      </c>
      <c r="ABD160">
        <v>0.94</v>
      </c>
      <c r="ABE160">
        <v>0.94</v>
      </c>
      <c r="ABF160">
        <v>0.94</v>
      </c>
      <c r="ABG160">
        <v>0.94</v>
      </c>
      <c r="ABH160">
        <v>0.94</v>
      </c>
      <c r="ABI160">
        <v>0.94</v>
      </c>
      <c r="ABJ160">
        <v>0.94</v>
      </c>
      <c r="ABK160">
        <v>0.94</v>
      </c>
      <c r="ABL160">
        <v>0.94</v>
      </c>
      <c r="ABM160">
        <v>0.94</v>
      </c>
      <c r="ABN160">
        <v>0.94</v>
      </c>
      <c r="ABO160">
        <v>0.94</v>
      </c>
      <c r="ABP160">
        <v>0.94</v>
      </c>
      <c r="ABQ160">
        <v>0.94</v>
      </c>
      <c r="ABR160">
        <v>0.94</v>
      </c>
      <c r="ABS160">
        <v>0.94</v>
      </c>
      <c r="ABT160">
        <v>0.94</v>
      </c>
      <c r="ABU160">
        <v>0.94</v>
      </c>
      <c r="ABV160">
        <v>0.94</v>
      </c>
      <c r="ABW160">
        <v>0.94</v>
      </c>
      <c r="ABX160">
        <v>0.94</v>
      </c>
      <c r="ABY160">
        <v>0.94</v>
      </c>
      <c r="ABZ160">
        <v>0.94</v>
      </c>
      <c r="ACA160">
        <v>0.94</v>
      </c>
      <c r="ACB160">
        <v>0.94</v>
      </c>
      <c r="ACC160">
        <v>0.94</v>
      </c>
      <c r="ACD160">
        <v>0.94</v>
      </c>
      <c r="ACE160">
        <v>0.94</v>
      </c>
      <c r="ACF160">
        <v>0.94</v>
      </c>
      <c r="ACG160">
        <v>0.94</v>
      </c>
      <c r="ACH160">
        <v>0.94</v>
      </c>
      <c r="ACI160">
        <v>0.94</v>
      </c>
      <c r="ACJ160">
        <v>0.94</v>
      </c>
      <c r="ACK160">
        <v>0.94</v>
      </c>
      <c r="ACL160">
        <v>0.94</v>
      </c>
      <c r="ACM160">
        <v>0.94</v>
      </c>
      <c r="ACN160">
        <v>0.94</v>
      </c>
      <c r="ACO160">
        <v>0.94</v>
      </c>
      <c r="ACP160">
        <v>0.94</v>
      </c>
      <c r="ACQ160">
        <v>0.94</v>
      </c>
      <c r="ACR160">
        <v>0.94</v>
      </c>
      <c r="ACS160">
        <v>0.94</v>
      </c>
      <c r="ACT160">
        <v>0.94</v>
      </c>
      <c r="ACU160">
        <v>0.94</v>
      </c>
      <c r="ACV160">
        <v>0.94</v>
      </c>
      <c r="ACW160">
        <v>0.94</v>
      </c>
      <c r="ACX160">
        <v>0.94</v>
      </c>
      <c r="ACY160">
        <v>0.94</v>
      </c>
      <c r="ACZ160">
        <v>0.94</v>
      </c>
      <c r="ADA160">
        <v>0.94</v>
      </c>
      <c r="ADB160">
        <v>0.94</v>
      </c>
      <c r="ADC160">
        <v>0.94</v>
      </c>
      <c r="ADD160">
        <v>0.94</v>
      </c>
      <c r="ADE160">
        <v>0.94</v>
      </c>
      <c r="ADF160">
        <v>0.94</v>
      </c>
      <c r="ADG160">
        <v>0.94</v>
      </c>
      <c r="ADH160">
        <v>0.94</v>
      </c>
      <c r="ADI160">
        <v>0.94</v>
      </c>
      <c r="ADJ160">
        <v>0.94</v>
      </c>
      <c r="ADK160">
        <v>0.94</v>
      </c>
      <c r="ADL160">
        <v>0.94</v>
      </c>
      <c r="ADM160">
        <v>0.94</v>
      </c>
      <c r="ADN160">
        <v>0.94</v>
      </c>
      <c r="ADO160">
        <v>0.94</v>
      </c>
      <c r="ADP160">
        <v>0.94</v>
      </c>
      <c r="ADQ160">
        <v>0.94</v>
      </c>
      <c r="ADR160">
        <v>0.94</v>
      </c>
      <c r="ADS160">
        <v>0.94</v>
      </c>
      <c r="ADT160">
        <v>0.94</v>
      </c>
      <c r="ADU160">
        <v>0.94</v>
      </c>
      <c r="ADV160">
        <v>0.94</v>
      </c>
      <c r="ADW160">
        <v>0.94</v>
      </c>
      <c r="ADX160">
        <v>0.94</v>
      </c>
      <c r="ADY160">
        <v>0.94</v>
      </c>
      <c r="ADZ160">
        <v>0.94</v>
      </c>
      <c r="AEA160">
        <v>0.94</v>
      </c>
      <c r="AEB160">
        <v>0.94</v>
      </c>
      <c r="AEC160">
        <v>0.94</v>
      </c>
      <c r="AED160">
        <v>0.94</v>
      </c>
      <c r="AEE160">
        <v>0.94</v>
      </c>
      <c r="AEF160">
        <v>0.94</v>
      </c>
      <c r="AEG160">
        <v>0.94</v>
      </c>
      <c r="AEH160">
        <v>0.94</v>
      </c>
      <c r="AEI160">
        <v>0.94</v>
      </c>
      <c r="AEJ160">
        <v>0.94</v>
      </c>
      <c r="AEK160">
        <v>0.94</v>
      </c>
      <c r="AEL160">
        <v>0.94</v>
      </c>
      <c r="AEM160">
        <v>0.94</v>
      </c>
      <c r="AEN160">
        <v>0.94</v>
      </c>
      <c r="AEO160">
        <v>0.94</v>
      </c>
      <c r="AEP160">
        <v>0.94</v>
      </c>
      <c r="AEQ160">
        <v>0.94</v>
      </c>
      <c r="AER160">
        <v>0.94</v>
      </c>
      <c r="AES160">
        <v>0.94</v>
      </c>
      <c r="AET160">
        <v>0.94</v>
      </c>
      <c r="AEU160">
        <v>0.94</v>
      </c>
      <c r="AEV160">
        <v>0.94</v>
      </c>
      <c r="AEW160">
        <v>0.94</v>
      </c>
      <c r="AEX160">
        <v>0.94</v>
      </c>
      <c r="AEY160">
        <v>0.94</v>
      </c>
      <c r="AEZ160">
        <v>0.94</v>
      </c>
      <c r="AFA160">
        <v>0.94</v>
      </c>
      <c r="AFB160">
        <v>0.94</v>
      </c>
      <c r="AFC160">
        <v>0.94</v>
      </c>
      <c r="AFD160">
        <v>0.94</v>
      </c>
      <c r="AFE160">
        <v>0.94</v>
      </c>
      <c r="AFF160">
        <v>0.94</v>
      </c>
      <c r="AFG160">
        <v>0.94</v>
      </c>
      <c r="AFH160">
        <v>0.94</v>
      </c>
      <c r="AFI160">
        <v>0.94</v>
      </c>
      <c r="AFJ160">
        <v>0.94</v>
      </c>
      <c r="AFK160">
        <v>0.94</v>
      </c>
      <c r="AFL160">
        <v>0.94</v>
      </c>
      <c r="AFM160">
        <v>0.94</v>
      </c>
      <c r="AFN160">
        <v>0.94</v>
      </c>
      <c r="AFO160">
        <v>0.94</v>
      </c>
      <c r="AFP160">
        <v>0.94</v>
      </c>
      <c r="AFQ160">
        <v>0.94</v>
      </c>
      <c r="AFR160">
        <v>0.94</v>
      </c>
      <c r="AFS160">
        <v>0.94</v>
      </c>
      <c r="AFT160">
        <v>0.94</v>
      </c>
      <c r="AFU160">
        <v>0.94</v>
      </c>
      <c r="AFV160">
        <v>0.94</v>
      </c>
      <c r="AFW160">
        <v>0.94</v>
      </c>
      <c r="AFX160">
        <v>0.94</v>
      </c>
      <c r="AFY160">
        <v>0.94</v>
      </c>
      <c r="AFZ160">
        <v>0.94</v>
      </c>
      <c r="AGA160">
        <v>0.94</v>
      </c>
      <c r="AGB160">
        <v>0.94</v>
      </c>
      <c r="AGC160">
        <v>0.94</v>
      </c>
      <c r="AGD160">
        <v>0.94</v>
      </c>
      <c r="AGE160">
        <v>0.94</v>
      </c>
      <c r="AGF160">
        <v>0.94</v>
      </c>
      <c r="AGG160">
        <v>0.94</v>
      </c>
      <c r="AGH160">
        <v>0.94</v>
      </c>
      <c r="AGI160">
        <v>0.94</v>
      </c>
      <c r="AGJ160">
        <v>0.94</v>
      </c>
      <c r="AGK160">
        <v>0.94</v>
      </c>
      <c r="AGL160">
        <v>0.94</v>
      </c>
      <c r="AGM160">
        <v>0.94</v>
      </c>
      <c r="AGN160">
        <v>0.94</v>
      </c>
      <c r="AGO160">
        <v>0.94</v>
      </c>
      <c r="AGP160">
        <v>0.94</v>
      </c>
      <c r="AGQ160">
        <v>0.94</v>
      </c>
      <c r="AGR160">
        <v>0.94</v>
      </c>
      <c r="AGS160">
        <v>0.94</v>
      </c>
      <c r="AGT160">
        <v>0.94</v>
      </c>
      <c r="AGU160">
        <v>0.94</v>
      </c>
      <c r="AGV160">
        <v>0.94</v>
      </c>
      <c r="AGW160">
        <v>0.94</v>
      </c>
      <c r="AGX160">
        <v>0.94</v>
      </c>
      <c r="AGY160">
        <v>0.94</v>
      </c>
      <c r="AGZ160">
        <v>0.94</v>
      </c>
      <c r="AHA160">
        <v>0.94</v>
      </c>
      <c r="AHB160">
        <v>0.94</v>
      </c>
      <c r="AHC160">
        <v>0.94</v>
      </c>
      <c r="AHD160">
        <v>0.94</v>
      </c>
      <c r="AHE160">
        <v>0.94</v>
      </c>
      <c r="AHF160">
        <v>0.94</v>
      </c>
      <c r="AHG160">
        <v>0.94</v>
      </c>
      <c r="AHH160">
        <v>0.94</v>
      </c>
      <c r="AHI160">
        <v>0.94</v>
      </c>
      <c r="AHJ160">
        <v>0.94</v>
      </c>
      <c r="AHK160">
        <v>0.94</v>
      </c>
      <c r="AHL160">
        <v>0.94</v>
      </c>
      <c r="AHM160">
        <v>0.94</v>
      </c>
      <c r="AHN160">
        <v>0.94</v>
      </c>
      <c r="AHO160">
        <v>0.94</v>
      </c>
      <c r="AHP160">
        <v>0.94</v>
      </c>
      <c r="AHQ160">
        <v>0.94</v>
      </c>
      <c r="AHR160">
        <v>0.94</v>
      </c>
      <c r="AHS160">
        <v>0.94</v>
      </c>
      <c r="AHT160">
        <v>0.94</v>
      </c>
      <c r="AHU160">
        <v>0.94</v>
      </c>
      <c r="AHV160">
        <v>0.94</v>
      </c>
      <c r="AHW160">
        <v>0.94</v>
      </c>
      <c r="AHX160">
        <v>0.94</v>
      </c>
      <c r="AHY160">
        <v>0.94</v>
      </c>
      <c r="AHZ160">
        <v>0.94</v>
      </c>
      <c r="AIA160">
        <v>0.94</v>
      </c>
      <c r="AIB160">
        <v>0.94</v>
      </c>
      <c r="AIC160">
        <v>0.94</v>
      </c>
      <c r="AID160">
        <v>0.94</v>
      </c>
      <c r="AIE160">
        <v>0.94</v>
      </c>
      <c r="AIF160">
        <v>0.94</v>
      </c>
      <c r="AIG160">
        <v>0.94</v>
      </c>
      <c r="AIH160">
        <v>0.94</v>
      </c>
      <c r="AII160">
        <v>0.94</v>
      </c>
      <c r="AIJ160">
        <v>0.94</v>
      </c>
      <c r="AIK160">
        <v>0.94</v>
      </c>
      <c r="AIL160">
        <v>0.94</v>
      </c>
      <c r="AIM160">
        <v>0.94</v>
      </c>
      <c r="AIN160">
        <v>0.94</v>
      </c>
      <c r="AIO160">
        <v>0.94</v>
      </c>
      <c r="AIP160">
        <v>0.94</v>
      </c>
      <c r="AIQ160">
        <v>0.94</v>
      </c>
      <c r="AIR160">
        <v>0.94</v>
      </c>
      <c r="AIS160">
        <v>0.94</v>
      </c>
      <c r="AIT160">
        <v>0.94</v>
      </c>
      <c r="AIU160">
        <v>0.94</v>
      </c>
      <c r="AIV160">
        <v>0.94</v>
      </c>
      <c r="AIW160">
        <v>0.94</v>
      </c>
      <c r="AIX160">
        <v>0.94</v>
      </c>
      <c r="AIY160">
        <v>0.94</v>
      </c>
      <c r="AIZ160">
        <v>0.94</v>
      </c>
      <c r="AJA160">
        <v>0.94</v>
      </c>
      <c r="AJB160">
        <v>0.94</v>
      </c>
      <c r="AJC160">
        <v>0.94</v>
      </c>
      <c r="AJD160">
        <v>0.94</v>
      </c>
      <c r="AJE160">
        <v>0.94</v>
      </c>
      <c r="AJF160">
        <v>0.94</v>
      </c>
      <c r="AJG160">
        <v>0.94</v>
      </c>
      <c r="AJH160">
        <v>0.94</v>
      </c>
      <c r="AJI160">
        <v>0.94</v>
      </c>
      <c r="AJJ160">
        <v>0.94</v>
      </c>
      <c r="AJK160">
        <v>0.94</v>
      </c>
      <c r="AJL160">
        <v>0.94</v>
      </c>
      <c r="AJM160">
        <v>0.94</v>
      </c>
      <c r="AJN160">
        <v>0.94</v>
      </c>
      <c r="AJO160">
        <v>0.94</v>
      </c>
      <c r="AJP160">
        <v>0.94</v>
      </c>
      <c r="AJQ160">
        <v>0.94</v>
      </c>
      <c r="AKA160">
        <v>0.94</v>
      </c>
      <c r="AKB160">
        <v>0.94</v>
      </c>
      <c r="AKC160">
        <v>0.94</v>
      </c>
      <c r="AKD160">
        <v>0.94</v>
      </c>
      <c r="AKE160">
        <v>0.94</v>
      </c>
      <c r="AKF160">
        <v>0.94</v>
      </c>
      <c r="AKG160">
        <v>0.94</v>
      </c>
    </row>
    <row r="161" spans="1:970" ht="14.4" customHeight="1" x14ac:dyDescent="0.55000000000000004">
      <c r="A161" t="s">
        <v>676</v>
      </c>
      <c r="B161" t="s">
        <v>626</v>
      </c>
      <c r="C161" s="1" t="s">
        <v>801</v>
      </c>
      <c r="IX161">
        <v>0.89</v>
      </c>
      <c r="IY161">
        <v>0.89</v>
      </c>
      <c r="IZ161">
        <v>0.89</v>
      </c>
      <c r="JA161">
        <v>0.89</v>
      </c>
      <c r="JB161">
        <v>0.89</v>
      </c>
      <c r="JC161">
        <v>0.89</v>
      </c>
      <c r="JD161">
        <v>0.89</v>
      </c>
      <c r="JE161">
        <v>0.89</v>
      </c>
      <c r="JF161">
        <v>0.89</v>
      </c>
      <c r="JG161">
        <v>0.89</v>
      </c>
      <c r="JH161">
        <v>0.89</v>
      </c>
      <c r="JI161">
        <v>0.89</v>
      </c>
      <c r="JJ161">
        <v>0.89</v>
      </c>
      <c r="JK161">
        <v>0.89</v>
      </c>
      <c r="JL161">
        <v>0.89</v>
      </c>
      <c r="JM161">
        <v>0.89</v>
      </c>
      <c r="JN161">
        <v>0.89</v>
      </c>
      <c r="JO161">
        <v>0.89</v>
      </c>
      <c r="JP161">
        <v>0.89</v>
      </c>
      <c r="JQ161">
        <v>0.89</v>
      </c>
      <c r="JR161">
        <v>0.89</v>
      </c>
      <c r="JS161">
        <v>0.89</v>
      </c>
      <c r="JT161">
        <v>0.89</v>
      </c>
      <c r="JU161">
        <v>0.89</v>
      </c>
      <c r="JV161">
        <v>0.89</v>
      </c>
      <c r="JW161">
        <v>0.89</v>
      </c>
      <c r="JX161">
        <v>0.89</v>
      </c>
      <c r="JY161">
        <v>0.89</v>
      </c>
      <c r="JZ161">
        <v>0.89</v>
      </c>
      <c r="KA161">
        <v>0.89</v>
      </c>
      <c r="KB161">
        <v>0.89</v>
      </c>
      <c r="KC161">
        <v>0.89</v>
      </c>
      <c r="KD161">
        <v>0.89</v>
      </c>
      <c r="KE161">
        <v>0.89</v>
      </c>
      <c r="KF161">
        <v>0.89</v>
      </c>
      <c r="KG161">
        <v>0.89</v>
      </c>
      <c r="KH161">
        <v>0.89</v>
      </c>
      <c r="KI161">
        <v>0.89</v>
      </c>
      <c r="KJ161">
        <v>0.89</v>
      </c>
      <c r="KK161">
        <v>0.89</v>
      </c>
      <c r="KL161">
        <v>0.89</v>
      </c>
      <c r="KM161">
        <v>0.89</v>
      </c>
      <c r="KN161">
        <v>0.89</v>
      </c>
      <c r="KO161">
        <v>0.89</v>
      </c>
      <c r="KP161">
        <v>0.89</v>
      </c>
      <c r="KQ161">
        <v>0.89</v>
      </c>
      <c r="KR161">
        <v>0.89</v>
      </c>
      <c r="KS161">
        <v>0.89</v>
      </c>
      <c r="KT161">
        <v>0.89</v>
      </c>
      <c r="KU161">
        <v>0.89</v>
      </c>
      <c r="KV161">
        <v>0.89</v>
      </c>
      <c r="KW161">
        <v>0.89</v>
      </c>
      <c r="KX161">
        <v>0.89</v>
      </c>
      <c r="KY161">
        <v>0.89</v>
      </c>
      <c r="KZ161">
        <v>0.89</v>
      </c>
      <c r="LA161">
        <v>0.89</v>
      </c>
      <c r="LB161">
        <v>0.89</v>
      </c>
      <c r="LC161">
        <v>0.89</v>
      </c>
      <c r="LD161">
        <v>0.89</v>
      </c>
      <c r="LE161">
        <v>0.89</v>
      </c>
      <c r="LF161">
        <v>0.89</v>
      </c>
      <c r="LG161">
        <v>0.89</v>
      </c>
      <c r="LH161">
        <v>0.89</v>
      </c>
      <c r="LI161">
        <v>0.89</v>
      </c>
      <c r="LJ161">
        <v>0.89</v>
      </c>
      <c r="LK161">
        <v>0.89</v>
      </c>
      <c r="LL161">
        <v>0.89</v>
      </c>
      <c r="LM161">
        <v>0.89</v>
      </c>
      <c r="LN161">
        <v>0.89</v>
      </c>
      <c r="LO161">
        <v>0.89</v>
      </c>
      <c r="LP161">
        <v>0.89</v>
      </c>
      <c r="LQ161">
        <v>0.89</v>
      </c>
      <c r="LR161">
        <v>0.89</v>
      </c>
      <c r="LS161">
        <v>0.89</v>
      </c>
      <c r="LT161">
        <v>0.89</v>
      </c>
      <c r="LU161">
        <v>0.89</v>
      </c>
      <c r="LV161">
        <v>0.89</v>
      </c>
      <c r="LW161">
        <v>0.89</v>
      </c>
      <c r="LX161">
        <v>0.89</v>
      </c>
      <c r="LY161">
        <v>0.89</v>
      </c>
      <c r="LZ161">
        <v>0.89</v>
      </c>
      <c r="MA161">
        <v>0.89</v>
      </c>
      <c r="MB161">
        <v>0.89</v>
      </c>
      <c r="MC161">
        <v>0.89</v>
      </c>
      <c r="MD161">
        <v>0.89</v>
      </c>
      <c r="ME161">
        <v>0.89</v>
      </c>
      <c r="MF161">
        <v>0.89</v>
      </c>
      <c r="MG161">
        <v>0.89</v>
      </c>
      <c r="MH161">
        <v>0.89</v>
      </c>
      <c r="MI161">
        <v>0.89</v>
      </c>
      <c r="MJ161">
        <v>0.89</v>
      </c>
      <c r="MK161">
        <v>0.89</v>
      </c>
      <c r="ML161">
        <v>0.89</v>
      </c>
      <c r="MM161">
        <v>0.89</v>
      </c>
      <c r="MN161">
        <v>0.89</v>
      </c>
      <c r="MO161">
        <v>0.89</v>
      </c>
      <c r="MP161">
        <v>0.89</v>
      </c>
      <c r="MQ161">
        <v>0.89</v>
      </c>
      <c r="MR161">
        <v>0.89</v>
      </c>
      <c r="MS161">
        <v>0.89</v>
      </c>
      <c r="MT161">
        <v>0.89</v>
      </c>
      <c r="MU161">
        <v>0.89</v>
      </c>
      <c r="MV161">
        <v>0.89</v>
      </c>
      <c r="MW161">
        <v>0.89</v>
      </c>
      <c r="MX161">
        <v>0.89</v>
      </c>
      <c r="MY161">
        <v>0.89</v>
      </c>
      <c r="MZ161">
        <v>0.89</v>
      </c>
      <c r="NA161">
        <v>0.89</v>
      </c>
      <c r="NB161">
        <v>0.89</v>
      </c>
      <c r="NC161">
        <v>0.89</v>
      </c>
      <c r="ND161">
        <v>0.89</v>
      </c>
      <c r="NE161">
        <v>0.89</v>
      </c>
      <c r="NF161">
        <v>0.89</v>
      </c>
      <c r="NG161">
        <v>0.89</v>
      </c>
      <c r="NH161">
        <v>0.89</v>
      </c>
      <c r="NI161">
        <v>0.89</v>
      </c>
      <c r="NJ161">
        <v>0.89</v>
      </c>
      <c r="NK161">
        <v>0.89</v>
      </c>
      <c r="NL161">
        <v>0.89</v>
      </c>
      <c r="NM161">
        <v>0.89</v>
      </c>
      <c r="NN161">
        <v>0.89</v>
      </c>
      <c r="NO161">
        <v>0.89</v>
      </c>
      <c r="NP161">
        <v>0.89</v>
      </c>
      <c r="NQ161">
        <v>0.89</v>
      </c>
      <c r="NR161">
        <v>0.89</v>
      </c>
      <c r="NS161">
        <v>0.89</v>
      </c>
      <c r="NT161">
        <v>0.89</v>
      </c>
      <c r="NU161">
        <v>0.89</v>
      </c>
      <c r="NV161">
        <v>0.89</v>
      </c>
      <c r="NW161">
        <v>0.89</v>
      </c>
      <c r="NX161">
        <v>0.89</v>
      </c>
      <c r="NY161">
        <v>0.89</v>
      </c>
      <c r="NZ161">
        <v>0.89</v>
      </c>
      <c r="OA161">
        <v>0.89</v>
      </c>
      <c r="OB161">
        <v>0.89</v>
      </c>
      <c r="OC161">
        <v>0.89</v>
      </c>
      <c r="OD161">
        <v>0.89</v>
      </c>
      <c r="OE161">
        <v>0.89</v>
      </c>
      <c r="OF161">
        <v>0.89</v>
      </c>
      <c r="OG161">
        <v>0.89</v>
      </c>
      <c r="OH161">
        <v>0.89</v>
      </c>
      <c r="OI161">
        <v>0.89</v>
      </c>
      <c r="OJ161">
        <v>0.89</v>
      </c>
      <c r="OK161">
        <v>0.89</v>
      </c>
      <c r="OL161">
        <v>0.89</v>
      </c>
      <c r="OM161">
        <v>0.89</v>
      </c>
      <c r="ON161">
        <v>0.89</v>
      </c>
      <c r="OO161">
        <v>0.89</v>
      </c>
      <c r="OP161">
        <v>0.89</v>
      </c>
      <c r="OQ161">
        <v>0.89</v>
      </c>
      <c r="OR161">
        <v>0.89</v>
      </c>
      <c r="OS161">
        <v>0.89</v>
      </c>
      <c r="OT161">
        <v>0.89</v>
      </c>
      <c r="OU161">
        <v>0.89</v>
      </c>
      <c r="OV161">
        <v>0.89</v>
      </c>
      <c r="OW161">
        <v>0.89</v>
      </c>
      <c r="OX161">
        <v>0.89</v>
      </c>
      <c r="OY161">
        <v>0.89</v>
      </c>
      <c r="OZ161">
        <v>0.89</v>
      </c>
      <c r="PA161">
        <v>0.89</v>
      </c>
      <c r="PB161">
        <v>0.89</v>
      </c>
      <c r="PC161">
        <v>0.89</v>
      </c>
      <c r="PD161">
        <v>0.89</v>
      </c>
      <c r="PE161">
        <v>0.89</v>
      </c>
      <c r="PF161">
        <v>0.89</v>
      </c>
      <c r="PG161">
        <v>0.89</v>
      </c>
      <c r="PH161">
        <v>0.89</v>
      </c>
      <c r="PI161">
        <v>0.89</v>
      </c>
      <c r="PJ161">
        <v>0.89</v>
      </c>
      <c r="PK161">
        <v>0.89</v>
      </c>
      <c r="PL161">
        <v>0.89</v>
      </c>
      <c r="PM161">
        <v>0.89</v>
      </c>
      <c r="PN161">
        <v>0.89</v>
      </c>
      <c r="PO161">
        <v>0.89</v>
      </c>
      <c r="PP161">
        <v>0.89</v>
      </c>
      <c r="PQ161">
        <v>0.89</v>
      </c>
      <c r="PR161">
        <v>0.89</v>
      </c>
      <c r="PS161">
        <v>0.89</v>
      </c>
      <c r="PT161">
        <v>0.89</v>
      </c>
      <c r="PU161">
        <v>0.89</v>
      </c>
      <c r="PV161">
        <v>0.89</v>
      </c>
      <c r="PW161">
        <v>0.89</v>
      </c>
      <c r="PX161">
        <v>0.89</v>
      </c>
      <c r="PY161">
        <v>0.89</v>
      </c>
      <c r="PZ161">
        <v>0.89</v>
      </c>
      <c r="QA161">
        <v>0.89</v>
      </c>
      <c r="QB161">
        <v>0.89</v>
      </c>
      <c r="QC161">
        <v>0.89</v>
      </c>
      <c r="QD161">
        <v>0.89</v>
      </c>
      <c r="QE161">
        <v>0.89</v>
      </c>
      <c r="QF161">
        <v>0.89</v>
      </c>
      <c r="QG161">
        <v>0.89</v>
      </c>
      <c r="QH161">
        <v>0.89</v>
      </c>
      <c r="QI161">
        <v>0.89</v>
      </c>
      <c r="QJ161">
        <v>0.89</v>
      </c>
      <c r="QK161">
        <v>0.89</v>
      </c>
      <c r="QL161">
        <v>0.89</v>
      </c>
      <c r="QM161">
        <v>0.89</v>
      </c>
      <c r="QN161">
        <v>0.89</v>
      </c>
      <c r="QO161">
        <v>0.89</v>
      </c>
      <c r="QP161">
        <v>0.89</v>
      </c>
      <c r="QQ161">
        <v>0.89</v>
      </c>
      <c r="QR161">
        <v>0.89</v>
      </c>
      <c r="QS161">
        <v>0.89</v>
      </c>
      <c r="QT161">
        <v>0.89</v>
      </c>
      <c r="QU161">
        <v>0.89</v>
      </c>
      <c r="QV161">
        <v>0.89</v>
      </c>
      <c r="QW161">
        <v>0.89</v>
      </c>
      <c r="QX161">
        <v>0.89</v>
      </c>
      <c r="QY161">
        <v>0.89</v>
      </c>
      <c r="QZ161">
        <v>0.89</v>
      </c>
      <c r="RA161">
        <v>0.89</v>
      </c>
      <c r="RB161">
        <v>0.89</v>
      </c>
      <c r="RC161">
        <v>0.89</v>
      </c>
      <c r="RD161">
        <v>0.89</v>
      </c>
      <c r="RE161">
        <v>0.89</v>
      </c>
      <c r="RF161">
        <v>0.89</v>
      </c>
      <c r="RG161">
        <v>0.89</v>
      </c>
      <c r="RH161">
        <v>0.89</v>
      </c>
      <c r="RI161">
        <v>0.89</v>
      </c>
      <c r="RJ161">
        <v>0.89</v>
      </c>
      <c r="RK161">
        <v>0.89</v>
      </c>
      <c r="RL161">
        <v>0.89</v>
      </c>
      <c r="RM161">
        <v>0.89</v>
      </c>
      <c r="RN161">
        <v>0.89</v>
      </c>
      <c r="RO161">
        <v>0.89</v>
      </c>
      <c r="RP161">
        <v>0.89</v>
      </c>
      <c r="RQ161">
        <v>0.89</v>
      </c>
      <c r="RR161">
        <v>0.89</v>
      </c>
      <c r="RS161">
        <v>0.89</v>
      </c>
      <c r="RT161">
        <v>0.89</v>
      </c>
      <c r="RU161">
        <v>0.89</v>
      </c>
      <c r="RV161">
        <v>0.89</v>
      </c>
      <c r="RW161">
        <v>0.89</v>
      </c>
      <c r="RX161">
        <v>0.89</v>
      </c>
      <c r="RY161">
        <v>0.89</v>
      </c>
      <c r="RZ161">
        <v>0.89</v>
      </c>
      <c r="SA161">
        <v>0.89</v>
      </c>
      <c r="SB161">
        <v>0.89</v>
      </c>
      <c r="SC161">
        <v>0.89</v>
      </c>
      <c r="SD161">
        <v>0.89</v>
      </c>
      <c r="SE161">
        <v>0.89</v>
      </c>
      <c r="SF161">
        <v>0.89</v>
      </c>
      <c r="SG161">
        <v>0.89</v>
      </c>
      <c r="SH161">
        <v>0.89</v>
      </c>
      <c r="SI161">
        <v>0.89</v>
      </c>
      <c r="SJ161">
        <v>0.89</v>
      </c>
      <c r="SK161">
        <v>0.89</v>
      </c>
      <c r="SL161">
        <v>0.89</v>
      </c>
      <c r="SM161">
        <v>0.89</v>
      </c>
      <c r="SN161">
        <v>0.89</v>
      </c>
      <c r="SO161">
        <v>0.89</v>
      </c>
      <c r="SP161">
        <v>0.89</v>
      </c>
      <c r="SQ161">
        <v>0.89</v>
      </c>
      <c r="SR161">
        <v>0.89</v>
      </c>
      <c r="SS161">
        <v>0.89</v>
      </c>
      <c r="ST161">
        <v>0.89</v>
      </c>
      <c r="SU161">
        <v>0.89</v>
      </c>
      <c r="SV161">
        <v>0.89</v>
      </c>
      <c r="SW161">
        <v>0.89</v>
      </c>
      <c r="SX161">
        <v>0.89</v>
      </c>
      <c r="SY161">
        <v>0.89</v>
      </c>
      <c r="SZ161">
        <v>0.89</v>
      </c>
      <c r="TA161">
        <v>0.89</v>
      </c>
      <c r="TB161">
        <v>0.89</v>
      </c>
      <c r="TC161">
        <v>0.89</v>
      </c>
      <c r="TD161">
        <v>0.89</v>
      </c>
      <c r="TE161">
        <v>0.89</v>
      </c>
      <c r="TF161">
        <v>0.89</v>
      </c>
      <c r="TG161">
        <v>0.89</v>
      </c>
      <c r="TH161">
        <v>0.89</v>
      </c>
      <c r="TI161">
        <v>0.89</v>
      </c>
      <c r="TJ161">
        <v>0.89</v>
      </c>
      <c r="TK161">
        <v>0.89</v>
      </c>
      <c r="TL161">
        <v>0.89</v>
      </c>
      <c r="TM161">
        <v>0.89</v>
      </c>
      <c r="TN161">
        <v>0.89</v>
      </c>
      <c r="TO161">
        <v>0.89</v>
      </c>
      <c r="TP161">
        <v>0.89</v>
      </c>
      <c r="TQ161">
        <v>0.89</v>
      </c>
      <c r="TR161">
        <v>0.89</v>
      </c>
      <c r="TS161">
        <v>0.89</v>
      </c>
      <c r="TT161">
        <v>0.89</v>
      </c>
      <c r="TU161">
        <v>0.89</v>
      </c>
      <c r="TV161">
        <v>0.89</v>
      </c>
      <c r="TW161">
        <v>0.89</v>
      </c>
      <c r="TX161">
        <v>0.89</v>
      </c>
      <c r="TY161">
        <v>0.89</v>
      </c>
      <c r="TZ161">
        <v>0.89</v>
      </c>
      <c r="UA161">
        <v>0.89</v>
      </c>
      <c r="UB161">
        <v>0.89</v>
      </c>
      <c r="UC161">
        <v>0.89</v>
      </c>
      <c r="UD161">
        <v>0.89</v>
      </c>
      <c r="UE161">
        <v>0.89</v>
      </c>
      <c r="UF161">
        <v>0.89</v>
      </c>
      <c r="UG161">
        <v>0.89</v>
      </c>
      <c r="UH161">
        <v>0.89</v>
      </c>
      <c r="UI161">
        <v>0.89</v>
      </c>
      <c r="UJ161">
        <v>0.89</v>
      </c>
      <c r="UK161">
        <v>0.89</v>
      </c>
      <c r="UL161">
        <v>0.89</v>
      </c>
      <c r="UM161">
        <v>0.89</v>
      </c>
      <c r="UN161">
        <v>0.89</v>
      </c>
      <c r="UO161">
        <v>0.89</v>
      </c>
      <c r="UP161">
        <v>0.89</v>
      </c>
      <c r="UQ161">
        <v>0.89</v>
      </c>
      <c r="UR161">
        <v>0.89</v>
      </c>
      <c r="US161">
        <v>0.89</v>
      </c>
      <c r="UT161">
        <v>0.89</v>
      </c>
      <c r="UU161">
        <v>0.89</v>
      </c>
      <c r="UV161">
        <v>0.89</v>
      </c>
      <c r="UW161">
        <v>0.89</v>
      </c>
      <c r="UX161">
        <v>0.89</v>
      </c>
      <c r="UY161">
        <v>0.89</v>
      </c>
      <c r="UZ161">
        <v>0.89</v>
      </c>
      <c r="VA161">
        <v>0.89</v>
      </c>
      <c r="VB161">
        <v>0.89</v>
      </c>
      <c r="VC161">
        <v>0.89</v>
      </c>
      <c r="VD161">
        <v>0.89</v>
      </c>
      <c r="VE161">
        <v>0.89</v>
      </c>
      <c r="VF161">
        <v>0.89</v>
      </c>
      <c r="VG161">
        <v>0.89</v>
      </c>
      <c r="VH161">
        <v>0.89</v>
      </c>
      <c r="VI161">
        <v>0.89</v>
      </c>
      <c r="VJ161">
        <v>0.89</v>
      </c>
      <c r="VK161">
        <v>0.89</v>
      </c>
      <c r="VL161">
        <v>0.89</v>
      </c>
      <c r="VM161">
        <v>0.89</v>
      </c>
      <c r="VN161">
        <v>0.89</v>
      </c>
      <c r="VO161">
        <v>0.89</v>
      </c>
      <c r="VP161">
        <v>0.89</v>
      </c>
      <c r="VQ161">
        <v>0.89</v>
      </c>
      <c r="VR161">
        <v>0.89</v>
      </c>
      <c r="VS161">
        <v>0.89</v>
      </c>
      <c r="VT161">
        <v>0.89</v>
      </c>
      <c r="VU161">
        <v>0.89</v>
      </c>
      <c r="VV161">
        <v>0.89</v>
      </c>
      <c r="VW161">
        <v>0.89</v>
      </c>
      <c r="VX161">
        <v>0.89</v>
      </c>
      <c r="VY161">
        <v>0.89</v>
      </c>
      <c r="VZ161">
        <v>0.89</v>
      </c>
      <c r="WA161">
        <v>0.89</v>
      </c>
      <c r="WB161">
        <v>0.89</v>
      </c>
      <c r="WC161">
        <v>0.89</v>
      </c>
      <c r="WD161">
        <v>0.89</v>
      </c>
      <c r="WE161">
        <v>0.89</v>
      </c>
      <c r="WF161">
        <v>0.89</v>
      </c>
      <c r="WG161">
        <v>0.89</v>
      </c>
      <c r="WH161">
        <v>0.89</v>
      </c>
      <c r="WI161">
        <v>0.89</v>
      </c>
      <c r="WJ161">
        <v>0.89</v>
      </c>
      <c r="WK161">
        <v>0.89</v>
      </c>
      <c r="WL161">
        <v>0.89</v>
      </c>
      <c r="WM161">
        <v>0.89</v>
      </c>
      <c r="WN161">
        <v>0.89</v>
      </c>
      <c r="WO161">
        <v>0.89</v>
      </c>
      <c r="WP161">
        <v>0.89</v>
      </c>
      <c r="WQ161">
        <v>0.89</v>
      </c>
      <c r="WR161">
        <v>0.89</v>
      </c>
      <c r="WS161">
        <v>0.89</v>
      </c>
      <c r="WT161">
        <v>0.89</v>
      </c>
      <c r="WU161">
        <v>0.89</v>
      </c>
      <c r="WV161">
        <v>0.89</v>
      </c>
      <c r="WW161">
        <v>0.89</v>
      </c>
      <c r="WX161">
        <v>0.89</v>
      </c>
      <c r="WY161">
        <v>0.89</v>
      </c>
      <c r="WZ161">
        <v>0.89</v>
      </c>
      <c r="XA161">
        <v>0.89</v>
      </c>
      <c r="XB161">
        <v>0.89</v>
      </c>
      <c r="XC161">
        <v>0.89</v>
      </c>
      <c r="XD161">
        <v>0.89</v>
      </c>
      <c r="XE161">
        <v>0.89</v>
      </c>
      <c r="XF161">
        <v>0.89</v>
      </c>
      <c r="XG161">
        <v>0.89</v>
      </c>
      <c r="XH161">
        <v>0.89</v>
      </c>
      <c r="XI161">
        <v>0.89</v>
      </c>
      <c r="XJ161">
        <v>0.89</v>
      </c>
      <c r="XK161">
        <v>0.89</v>
      </c>
      <c r="XL161">
        <v>0.89</v>
      </c>
      <c r="XM161">
        <v>0.89</v>
      </c>
      <c r="XN161">
        <v>0.89</v>
      </c>
      <c r="XO161">
        <v>0.89</v>
      </c>
      <c r="XP161">
        <v>0.89</v>
      </c>
      <c r="XQ161">
        <v>0.89</v>
      </c>
      <c r="XR161">
        <v>0.89</v>
      </c>
      <c r="XS161">
        <v>0.89</v>
      </c>
      <c r="XT161">
        <v>0.89</v>
      </c>
      <c r="XU161">
        <v>0.89</v>
      </c>
      <c r="XV161">
        <v>0.89</v>
      </c>
      <c r="XW161">
        <v>0.89</v>
      </c>
      <c r="XX161">
        <v>0.89</v>
      </c>
      <c r="XY161">
        <v>0.89</v>
      </c>
      <c r="XZ161">
        <v>0.89</v>
      </c>
      <c r="YA161">
        <v>0.89</v>
      </c>
      <c r="YB161">
        <v>0.89</v>
      </c>
      <c r="YC161">
        <v>0.89</v>
      </c>
      <c r="YD161">
        <v>0.89</v>
      </c>
      <c r="YE161">
        <v>0.89</v>
      </c>
      <c r="YF161">
        <v>0.89</v>
      </c>
      <c r="YG161">
        <v>0.89</v>
      </c>
      <c r="YH161">
        <v>0.89</v>
      </c>
      <c r="YI161">
        <v>0.89</v>
      </c>
      <c r="YJ161">
        <v>0.89</v>
      </c>
      <c r="YK161">
        <v>0.89</v>
      </c>
      <c r="YL161">
        <v>0.89</v>
      </c>
      <c r="YM161">
        <v>0.89</v>
      </c>
      <c r="YN161">
        <v>0.89</v>
      </c>
      <c r="YO161">
        <v>0.89</v>
      </c>
      <c r="YP161">
        <v>0.89</v>
      </c>
      <c r="YQ161">
        <v>0.89</v>
      </c>
      <c r="YR161">
        <v>0.89</v>
      </c>
      <c r="YS161">
        <v>0.89</v>
      </c>
      <c r="YT161">
        <v>0.89</v>
      </c>
      <c r="YU161">
        <v>0.89</v>
      </c>
      <c r="YV161">
        <v>0.89</v>
      </c>
      <c r="YW161">
        <v>0.89</v>
      </c>
      <c r="YX161">
        <v>0.89</v>
      </c>
      <c r="YY161">
        <v>0.89</v>
      </c>
      <c r="YZ161">
        <v>0.89</v>
      </c>
      <c r="ZA161">
        <v>0.89</v>
      </c>
      <c r="ZB161">
        <v>0.89</v>
      </c>
      <c r="ZC161">
        <v>0.89</v>
      </c>
      <c r="ZD161">
        <v>0.89</v>
      </c>
      <c r="ZE161">
        <v>0.89</v>
      </c>
      <c r="ZF161">
        <v>0.89</v>
      </c>
      <c r="ZG161">
        <v>0.89</v>
      </c>
      <c r="ZH161">
        <v>0.89</v>
      </c>
      <c r="ZI161">
        <v>0.89</v>
      </c>
      <c r="ZJ161">
        <v>0.89</v>
      </c>
      <c r="ZK161">
        <v>0.89</v>
      </c>
      <c r="ZL161">
        <v>0.89</v>
      </c>
      <c r="ZM161">
        <v>0.89</v>
      </c>
      <c r="ZN161">
        <v>0.89</v>
      </c>
      <c r="ZO161">
        <v>0.89</v>
      </c>
      <c r="ZP161">
        <v>0.89</v>
      </c>
      <c r="ZQ161">
        <v>0.89</v>
      </c>
      <c r="ZR161">
        <v>0.89</v>
      </c>
      <c r="ZS161">
        <v>0.89</v>
      </c>
      <c r="ZT161">
        <v>0.89</v>
      </c>
      <c r="ZU161">
        <v>0.89</v>
      </c>
      <c r="ZV161">
        <v>0.89</v>
      </c>
      <c r="ZW161">
        <v>0.89</v>
      </c>
      <c r="ZX161">
        <v>0.89</v>
      </c>
      <c r="ZY161">
        <v>0.89</v>
      </c>
      <c r="ZZ161">
        <v>0.89</v>
      </c>
      <c r="AAA161">
        <v>0.89</v>
      </c>
      <c r="AAB161">
        <v>0.89</v>
      </c>
      <c r="AAC161">
        <v>0.89</v>
      </c>
      <c r="AAD161">
        <v>0.89</v>
      </c>
      <c r="AAE161">
        <v>0.89</v>
      </c>
      <c r="AAF161">
        <v>0.89</v>
      </c>
      <c r="AAG161">
        <v>0.89</v>
      </c>
      <c r="AAH161">
        <v>0.89</v>
      </c>
      <c r="AAI161">
        <v>0.89</v>
      </c>
      <c r="AAJ161">
        <v>0.89</v>
      </c>
      <c r="AAK161">
        <v>0.89</v>
      </c>
      <c r="AAL161">
        <v>0.89</v>
      </c>
      <c r="AAM161">
        <v>0.89</v>
      </c>
      <c r="AAN161">
        <v>0.89</v>
      </c>
      <c r="AAO161">
        <v>0.89</v>
      </c>
      <c r="AAP161">
        <v>0.89</v>
      </c>
      <c r="AAQ161">
        <v>0.89</v>
      </c>
      <c r="AAR161">
        <v>0.89</v>
      </c>
      <c r="AAS161">
        <v>0.89</v>
      </c>
      <c r="AAT161">
        <v>0.89</v>
      </c>
      <c r="AAU161">
        <v>0.89</v>
      </c>
      <c r="AAV161">
        <v>0.89</v>
      </c>
      <c r="AAW161">
        <v>0.89</v>
      </c>
      <c r="AAX161">
        <v>0.89</v>
      </c>
      <c r="AAY161">
        <v>0.89</v>
      </c>
      <c r="AAZ161">
        <v>0.89</v>
      </c>
      <c r="ABA161">
        <v>0.89</v>
      </c>
      <c r="ABB161">
        <v>0.89</v>
      </c>
      <c r="ABC161">
        <v>0.89</v>
      </c>
      <c r="ABD161">
        <v>0.89</v>
      </c>
      <c r="ABE161">
        <v>0.89</v>
      </c>
      <c r="ABF161">
        <v>0.89</v>
      </c>
      <c r="ABG161">
        <v>0.89</v>
      </c>
      <c r="ABH161">
        <v>0.89</v>
      </c>
      <c r="ABI161">
        <v>0.89</v>
      </c>
      <c r="ABJ161">
        <v>0.89</v>
      </c>
      <c r="ABK161">
        <v>0.89</v>
      </c>
      <c r="ABL161">
        <v>0.89</v>
      </c>
      <c r="ABM161">
        <v>0.89</v>
      </c>
      <c r="ABN161">
        <v>0.89</v>
      </c>
      <c r="ABO161">
        <v>0.89</v>
      </c>
      <c r="ABP161">
        <v>0.89</v>
      </c>
      <c r="ABQ161">
        <v>0.89</v>
      </c>
      <c r="ABR161">
        <v>0.89</v>
      </c>
      <c r="ABS161">
        <v>0.89</v>
      </c>
      <c r="ABT161">
        <v>0.89</v>
      </c>
      <c r="ABU161">
        <v>0.89</v>
      </c>
      <c r="ABV161">
        <v>0.89</v>
      </c>
      <c r="ABW161">
        <v>0.89</v>
      </c>
      <c r="ABX161">
        <v>0.89</v>
      </c>
      <c r="ABY161">
        <v>0.89</v>
      </c>
      <c r="ABZ161">
        <v>0.89</v>
      </c>
      <c r="ACA161">
        <v>0.89</v>
      </c>
      <c r="ACB161">
        <v>0.89</v>
      </c>
      <c r="ACC161">
        <v>0.89</v>
      </c>
      <c r="ACD161">
        <v>0.89</v>
      </c>
      <c r="ACE161">
        <v>0.89</v>
      </c>
      <c r="ACF161">
        <v>0.89</v>
      </c>
      <c r="ACG161">
        <v>0.89</v>
      </c>
      <c r="ACH161">
        <v>0.89</v>
      </c>
      <c r="ACI161">
        <v>0.89</v>
      </c>
      <c r="ACJ161">
        <v>0.89</v>
      </c>
      <c r="ACK161">
        <v>0.89</v>
      </c>
      <c r="ACL161">
        <v>0.89</v>
      </c>
      <c r="ACM161">
        <v>0.89</v>
      </c>
      <c r="ACN161">
        <v>0.89</v>
      </c>
      <c r="ACO161">
        <v>0.89</v>
      </c>
      <c r="ACP161">
        <v>0.89</v>
      </c>
      <c r="ACQ161">
        <v>0.89</v>
      </c>
      <c r="ACR161">
        <v>0.89</v>
      </c>
      <c r="ACS161">
        <v>0.89</v>
      </c>
      <c r="ACT161">
        <v>0.89</v>
      </c>
      <c r="ACU161">
        <v>0.89</v>
      </c>
      <c r="ACV161">
        <v>0.89</v>
      </c>
      <c r="ACW161">
        <v>0.89</v>
      </c>
      <c r="ACX161">
        <v>0.89</v>
      </c>
      <c r="ACY161">
        <v>0.89</v>
      </c>
      <c r="ACZ161">
        <v>0.89</v>
      </c>
      <c r="ADA161">
        <v>0.89</v>
      </c>
      <c r="ADB161">
        <v>0.89</v>
      </c>
      <c r="ADC161">
        <v>0.89</v>
      </c>
      <c r="ADD161">
        <v>0.89</v>
      </c>
      <c r="ADE161">
        <v>0.89</v>
      </c>
      <c r="ADF161">
        <v>0.89</v>
      </c>
      <c r="ADG161">
        <v>0.89</v>
      </c>
      <c r="ADH161">
        <v>0.89</v>
      </c>
      <c r="ADI161">
        <v>0.89</v>
      </c>
      <c r="ADJ161">
        <v>0.89</v>
      </c>
      <c r="ADK161">
        <v>0.89</v>
      </c>
      <c r="ADL161">
        <v>0.89</v>
      </c>
      <c r="ADM161">
        <v>0.89</v>
      </c>
      <c r="ADN161">
        <v>0.89</v>
      </c>
      <c r="ADO161">
        <v>0.89</v>
      </c>
      <c r="ADP161">
        <v>0.89</v>
      </c>
      <c r="ADQ161">
        <v>0.89</v>
      </c>
      <c r="ADR161">
        <v>0.89</v>
      </c>
      <c r="ADS161">
        <v>0.89</v>
      </c>
      <c r="ADT161">
        <v>0.89</v>
      </c>
      <c r="ADU161">
        <v>0.89</v>
      </c>
      <c r="ADV161">
        <v>0.89</v>
      </c>
      <c r="ADW161">
        <v>0.89</v>
      </c>
      <c r="ADX161">
        <v>0.89</v>
      </c>
      <c r="ADY161">
        <v>0.89</v>
      </c>
      <c r="ADZ161">
        <v>0.89</v>
      </c>
      <c r="AEA161">
        <v>0.89</v>
      </c>
      <c r="AEB161">
        <v>0.89</v>
      </c>
      <c r="AEC161">
        <v>0.89</v>
      </c>
      <c r="AED161">
        <v>0.89</v>
      </c>
      <c r="AEE161">
        <v>0.89</v>
      </c>
      <c r="AEF161">
        <v>0.89</v>
      </c>
      <c r="AEG161">
        <v>0.89</v>
      </c>
      <c r="AEH161">
        <v>0.89</v>
      </c>
      <c r="AEI161">
        <v>0.89</v>
      </c>
      <c r="AEJ161">
        <v>0.89</v>
      </c>
      <c r="AEK161">
        <v>0.89</v>
      </c>
      <c r="AEL161">
        <v>0.89</v>
      </c>
      <c r="AEM161">
        <v>0.89</v>
      </c>
      <c r="AEN161">
        <v>0.89</v>
      </c>
      <c r="AEO161">
        <v>0.89</v>
      </c>
      <c r="AEP161">
        <v>0.89</v>
      </c>
      <c r="AEQ161">
        <v>0.89</v>
      </c>
      <c r="AER161">
        <v>0.89</v>
      </c>
      <c r="AES161">
        <v>0.89</v>
      </c>
      <c r="AET161">
        <v>0.89</v>
      </c>
      <c r="AEU161">
        <v>0.89</v>
      </c>
      <c r="AEV161">
        <v>0.89</v>
      </c>
      <c r="AEW161">
        <v>0.89</v>
      </c>
      <c r="AEX161">
        <v>0.89</v>
      </c>
      <c r="AEY161">
        <v>0.89</v>
      </c>
      <c r="AEZ161">
        <v>0.89</v>
      </c>
      <c r="AFA161">
        <v>0.89</v>
      </c>
      <c r="AFB161">
        <v>0.89</v>
      </c>
      <c r="AFC161">
        <v>0.89</v>
      </c>
      <c r="AFD161">
        <v>0.89</v>
      </c>
      <c r="AFE161">
        <v>0.89</v>
      </c>
      <c r="AFF161">
        <v>0.89</v>
      </c>
      <c r="AFG161">
        <v>0.89</v>
      </c>
      <c r="AFH161">
        <v>0.89</v>
      </c>
      <c r="AFI161">
        <v>0.89</v>
      </c>
      <c r="AFJ161">
        <v>0.89</v>
      </c>
      <c r="AFK161">
        <v>0.89</v>
      </c>
      <c r="AFL161">
        <v>0.89</v>
      </c>
      <c r="AFM161">
        <v>0.89</v>
      </c>
      <c r="AFN161">
        <v>0.89</v>
      </c>
      <c r="AFO161">
        <v>0.89</v>
      </c>
      <c r="AFP161">
        <v>0.89</v>
      </c>
      <c r="AFQ161">
        <v>0.89</v>
      </c>
      <c r="AFR161">
        <v>0.89</v>
      </c>
      <c r="AFS161">
        <v>0.89</v>
      </c>
      <c r="AFT161">
        <v>0.89</v>
      </c>
      <c r="AFU161">
        <v>0.89</v>
      </c>
      <c r="AFV161">
        <v>0.89</v>
      </c>
      <c r="AFW161">
        <v>0.89</v>
      </c>
      <c r="AFX161">
        <v>0.89</v>
      </c>
      <c r="AFY161">
        <v>0.89</v>
      </c>
      <c r="AFZ161">
        <v>0.89</v>
      </c>
      <c r="AGA161">
        <v>0.89</v>
      </c>
      <c r="AGB161">
        <v>0.89</v>
      </c>
      <c r="AGC161">
        <v>0.89</v>
      </c>
      <c r="AGD161">
        <v>0.89</v>
      </c>
      <c r="AGE161">
        <v>0.89</v>
      </c>
      <c r="AGF161">
        <v>0.89</v>
      </c>
      <c r="AGG161">
        <v>0.89</v>
      </c>
      <c r="AGH161">
        <v>0.89</v>
      </c>
      <c r="AGI161">
        <v>0.89</v>
      </c>
      <c r="AGJ161">
        <v>0.89</v>
      </c>
      <c r="AGK161">
        <v>0.89</v>
      </c>
      <c r="AGL161">
        <v>0.89</v>
      </c>
      <c r="AGM161">
        <v>0.89</v>
      </c>
      <c r="AGN161">
        <v>0.89</v>
      </c>
      <c r="AGO161">
        <v>0.89</v>
      </c>
      <c r="AGP161">
        <v>0.89</v>
      </c>
      <c r="AGQ161">
        <v>0.89</v>
      </c>
      <c r="AGR161">
        <v>0.89</v>
      </c>
      <c r="AGS161">
        <v>0.89</v>
      </c>
      <c r="AGT161">
        <v>0.89</v>
      </c>
      <c r="AGU161">
        <v>0.89</v>
      </c>
      <c r="AGV161">
        <v>0.89</v>
      </c>
      <c r="AGW161">
        <v>0.89</v>
      </c>
      <c r="AGX161">
        <v>0.89</v>
      </c>
      <c r="AGY161">
        <v>0.89</v>
      </c>
      <c r="AGZ161">
        <v>0.89</v>
      </c>
      <c r="AHA161">
        <v>0.89</v>
      </c>
      <c r="AHB161">
        <v>0.89</v>
      </c>
      <c r="AHC161">
        <v>0.89</v>
      </c>
      <c r="AHD161">
        <v>0.89</v>
      </c>
      <c r="AHE161">
        <v>0.89</v>
      </c>
      <c r="AHF161">
        <v>0.89</v>
      </c>
      <c r="AHG161">
        <v>0.89</v>
      </c>
      <c r="AHH161">
        <v>0.89</v>
      </c>
      <c r="AHI161">
        <v>0.89</v>
      </c>
      <c r="AHJ161">
        <v>0.89</v>
      </c>
      <c r="AHK161">
        <v>0.89</v>
      </c>
      <c r="AHL161">
        <v>0.89</v>
      </c>
      <c r="AHM161">
        <v>0.89</v>
      </c>
      <c r="AHN161">
        <v>0.89</v>
      </c>
      <c r="AHO161">
        <v>0.89</v>
      </c>
      <c r="AHP161">
        <v>0.89</v>
      </c>
      <c r="AHQ161">
        <v>0.89</v>
      </c>
      <c r="AHR161">
        <v>0.89</v>
      </c>
      <c r="AHS161">
        <v>0.89</v>
      </c>
      <c r="AHT161">
        <v>0.89</v>
      </c>
      <c r="AHU161">
        <v>0.89</v>
      </c>
      <c r="AHV161">
        <v>0.89</v>
      </c>
      <c r="AHW161">
        <v>0.89</v>
      </c>
      <c r="AHX161">
        <v>0.89</v>
      </c>
      <c r="AHY161">
        <v>0.89</v>
      </c>
      <c r="AHZ161">
        <v>0.89</v>
      </c>
      <c r="AIA161">
        <v>0.89</v>
      </c>
      <c r="AIB161">
        <v>0.89</v>
      </c>
      <c r="AIC161">
        <v>0.89</v>
      </c>
      <c r="AID161">
        <v>0.89</v>
      </c>
      <c r="AIE161">
        <v>0.89</v>
      </c>
      <c r="AIF161">
        <v>0.89</v>
      </c>
      <c r="AIG161">
        <v>0.89</v>
      </c>
      <c r="AIH161">
        <v>0.89</v>
      </c>
      <c r="AII161">
        <v>0.89</v>
      </c>
      <c r="AIJ161">
        <v>0.89</v>
      </c>
      <c r="AIK161">
        <v>0.89</v>
      </c>
      <c r="AIL161">
        <v>0.89</v>
      </c>
      <c r="AIM161">
        <v>0.89</v>
      </c>
      <c r="AIN161">
        <v>0.89</v>
      </c>
      <c r="AIO161">
        <v>0.89</v>
      </c>
      <c r="AIP161">
        <v>0.89</v>
      </c>
      <c r="AIQ161">
        <v>0.89</v>
      </c>
      <c r="AIR161">
        <v>0.89</v>
      </c>
      <c r="AIS161">
        <v>0.89</v>
      </c>
      <c r="AIT161">
        <v>0.89</v>
      </c>
      <c r="AIU161">
        <v>0.89</v>
      </c>
      <c r="AIV161">
        <v>0.89</v>
      </c>
      <c r="AIW161">
        <v>0.89</v>
      </c>
      <c r="AIX161">
        <v>0.89</v>
      </c>
      <c r="AIY161">
        <v>0.89</v>
      </c>
      <c r="AIZ161">
        <v>0.89</v>
      </c>
      <c r="AJA161">
        <v>0.89</v>
      </c>
      <c r="AJB161">
        <v>0.89</v>
      </c>
      <c r="AJC161">
        <v>0.89</v>
      </c>
      <c r="AJD161">
        <v>0.89</v>
      </c>
      <c r="AJE161">
        <v>0.89</v>
      </c>
      <c r="AJF161">
        <v>0.89</v>
      </c>
      <c r="AJG161">
        <v>0.89</v>
      </c>
      <c r="AJH161">
        <v>0.89</v>
      </c>
      <c r="AJI161">
        <v>0.89</v>
      </c>
      <c r="AJJ161">
        <v>0.89</v>
      </c>
      <c r="AJK161">
        <v>0.89</v>
      </c>
      <c r="AJL161">
        <v>0.89</v>
      </c>
      <c r="AJM161">
        <v>0.89</v>
      </c>
      <c r="AJN161">
        <v>0.89</v>
      </c>
      <c r="AJO161">
        <v>0.89</v>
      </c>
      <c r="AJP161">
        <v>0.89</v>
      </c>
      <c r="AJQ161">
        <v>0.89</v>
      </c>
    </row>
    <row r="162" spans="1:970" ht="14.4" customHeight="1" x14ac:dyDescent="0.55000000000000004">
      <c r="A162" t="s">
        <v>677</v>
      </c>
      <c r="B162" t="s">
        <v>626</v>
      </c>
      <c r="C162" s="1" t="s">
        <v>802</v>
      </c>
      <c r="IX162">
        <v>1.1200000000000001</v>
      </c>
      <c r="IY162">
        <v>1.1200000000000001</v>
      </c>
      <c r="IZ162">
        <v>1.1200000000000001</v>
      </c>
      <c r="JA162">
        <v>1.1200000000000001</v>
      </c>
      <c r="JB162">
        <v>1.1200000000000001</v>
      </c>
      <c r="JC162">
        <v>1.1200000000000001</v>
      </c>
      <c r="JD162">
        <v>1.1200000000000001</v>
      </c>
      <c r="JE162">
        <v>1.1200000000000001</v>
      </c>
      <c r="JF162">
        <v>1.1200000000000001</v>
      </c>
      <c r="JG162">
        <v>1.1200000000000001</v>
      </c>
      <c r="JH162">
        <v>1.1200000000000001</v>
      </c>
      <c r="JI162">
        <v>1.1200000000000001</v>
      </c>
      <c r="JJ162">
        <v>1.1200000000000001</v>
      </c>
      <c r="JK162">
        <v>1.1200000000000001</v>
      </c>
      <c r="JL162">
        <v>1.1200000000000001</v>
      </c>
      <c r="JM162">
        <v>1.1200000000000001</v>
      </c>
      <c r="JN162">
        <v>1.1200000000000001</v>
      </c>
      <c r="JO162">
        <v>1.1200000000000001</v>
      </c>
      <c r="JP162">
        <v>1.1200000000000001</v>
      </c>
      <c r="JQ162">
        <v>1.1200000000000001</v>
      </c>
      <c r="JR162">
        <v>1.1200000000000001</v>
      </c>
      <c r="JS162">
        <v>1.1200000000000001</v>
      </c>
      <c r="JT162">
        <v>1.1200000000000001</v>
      </c>
      <c r="JU162">
        <v>1.1200000000000001</v>
      </c>
      <c r="JV162">
        <v>1.1200000000000001</v>
      </c>
      <c r="JW162">
        <v>1.1200000000000001</v>
      </c>
      <c r="JX162">
        <v>1.1200000000000001</v>
      </c>
      <c r="JY162">
        <v>1.1200000000000001</v>
      </c>
      <c r="JZ162">
        <v>1.1200000000000001</v>
      </c>
      <c r="KA162">
        <v>1.1200000000000001</v>
      </c>
      <c r="KB162">
        <v>1.1200000000000001</v>
      </c>
      <c r="KC162">
        <v>1.1200000000000001</v>
      </c>
      <c r="KD162">
        <v>1.1200000000000001</v>
      </c>
      <c r="KE162">
        <v>1.1200000000000001</v>
      </c>
      <c r="KF162">
        <v>1.1200000000000001</v>
      </c>
      <c r="KG162">
        <v>1.1200000000000001</v>
      </c>
      <c r="KH162">
        <v>1.1200000000000001</v>
      </c>
      <c r="KI162">
        <v>1.1200000000000001</v>
      </c>
      <c r="KJ162">
        <v>1.1200000000000001</v>
      </c>
      <c r="KK162">
        <v>1.1200000000000001</v>
      </c>
      <c r="KL162">
        <v>1.1200000000000001</v>
      </c>
      <c r="KM162">
        <v>1.1200000000000001</v>
      </c>
      <c r="KN162">
        <v>1.1200000000000001</v>
      </c>
      <c r="KO162">
        <v>1.1200000000000001</v>
      </c>
      <c r="KP162">
        <v>1.1200000000000001</v>
      </c>
      <c r="KQ162">
        <v>1.1200000000000001</v>
      </c>
      <c r="KR162">
        <v>1.1200000000000001</v>
      </c>
      <c r="KS162">
        <v>1.1200000000000001</v>
      </c>
      <c r="KT162">
        <v>1.1200000000000001</v>
      </c>
      <c r="KU162">
        <v>1.1200000000000001</v>
      </c>
      <c r="KV162">
        <v>1.1200000000000001</v>
      </c>
      <c r="KW162">
        <v>1.1200000000000001</v>
      </c>
      <c r="KX162">
        <v>1.1200000000000001</v>
      </c>
      <c r="KY162">
        <v>1.1200000000000001</v>
      </c>
      <c r="KZ162">
        <v>1.1200000000000001</v>
      </c>
      <c r="LA162">
        <v>1.1200000000000001</v>
      </c>
      <c r="LB162">
        <v>1.1200000000000001</v>
      </c>
      <c r="LC162">
        <v>1.1200000000000001</v>
      </c>
      <c r="LD162">
        <v>1.1200000000000001</v>
      </c>
      <c r="LE162">
        <v>1.1200000000000001</v>
      </c>
      <c r="LF162">
        <v>1.1200000000000001</v>
      </c>
      <c r="LG162">
        <v>1.1200000000000001</v>
      </c>
      <c r="LH162">
        <v>1.1200000000000001</v>
      </c>
      <c r="LI162">
        <v>1.1200000000000001</v>
      </c>
      <c r="LJ162">
        <v>1.1200000000000001</v>
      </c>
      <c r="LK162">
        <v>1.1200000000000001</v>
      </c>
      <c r="LL162">
        <v>1.1200000000000001</v>
      </c>
      <c r="LM162">
        <v>1.1200000000000001</v>
      </c>
      <c r="LN162">
        <v>1.1200000000000001</v>
      </c>
      <c r="LO162">
        <v>1.1200000000000001</v>
      </c>
      <c r="LP162">
        <v>1.1200000000000001</v>
      </c>
      <c r="LQ162">
        <v>1.1200000000000001</v>
      </c>
      <c r="LR162">
        <v>1.1200000000000001</v>
      </c>
      <c r="LS162">
        <v>1.1200000000000001</v>
      </c>
      <c r="LT162">
        <v>1.1200000000000001</v>
      </c>
      <c r="LU162">
        <v>1.1200000000000001</v>
      </c>
      <c r="LV162">
        <v>1.1200000000000001</v>
      </c>
      <c r="LW162">
        <v>1.1200000000000001</v>
      </c>
      <c r="LX162">
        <v>1.1200000000000001</v>
      </c>
      <c r="LY162">
        <v>1.1200000000000001</v>
      </c>
      <c r="LZ162">
        <v>1.1200000000000001</v>
      </c>
      <c r="MA162">
        <v>1.1200000000000001</v>
      </c>
      <c r="MB162">
        <v>1.1200000000000001</v>
      </c>
      <c r="MC162">
        <v>1.1200000000000001</v>
      </c>
      <c r="MD162">
        <v>1.1200000000000001</v>
      </c>
      <c r="ME162">
        <v>1.1200000000000001</v>
      </c>
      <c r="MF162">
        <v>1.1200000000000001</v>
      </c>
      <c r="MG162">
        <v>1.1200000000000001</v>
      </c>
      <c r="MH162">
        <v>1.1200000000000001</v>
      </c>
      <c r="MI162">
        <v>1.1200000000000001</v>
      </c>
      <c r="MJ162">
        <v>1.1200000000000001</v>
      </c>
      <c r="MK162">
        <v>1.1200000000000001</v>
      </c>
      <c r="ML162">
        <v>1.1200000000000001</v>
      </c>
      <c r="MM162">
        <v>1.1200000000000001</v>
      </c>
      <c r="MN162">
        <v>1.1200000000000001</v>
      </c>
      <c r="MO162">
        <v>1.1200000000000001</v>
      </c>
      <c r="MP162">
        <v>1.1200000000000001</v>
      </c>
      <c r="MQ162">
        <v>1.1200000000000001</v>
      </c>
      <c r="MR162">
        <v>1.1200000000000001</v>
      </c>
      <c r="MS162">
        <v>1.1200000000000001</v>
      </c>
      <c r="MT162">
        <v>1.1200000000000001</v>
      </c>
      <c r="MU162">
        <v>1.1200000000000001</v>
      </c>
      <c r="MV162">
        <v>1.1200000000000001</v>
      </c>
      <c r="MW162">
        <v>1.1200000000000001</v>
      </c>
      <c r="MX162">
        <v>1.1200000000000001</v>
      </c>
      <c r="MY162">
        <v>1.1200000000000001</v>
      </c>
      <c r="MZ162">
        <v>1.1200000000000001</v>
      </c>
      <c r="NA162">
        <v>1.1200000000000001</v>
      </c>
      <c r="NB162">
        <v>1.1200000000000001</v>
      </c>
      <c r="NC162">
        <v>1.1200000000000001</v>
      </c>
      <c r="ND162">
        <v>1.1200000000000001</v>
      </c>
      <c r="NE162">
        <v>1.1200000000000001</v>
      </c>
      <c r="NF162">
        <v>1.1200000000000001</v>
      </c>
      <c r="NG162">
        <v>1.1200000000000001</v>
      </c>
      <c r="NH162">
        <v>1.1200000000000001</v>
      </c>
      <c r="NI162">
        <v>1.1200000000000001</v>
      </c>
      <c r="NJ162">
        <v>1.1200000000000001</v>
      </c>
      <c r="NK162">
        <v>1.1200000000000001</v>
      </c>
      <c r="NL162">
        <v>1.1200000000000001</v>
      </c>
      <c r="NM162">
        <v>1.1200000000000001</v>
      </c>
      <c r="NN162">
        <v>1.1200000000000001</v>
      </c>
      <c r="NO162">
        <v>1.1200000000000001</v>
      </c>
      <c r="NP162">
        <v>1.1200000000000001</v>
      </c>
      <c r="NQ162">
        <v>1.1200000000000001</v>
      </c>
      <c r="NR162">
        <v>1.1200000000000001</v>
      </c>
      <c r="NS162">
        <v>1.1200000000000001</v>
      </c>
      <c r="NT162">
        <v>1.1200000000000001</v>
      </c>
      <c r="NU162">
        <v>1.1200000000000001</v>
      </c>
      <c r="NV162">
        <v>1.1200000000000001</v>
      </c>
      <c r="NW162">
        <v>1.1200000000000001</v>
      </c>
      <c r="NX162">
        <v>1.1200000000000001</v>
      </c>
      <c r="NY162">
        <v>1.1200000000000001</v>
      </c>
      <c r="NZ162">
        <v>1.1200000000000001</v>
      </c>
      <c r="OA162">
        <v>1.1200000000000001</v>
      </c>
      <c r="OB162">
        <v>1.1200000000000001</v>
      </c>
      <c r="OC162">
        <v>1.1200000000000001</v>
      </c>
      <c r="OD162">
        <v>1.1200000000000001</v>
      </c>
      <c r="OE162">
        <v>1.1200000000000001</v>
      </c>
      <c r="OF162">
        <v>1.1200000000000001</v>
      </c>
      <c r="OG162">
        <v>1.1200000000000001</v>
      </c>
      <c r="OH162">
        <v>1.1200000000000001</v>
      </c>
      <c r="OI162">
        <v>1.1200000000000001</v>
      </c>
      <c r="OJ162">
        <v>1.1200000000000001</v>
      </c>
      <c r="OK162">
        <v>1.1200000000000001</v>
      </c>
      <c r="OL162">
        <v>1.1200000000000001</v>
      </c>
      <c r="OM162">
        <v>1.1200000000000001</v>
      </c>
      <c r="ON162">
        <v>1.1200000000000001</v>
      </c>
      <c r="OO162">
        <v>1.1200000000000001</v>
      </c>
      <c r="OP162">
        <v>1.1200000000000001</v>
      </c>
      <c r="OQ162">
        <v>1.1200000000000001</v>
      </c>
      <c r="OR162">
        <v>1.1200000000000001</v>
      </c>
      <c r="OS162">
        <v>1.1200000000000001</v>
      </c>
      <c r="OT162">
        <v>1.1200000000000001</v>
      </c>
      <c r="OU162">
        <v>1.1200000000000001</v>
      </c>
      <c r="OV162">
        <v>1.1200000000000001</v>
      </c>
      <c r="OW162">
        <v>1.1200000000000001</v>
      </c>
      <c r="OX162">
        <v>1.1200000000000001</v>
      </c>
      <c r="OY162">
        <v>1.1200000000000001</v>
      </c>
      <c r="OZ162">
        <v>1.1200000000000001</v>
      </c>
      <c r="PA162">
        <v>1.1200000000000001</v>
      </c>
      <c r="PB162">
        <v>1.1200000000000001</v>
      </c>
      <c r="PC162">
        <v>1.1200000000000001</v>
      </c>
      <c r="PD162">
        <v>1.1200000000000001</v>
      </c>
      <c r="PE162">
        <v>1.1200000000000001</v>
      </c>
      <c r="PF162">
        <v>1.1200000000000001</v>
      </c>
      <c r="PG162">
        <v>1.1200000000000001</v>
      </c>
      <c r="PH162">
        <v>1.1200000000000001</v>
      </c>
      <c r="PI162">
        <v>1.1200000000000001</v>
      </c>
      <c r="PJ162">
        <v>1.1200000000000001</v>
      </c>
      <c r="PK162">
        <v>1.1200000000000001</v>
      </c>
      <c r="PL162">
        <v>1.1200000000000001</v>
      </c>
      <c r="PM162">
        <v>1.1200000000000001</v>
      </c>
      <c r="PN162">
        <v>1.1200000000000001</v>
      </c>
      <c r="PO162">
        <v>1.1200000000000001</v>
      </c>
      <c r="PP162">
        <v>1.1200000000000001</v>
      </c>
      <c r="PQ162">
        <v>1.1200000000000001</v>
      </c>
      <c r="PR162">
        <v>1.1200000000000001</v>
      </c>
      <c r="PS162">
        <v>1.1200000000000001</v>
      </c>
      <c r="PT162">
        <v>1.1200000000000001</v>
      </c>
      <c r="PU162">
        <v>1.1200000000000001</v>
      </c>
      <c r="PV162">
        <v>1.1200000000000001</v>
      </c>
      <c r="PW162">
        <v>1.1200000000000001</v>
      </c>
      <c r="PX162">
        <v>1.1200000000000001</v>
      </c>
      <c r="PY162">
        <v>1.1200000000000001</v>
      </c>
      <c r="PZ162">
        <v>1.1200000000000001</v>
      </c>
      <c r="QA162">
        <v>1.1200000000000001</v>
      </c>
      <c r="QB162">
        <v>1.1200000000000001</v>
      </c>
      <c r="QC162">
        <v>1.1200000000000001</v>
      </c>
      <c r="QD162">
        <v>1.1200000000000001</v>
      </c>
      <c r="QE162">
        <v>1.1200000000000001</v>
      </c>
      <c r="QF162">
        <v>1.1200000000000001</v>
      </c>
      <c r="QG162">
        <v>1.1200000000000001</v>
      </c>
      <c r="QH162">
        <v>1.1200000000000001</v>
      </c>
      <c r="QI162">
        <v>1.1200000000000001</v>
      </c>
      <c r="QJ162">
        <v>1.1200000000000001</v>
      </c>
      <c r="QK162">
        <v>1.1200000000000001</v>
      </c>
      <c r="QL162">
        <v>1.1200000000000001</v>
      </c>
      <c r="QM162">
        <v>1.1200000000000001</v>
      </c>
      <c r="QN162">
        <v>1.1200000000000001</v>
      </c>
      <c r="QO162">
        <v>1.1200000000000001</v>
      </c>
      <c r="QP162">
        <v>1.1200000000000001</v>
      </c>
      <c r="QQ162">
        <v>1.1200000000000001</v>
      </c>
      <c r="QR162">
        <v>1.1200000000000001</v>
      </c>
      <c r="QS162">
        <v>1.1200000000000001</v>
      </c>
      <c r="QT162">
        <v>1.1200000000000001</v>
      </c>
      <c r="QU162">
        <v>1.1200000000000001</v>
      </c>
      <c r="QV162">
        <v>1.1200000000000001</v>
      </c>
      <c r="QW162">
        <v>1.1200000000000001</v>
      </c>
      <c r="QX162">
        <v>1.1200000000000001</v>
      </c>
      <c r="QY162">
        <v>1.1200000000000001</v>
      </c>
      <c r="QZ162">
        <v>1.1200000000000001</v>
      </c>
      <c r="RA162">
        <v>1.1200000000000001</v>
      </c>
      <c r="RB162">
        <v>1.1200000000000001</v>
      </c>
      <c r="RC162">
        <v>1.1200000000000001</v>
      </c>
      <c r="RD162">
        <v>1.1200000000000001</v>
      </c>
      <c r="RE162">
        <v>1.1200000000000001</v>
      </c>
      <c r="RF162">
        <v>1.1200000000000001</v>
      </c>
      <c r="RG162">
        <v>1.1200000000000001</v>
      </c>
      <c r="RH162">
        <v>1.1200000000000001</v>
      </c>
      <c r="RI162">
        <v>1.1200000000000001</v>
      </c>
      <c r="RJ162">
        <v>1.1200000000000001</v>
      </c>
      <c r="RK162">
        <v>1.1200000000000001</v>
      </c>
      <c r="RL162">
        <v>1.1200000000000001</v>
      </c>
      <c r="RM162">
        <v>1.1200000000000001</v>
      </c>
      <c r="RN162">
        <v>1.1200000000000001</v>
      </c>
      <c r="RO162">
        <v>1.1200000000000001</v>
      </c>
      <c r="RP162">
        <v>1.1200000000000001</v>
      </c>
      <c r="RQ162">
        <v>1.1200000000000001</v>
      </c>
      <c r="RR162">
        <v>1.1200000000000001</v>
      </c>
      <c r="RS162">
        <v>1.1200000000000001</v>
      </c>
      <c r="RT162">
        <v>1.1200000000000001</v>
      </c>
      <c r="RU162">
        <v>1.1200000000000001</v>
      </c>
      <c r="RV162">
        <v>1.1200000000000001</v>
      </c>
      <c r="RW162">
        <v>1.1200000000000001</v>
      </c>
      <c r="RX162">
        <v>1.1200000000000001</v>
      </c>
      <c r="RY162">
        <v>1.1200000000000001</v>
      </c>
      <c r="RZ162">
        <v>1.1200000000000001</v>
      </c>
      <c r="SA162">
        <v>1.1200000000000001</v>
      </c>
      <c r="SB162">
        <v>1.1200000000000001</v>
      </c>
      <c r="SC162">
        <v>1.1200000000000001</v>
      </c>
      <c r="SD162">
        <v>1.1200000000000001</v>
      </c>
      <c r="SE162">
        <v>1.1200000000000001</v>
      </c>
      <c r="SF162">
        <v>1.1200000000000001</v>
      </c>
      <c r="SG162">
        <v>1.1200000000000001</v>
      </c>
      <c r="SH162">
        <v>1.1200000000000001</v>
      </c>
      <c r="SI162">
        <v>1.1200000000000001</v>
      </c>
      <c r="SJ162">
        <v>1.1200000000000001</v>
      </c>
      <c r="SK162">
        <v>1.1200000000000001</v>
      </c>
      <c r="SL162">
        <v>1.1200000000000001</v>
      </c>
      <c r="SM162">
        <v>1.1200000000000001</v>
      </c>
      <c r="SN162">
        <v>1.1200000000000001</v>
      </c>
      <c r="SO162">
        <v>1.1200000000000001</v>
      </c>
      <c r="SP162">
        <v>1.1200000000000001</v>
      </c>
      <c r="SQ162">
        <v>1.1200000000000001</v>
      </c>
      <c r="SR162">
        <v>1.1200000000000001</v>
      </c>
      <c r="SS162">
        <v>1.1200000000000001</v>
      </c>
      <c r="ST162">
        <v>1.1200000000000001</v>
      </c>
      <c r="SU162">
        <v>1.1200000000000001</v>
      </c>
      <c r="SV162">
        <v>1.1200000000000001</v>
      </c>
      <c r="SW162">
        <v>1.1200000000000001</v>
      </c>
      <c r="SX162">
        <v>1.1200000000000001</v>
      </c>
      <c r="SY162">
        <v>1.1200000000000001</v>
      </c>
      <c r="SZ162">
        <v>1.1200000000000001</v>
      </c>
      <c r="TA162">
        <v>1.1200000000000001</v>
      </c>
      <c r="TB162">
        <v>1.1200000000000001</v>
      </c>
      <c r="TC162">
        <v>1.1200000000000001</v>
      </c>
      <c r="TD162">
        <v>1.1200000000000001</v>
      </c>
      <c r="TE162">
        <v>1.1200000000000001</v>
      </c>
      <c r="TF162">
        <v>1.1200000000000001</v>
      </c>
      <c r="TG162">
        <v>1.1200000000000001</v>
      </c>
      <c r="TH162">
        <v>1.1200000000000001</v>
      </c>
      <c r="TI162">
        <v>1.1200000000000001</v>
      </c>
      <c r="TJ162">
        <v>1.1200000000000001</v>
      </c>
      <c r="TK162">
        <v>1.1200000000000001</v>
      </c>
      <c r="TL162">
        <v>1.1200000000000001</v>
      </c>
      <c r="TM162">
        <v>1.1200000000000001</v>
      </c>
      <c r="TN162">
        <v>1.1200000000000001</v>
      </c>
      <c r="TO162">
        <v>1.1200000000000001</v>
      </c>
      <c r="TP162">
        <v>1.1200000000000001</v>
      </c>
      <c r="TQ162">
        <v>1.1200000000000001</v>
      </c>
      <c r="TR162">
        <v>1.1200000000000001</v>
      </c>
      <c r="TS162">
        <v>1.1200000000000001</v>
      </c>
      <c r="TT162">
        <v>1.1200000000000001</v>
      </c>
      <c r="TU162">
        <v>1.1200000000000001</v>
      </c>
      <c r="TV162">
        <v>1.1200000000000001</v>
      </c>
      <c r="TW162">
        <v>1.1200000000000001</v>
      </c>
      <c r="TX162">
        <v>1.1200000000000001</v>
      </c>
      <c r="TY162">
        <v>1.1200000000000001</v>
      </c>
      <c r="TZ162">
        <v>1.1200000000000001</v>
      </c>
      <c r="UA162">
        <v>1.1200000000000001</v>
      </c>
      <c r="UB162">
        <v>1.1200000000000001</v>
      </c>
      <c r="UC162">
        <v>1.1200000000000001</v>
      </c>
      <c r="UD162">
        <v>1.1200000000000001</v>
      </c>
      <c r="UE162">
        <v>1.1200000000000001</v>
      </c>
      <c r="UF162">
        <v>1.1200000000000001</v>
      </c>
      <c r="UG162">
        <v>1.1200000000000001</v>
      </c>
      <c r="UH162">
        <v>1.1200000000000001</v>
      </c>
      <c r="UI162">
        <v>1.1200000000000001</v>
      </c>
      <c r="UJ162">
        <v>1.1200000000000001</v>
      </c>
      <c r="UK162">
        <v>1.1200000000000001</v>
      </c>
      <c r="UL162">
        <v>1.1200000000000001</v>
      </c>
      <c r="UM162">
        <v>1.1200000000000001</v>
      </c>
      <c r="UN162">
        <v>1.1200000000000001</v>
      </c>
      <c r="UO162">
        <v>1.1200000000000001</v>
      </c>
      <c r="UP162">
        <v>1.1200000000000001</v>
      </c>
      <c r="UQ162">
        <v>1.1200000000000001</v>
      </c>
      <c r="UR162">
        <v>1.1200000000000001</v>
      </c>
      <c r="US162">
        <v>1.1200000000000001</v>
      </c>
      <c r="UT162">
        <v>1.1200000000000001</v>
      </c>
      <c r="UU162">
        <v>1.1200000000000001</v>
      </c>
      <c r="UV162">
        <v>1.1200000000000001</v>
      </c>
      <c r="UW162">
        <v>1.1200000000000001</v>
      </c>
      <c r="UX162">
        <v>1.1200000000000001</v>
      </c>
      <c r="UY162">
        <v>1.1200000000000001</v>
      </c>
      <c r="UZ162">
        <v>1.1200000000000001</v>
      </c>
      <c r="VA162">
        <v>1.1200000000000001</v>
      </c>
      <c r="VB162">
        <v>1.1200000000000001</v>
      </c>
      <c r="VC162">
        <v>1.1200000000000001</v>
      </c>
      <c r="VD162">
        <v>1.1200000000000001</v>
      </c>
      <c r="VE162">
        <v>1.1200000000000001</v>
      </c>
      <c r="VF162">
        <v>1.1200000000000001</v>
      </c>
      <c r="VG162">
        <v>1.1200000000000001</v>
      </c>
      <c r="VH162">
        <v>1.1200000000000001</v>
      </c>
      <c r="VI162">
        <v>1.1200000000000001</v>
      </c>
      <c r="VJ162">
        <v>1.1200000000000001</v>
      </c>
      <c r="VK162">
        <v>1.1200000000000001</v>
      </c>
      <c r="VL162">
        <v>1.1200000000000001</v>
      </c>
      <c r="VM162">
        <v>1.1200000000000001</v>
      </c>
      <c r="VN162">
        <v>1.1200000000000001</v>
      </c>
      <c r="VO162">
        <v>1.1200000000000001</v>
      </c>
      <c r="VP162">
        <v>1.1200000000000001</v>
      </c>
      <c r="VQ162">
        <v>1.1200000000000001</v>
      </c>
      <c r="VR162">
        <v>1.1200000000000001</v>
      </c>
      <c r="VS162">
        <v>1.1200000000000001</v>
      </c>
      <c r="VT162">
        <v>1.1200000000000001</v>
      </c>
      <c r="VU162">
        <v>1.1200000000000001</v>
      </c>
      <c r="VV162">
        <v>1.1200000000000001</v>
      </c>
      <c r="VW162">
        <v>1.1200000000000001</v>
      </c>
      <c r="VX162">
        <v>1.1200000000000001</v>
      </c>
      <c r="VY162">
        <v>1.1200000000000001</v>
      </c>
      <c r="VZ162">
        <v>1.1200000000000001</v>
      </c>
      <c r="WA162">
        <v>1.1200000000000001</v>
      </c>
      <c r="WB162">
        <v>1.1200000000000001</v>
      </c>
      <c r="WC162">
        <v>1.1200000000000001</v>
      </c>
      <c r="WD162">
        <v>1.1200000000000001</v>
      </c>
      <c r="WE162">
        <v>1.1200000000000001</v>
      </c>
      <c r="WF162">
        <v>1.1200000000000001</v>
      </c>
      <c r="WG162">
        <v>1.1200000000000001</v>
      </c>
      <c r="WH162">
        <v>1.1200000000000001</v>
      </c>
      <c r="WI162">
        <v>1.1200000000000001</v>
      </c>
      <c r="WJ162">
        <v>1.1200000000000001</v>
      </c>
      <c r="WK162">
        <v>1.1200000000000001</v>
      </c>
      <c r="WL162">
        <v>1.1200000000000001</v>
      </c>
      <c r="WM162">
        <v>1.1200000000000001</v>
      </c>
      <c r="WN162">
        <v>1.1200000000000001</v>
      </c>
      <c r="WO162">
        <v>1.1200000000000001</v>
      </c>
      <c r="WP162">
        <v>1.1200000000000001</v>
      </c>
      <c r="WQ162">
        <v>1.1200000000000001</v>
      </c>
      <c r="WR162">
        <v>1.1200000000000001</v>
      </c>
      <c r="WS162">
        <v>1.1200000000000001</v>
      </c>
      <c r="WT162">
        <v>1.1200000000000001</v>
      </c>
      <c r="WU162">
        <v>1.1200000000000001</v>
      </c>
      <c r="WV162">
        <v>1.1200000000000001</v>
      </c>
      <c r="WW162">
        <v>1.1200000000000001</v>
      </c>
      <c r="WX162">
        <v>1.1200000000000001</v>
      </c>
      <c r="WY162">
        <v>1.1200000000000001</v>
      </c>
      <c r="WZ162">
        <v>1.1200000000000001</v>
      </c>
      <c r="XA162">
        <v>1.1200000000000001</v>
      </c>
      <c r="XB162">
        <v>1.1200000000000001</v>
      </c>
      <c r="XC162">
        <v>1.1200000000000001</v>
      </c>
      <c r="XD162">
        <v>1.1200000000000001</v>
      </c>
      <c r="XE162">
        <v>1.1200000000000001</v>
      </c>
      <c r="XF162">
        <v>1.1200000000000001</v>
      </c>
      <c r="XG162">
        <v>1.1200000000000001</v>
      </c>
      <c r="XH162">
        <v>1.1200000000000001</v>
      </c>
      <c r="XI162">
        <v>1.1200000000000001</v>
      </c>
      <c r="XJ162">
        <v>1.1200000000000001</v>
      </c>
      <c r="XK162">
        <v>1.1200000000000001</v>
      </c>
      <c r="XL162">
        <v>1.1200000000000001</v>
      </c>
      <c r="XM162">
        <v>1.1200000000000001</v>
      </c>
      <c r="XN162">
        <v>1.1200000000000001</v>
      </c>
      <c r="XO162">
        <v>1.1200000000000001</v>
      </c>
      <c r="XP162">
        <v>1.1200000000000001</v>
      </c>
      <c r="XQ162">
        <v>1.1200000000000001</v>
      </c>
      <c r="XR162">
        <v>1.1200000000000001</v>
      </c>
      <c r="XS162">
        <v>1.1200000000000001</v>
      </c>
      <c r="XT162">
        <v>1.1200000000000001</v>
      </c>
      <c r="XU162">
        <v>1.1200000000000001</v>
      </c>
      <c r="XV162">
        <v>1.1200000000000001</v>
      </c>
      <c r="XW162">
        <v>1.1200000000000001</v>
      </c>
      <c r="XX162">
        <v>1.1200000000000001</v>
      </c>
      <c r="XY162">
        <v>1.1200000000000001</v>
      </c>
      <c r="XZ162">
        <v>1.1200000000000001</v>
      </c>
      <c r="YA162">
        <v>1.1200000000000001</v>
      </c>
      <c r="YB162">
        <v>1.1200000000000001</v>
      </c>
      <c r="YC162">
        <v>1.1200000000000001</v>
      </c>
      <c r="YD162">
        <v>1.1200000000000001</v>
      </c>
      <c r="YE162">
        <v>1.1200000000000001</v>
      </c>
      <c r="YF162">
        <v>1.1200000000000001</v>
      </c>
      <c r="YG162">
        <v>1.1200000000000001</v>
      </c>
      <c r="YH162">
        <v>1.1200000000000001</v>
      </c>
      <c r="YI162">
        <v>1.1200000000000001</v>
      </c>
      <c r="YJ162">
        <v>1.1200000000000001</v>
      </c>
      <c r="YK162">
        <v>1.1200000000000001</v>
      </c>
      <c r="YL162">
        <v>1.1200000000000001</v>
      </c>
      <c r="YM162">
        <v>1.1200000000000001</v>
      </c>
      <c r="YN162">
        <v>1.1200000000000001</v>
      </c>
      <c r="YO162">
        <v>1.1200000000000001</v>
      </c>
      <c r="YP162">
        <v>1.1200000000000001</v>
      </c>
      <c r="YQ162">
        <v>1.1200000000000001</v>
      </c>
      <c r="YR162">
        <v>1.1200000000000001</v>
      </c>
      <c r="YS162">
        <v>1.1200000000000001</v>
      </c>
      <c r="YT162">
        <v>1.1200000000000001</v>
      </c>
      <c r="YU162">
        <v>1.1200000000000001</v>
      </c>
      <c r="YV162">
        <v>1.1200000000000001</v>
      </c>
      <c r="YW162">
        <v>1.1200000000000001</v>
      </c>
      <c r="YX162">
        <v>1.1200000000000001</v>
      </c>
      <c r="YY162">
        <v>1.1200000000000001</v>
      </c>
      <c r="YZ162">
        <v>1.1200000000000001</v>
      </c>
      <c r="ZA162">
        <v>1.1200000000000001</v>
      </c>
      <c r="ZB162">
        <v>1.1200000000000001</v>
      </c>
      <c r="ZC162">
        <v>1.1200000000000001</v>
      </c>
      <c r="ZD162">
        <v>1.1200000000000001</v>
      </c>
      <c r="ZE162">
        <v>1.1200000000000001</v>
      </c>
      <c r="ZF162">
        <v>1.1200000000000001</v>
      </c>
      <c r="ZG162">
        <v>1.1200000000000001</v>
      </c>
      <c r="ZH162">
        <v>1.1200000000000001</v>
      </c>
      <c r="ZI162">
        <v>1.1200000000000001</v>
      </c>
      <c r="ZJ162">
        <v>1.1200000000000001</v>
      </c>
      <c r="ZK162">
        <v>1.1200000000000001</v>
      </c>
      <c r="ZL162">
        <v>1.1200000000000001</v>
      </c>
      <c r="ZM162">
        <v>1.1200000000000001</v>
      </c>
      <c r="ZN162">
        <v>1.1200000000000001</v>
      </c>
      <c r="ZO162">
        <v>1.1200000000000001</v>
      </c>
      <c r="ZP162">
        <v>1.1200000000000001</v>
      </c>
      <c r="ZQ162">
        <v>1.1200000000000001</v>
      </c>
      <c r="ZR162">
        <v>1.1200000000000001</v>
      </c>
      <c r="ZS162">
        <v>1.1200000000000001</v>
      </c>
      <c r="ZT162">
        <v>1.1200000000000001</v>
      </c>
      <c r="ZU162">
        <v>1.1200000000000001</v>
      </c>
      <c r="ZV162">
        <v>1.1200000000000001</v>
      </c>
      <c r="ZW162">
        <v>1.1200000000000001</v>
      </c>
      <c r="ZX162">
        <v>1.1200000000000001</v>
      </c>
      <c r="ZY162">
        <v>1.1200000000000001</v>
      </c>
      <c r="ZZ162">
        <v>1.1200000000000001</v>
      </c>
      <c r="AAA162">
        <v>1.1200000000000001</v>
      </c>
      <c r="AAB162">
        <v>1.1200000000000001</v>
      </c>
      <c r="AAC162">
        <v>1.1200000000000001</v>
      </c>
      <c r="AAD162">
        <v>1.1200000000000001</v>
      </c>
      <c r="AAE162">
        <v>1.1200000000000001</v>
      </c>
      <c r="AAF162">
        <v>1.1200000000000001</v>
      </c>
      <c r="AAG162">
        <v>1.1200000000000001</v>
      </c>
      <c r="AAH162">
        <v>1.1200000000000001</v>
      </c>
      <c r="AAI162">
        <v>1.1200000000000001</v>
      </c>
      <c r="AAJ162">
        <v>1.1200000000000001</v>
      </c>
      <c r="AAK162">
        <v>1.1200000000000001</v>
      </c>
      <c r="AAL162">
        <v>1.1200000000000001</v>
      </c>
      <c r="AAM162">
        <v>1.1200000000000001</v>
      </c>
      <c r="AAN162">
        <v>1.1200000000000001</v>
      </c>
      <c r="AAO162">
        <v>1.1200000000000001</v>
      </c>
      <c r="AAP162">
        <v>1.1200000000000001</v>
      </c>
      <c r="AAQ162">
        <v>1.1200000000000001</v>
      </c>
      <c r="AAR162">
        <v>1.1200000000000001</v>
      </c>
      <c r="AAS162">
        <v>1.1200000000000001</v>
      </c>
      <c r="AAT162">
        <v>1.1200000000000001</v>
      </c>
      <c r="AAU162">
        <v>1.1200000000000001</v>
      </c>
      <c r="AAV162">
        <v>1.1200000000000001</v>
      </c>
      <c r="AAW162">
        <v>1.1200000000000001</v>
      </c>
      <c r="AAX162">
        <v>1.1200000000000001</v>
      </c>
      <c r="AAY162">
        <v>1.1200000000000001</v>
      </c>
      <c r="AAZ162">
        <v>1.1200000000000001</v>
      </c>
      <c r="ABA162">
        <v>1.1200000000000001</v>
      </c>
      <c r="ABB162">
        <v>1.1200000000000001</v>
      </c>
      <c r="ABC162">
        <v>1.1200000000000001</v>
      </c>
      <c r="ABD162">
        <v>1.1200000000000001</v>
      </c>
      <c r="ABE162">
        <v>1.1200000000000001</v>
      </c>
      <c r="ABF162">
        <v>1.1200000000000001</v>
      </c>
      <c r="ABG162">
        <v>1.1200000000000001</v>
      </c>
      <c r="ABH162">
        <v>1.1200000000000001</v>
      </c>
      <c r="ABI162">
        <v>1.1200000000000001</v>
      </c>
      <c r="ABJ162">
        <v>1.1200000000000001</v>
      </c>
      <c r="ABK162">
        <v>1.1200000000000001</v>
      </c>
      <c r="ABL162">
        <v>1.1200000000000001</v>
      </c>
      <c r="ABM162">
        <v>1.1200000000000001</v>
      </c>
      <c r="ABN162">
        <v>1.1200000000000001</v>
      </c>
      <c r="ABO162">
        <v>1.1200000000000001</v>
      </c>
      <c r="ABP162">
        <v>1.1200000000000001</v>
      </c>
      <c r="ABQ162">
        <v>1.1200000000000001</v>
      </c>
      <c r="ABR162">
        <v>1.1200000000000001</v>
      </c>
      <c r="ABS162">
        <v>1.1200000000000001</v>
      </c>
      <c r="ABT162">
        <v>1.1200000000000001</v>
      </c>
      <c r="ABU162">
        <v>1.1200000000000001</v>
      </c>
      <c r="ABV162">
        <v>1.1200000000000001</v>
      </c>
      <c r="ABW162">
        <v>1.1200000000000001</v>
      </c>
      <c r="ABX162">
        <v>1.1200000000000001</v>
      </c>
      <c r="ABY162">
        <v>1.1200000000000001</v>
      </c>
      <c r="ABZ162">
        <v>1.1200000000000001</v>
      </c>
      <c r="ACA162">
        <v>1.1200000000000001</v>
      </c>
      <c r="ACB162">
        <v>1.1200000000000001</v>
      </c>
      <c r="ACC162">
        <v>1.1200000000000001</v>
      </c>
      <c r="ACD162">
        <v>1.1200000000000001</v>
      </c>
      <c r="ACE162">
        <v>1.1200000000000001</v>
      </c>
      <c r="ACF162">
        <v>1.1200000000000001</v>
      </c>
      <c r="ACG162">
        <v>1.1200000000000001</v>
      </c>
      <c r="ACH162">
        <v>1.1200000000000001</v>
      </c>
      <c r="ACI162">
        <v>1.1200000000000001</v>
      </c>
      <c r="ACJ162">
        <v>1.1200000000000001</v>
      </c>
      <c r="ACK162">
        <v>1.1200000000000001</v>
      </c>
      <c r="ACL162">
        <v>1.1200000000000001</v>
      </c>
      <c r="ACM162">
        <v>1.1200000000000001</v>
      </c>
      <c r="ACN162">
        <v>1.1200000000000001</v>
      </c>
      <c r="ACO162">
        <v>1.1200000000000001</v>
      </c>
      <c r="ACP162">
        <v>1.1200000000000001</v>
      </c>
      <c r="ACQ162">
        <v>1.1200000000000001</v>
      </c>
      <c r="ACR162">
        <v>1.1200000000000001</v>
      </c>
      <c r="ACS162">
        <v>1.1200000000000001</v>
      </c>
      <c r="ACT162">
        <v>1.1200000000000001</v>
      </c>
      <c r="ACU162">
        <v>1.1200000000000001</v>
      </c>
      <c r="ACV162">
        <v>1.1200000000000001</v>
      </c>
      <c r="ACW162">
        <v>1.1200000000000001</v>
      </c>
      <c r="ACX162">
        <v>1.1200000000000001</v>
      </c>
      <c r="ACY162">
        <v>1.1200000000000001</v>
      </c>
      <c r="ACZ162">
        <v>1.1200000000000001</v>
      </c>
      <c r="ADA162">
        <v>1.1200000000000001</v>
      </c>
      <c r="ADB162">
        <v>1.1200000000000001</v>
      </c>
      <c r="ADC162">
        <v>1.1200000000000001</v>
      </c>
      <c r="ADD162">
        <v>1.1200000000000001</v>
      </c>
      <c r="ADE162">
        <v>1.1200000000000001</v>
      </c>
      <c r="ADF162">
        <v>1.1200000000000001</v>
      </c>
      <c r="ADG162">
        <v>1.1200000000000001</v>
      </c>
      <c r="ADH162">
        <v>1.1200000000000001</v>
      </c>
      <c r="ADI162">
        <v>1.1200000000000001</v>
      </c>
      <c r="ADJ162">
        <v>1.1200000000000001</v>
      </c>
      <c r="ADK162">
        <v>1.1200000000000001</v>
      </c>
      <c r="ADL162">
        <v>1.1200000000000001</v>
      </c>
      <c r="ADM162">
        <v>1.1200000000000001</v>
      </c>
      <c r="ADN162">
        <v>1.1200000000000001</v>
      </c>
      <c r="ADO162">
        <v>1.1200000000000001</v>
      </c>
      <c r="ADP162">
        <v>1.1200000000000001</v>
      </c>
      <c r="ADQ162">
        <v>1.1200000000000001</v>
      </c>
      <c r="ADR162">
        <v>1.1200000000000001</v>
      </c>
      <c r="ADS162">
        <v>1.1200000000000001</v>
      </c>
      <c r="ADT162">
        <v>1.1200000000000001</v>
      </c>
      <c r="ADU162">
        <v>1.1200000000000001</v>
      </c>
      <c r="ADV162">
        <v>1.1200000000000001</v>
      </c>
      <c r="ADW162">
        <v>1.1200000000000001</v>
      </c>
      <c r="ADX162">
        <v>1.1200000000000001</v>
      </c>
      <c r="ADY162">
        <v>1.1200000000000001</v>
      </c>
      <c r="ADZ162">
        <v>1.1200000000000001</v>
      </c>
      <c r="AEA162">
        <v>1.1200000000000001</v>
      </c>
      <c r="AEB162">
        <v>1.1200000000000001</v>
      </c>
      <c r="AEC162">
        <v>1.1200000000000001</v>
      </c>
      <c r="AED162">
        <v>1.1200000000000001</v>
      </c>
      <c r="AEE162">
        <v>1.1200000000000001</v>
      </c>
      <c r="AEF162">
        <v>1.1200000000000001</v>
      </c>
      <c r="AEG162">
        <v>1.1200000000000001</v>
      </c>
      <c r="AEH162">
        <v>1.1200000000000001</v>
      </c>
      <c r="AEI162">
        <v>1.1200000000000001</v>
      </c>
      <c r="AEJ162">
        <v>1.1200000000000001</v>
      </c>
      <c r="AEK162">
        <v>1.1200000000000001</v>
      </c>
      <c r="AEL162">
        <v>1.1200000000000001</v>
      </c>
      <c r="AEM162">
        <v>1.1200000000000001</v>
      </c>
      <c r="AEN162">
        <v>1.1200000000000001</v>
      </c>
      <c r="AEO162">
        <v>1.1200000000000001</v>
      </c>
      <c r="AEP162">
        <v>1.1200000000000001</v>
      </c>
      <c r="AEQ162">
        <v>1.1200000000000001</v>
      </c>
      <c r="AER162">
        <v>1.1200000000000001</v>
      </c>
      <c r="AES162">
        <v>1.1200000000000001</v>
      </c>
      <c r="AET162">
        <v>1.1200000000000001</v>
      </c>
      <c r="AEU162">
        <v>1.1200000000000001</v>
      </c>
      <c r="AEV162">
        <v>1.1200000000000001</v>
      </c>
      <c r="AEW162">
        <v>1.1200000000000001</v>
      </c>
      <c r="AEX162">
        <v>1.1200000000000001</v>
      </c>
      <c r="AEY162">
        <v>1.1200000000000001</v>
      </c>
      <c r="AEZ162">
        <v>1.1200000000000001</v>
      </c>
      <c r="AFA162">
        <v>1.1200000000000001</v>
      </c>
      <c r="AFB162">
        <v>1.1200000000000001</v>
      </c>
      <c r="AFC162">
        <v>1.1200000000000001</v>
      </c>
      <c r="AFD162">
        <v>1.1200000000000001</v>
      </c>
      <c r="AFE162">
        <v>1.1200000000000001</v>
      </c>
      <c r="AFF162">
        <v>1.1200000000000001</v>
      </c>
      <c r="AFG162">
        <v>1.1200000000000001</v>
      </c>
      <c r="AFH162">
        <v>1.1200000000000001</v>
      </c>
      <c r="AFI162">
        <v>1.1200000000000001</v>
      </c>
      <c r="AFJ162">
        <v>1.1200000000000001</v>
      </c>
      <c r="AFK162">
        <v>1.1200000000000001</v>
      </c>
      <c r="AFL162">
        <v>1.1200000000000001</v>
      </c>
      <c r="AFM162">
        <v>1.1200000000000001</v>
      </c>
      <c r="AFN162">
        <v>1.1200000000000001</v>
      </c>
      <c r="AFO162">
        <v>1.1200000000000001</v>
      </c>
      <c r="AFP162">
        <v>1.1200000000000001</v>
      </c>
      <c r="AFQ162">
        <v>1.1200000000000001</v>
      </c>
      <c r="AFR162">
        <v>1.1200000000000001</v>
      </c>
      <c r="AFS162">
        <v>1.1200000000000001</v>
      </c>
      <c r="AFT162">
        <v>1.1200000000000001</v>
      </c>
      <c r="AFU162">
        <v>1.1200000000000001</v>
      </c>
      <c r="AFV162">
        <v>1.1200000000000001</v>
      </c>
      <c r="AFW162">
        <v>1.1200000000000001</v>
      </c>
      <c r="AFX162">
        <v>1.1200000000000001</v>
      </c>
      <c r="AFY162">
        <v>1.1200000000000001</v>
      </c>
      <c r="AFZ162">
        <v>1.1200000000000001</v>
      </c>
      <c r="AGA162">
        <v>1.1200000000000001</v>
      </c>
      <c r="AGB162">
        <v>1.1200000000000001</v>
      </c>
      <c r="AGC162">
        <v>1.1200000000000001</v>
      </c>
      <c r="AGD162">
        <v>1.1200000000000001</v>
      </c>
      <c r="AGE162">
        <v>1.1200000000000001</v>
      </c>
      <c r="AGF162">
        <v>1.1200000000000001</v>
      </c>
      <c r="AGG162">
        <v>1.1200000000000001</v>
      </c>
      <c r="AGH162">
        <v>1.1200000000000001</v>
      </c>
      <c r="AGI162">
        <v>1.1200000000000001</v>
      </c>
      <c r="AGJ162">
        <v>1.1200000000000001</v>
      </c>
      <c r="AGK162">
        <v>1.1200000000000001</v>
      </c>
      <c r="AGL162">
        <v>1.1200000000000001</v>
      </c>
      <c r="AGM162">
        <v>1.1200000000000001</v>
      </c>
      <c r="AGN162">
        <v>1.1200000000000001</v>
      </c>
      <c r="AGO162">
        <v>1.1200000000000001</v>
      </c>
      <c r="AGP162">
        <v>1.1200000000000001</v>
      </c>
      <c r="AGQ162">
        <v>1.1200000000000001</v>
      </c>
      <c r="AGR162">
        <v>1.1200000000000001</v>
      </c>
      <c r="AGS162">
        <v>1.1200000000000001</v>
      </c>
      <c r="AGT162">
        <v>1.1200000000000001</v>
      </c>
      <c r="AGU162">
        <v>1.1200000000000001</v>
      </c>
      <c r="AGV162">
        <v>1.1200000000000001</v>
      </c>
      <c r="AGW162">
        <v>1.1200000000000001</v>
      </c>
      <c r="AGX162">
        <v>1.1200000000000001</v>
      </c>
      <c r="AGY162">
        <v>1.1200000000000001</v>
      </c>
      <c r="AGZ162">
        <v>1.1200000000000001</v>
      </c>
      <c r="AHA162">
        <v>1.1200000000000001</v>
      </c>
      <c r="AHB162">
        <v>1.1200000000000001</v>
      </c>
      <c r="AHC162">
        <v>1.1200000000000001</v>
      </c>
      <c r="AHD162">
        <v>1.1200000000000001</v>
      </c>
      <c r="AHE162">
        <v>1.1200000000000001</v>
      </c>
      <c r="AHF162">
        <v>1.1200000000000001</v>
      </c>
      <c r="AHG162">
        <v>1.1200000000000001</v>
      </c>
      <c r="AHH162">
        <v>1.1200000000000001</v>
      </c>
      <c r="AHI162">
        <v>1.1200000000000001</v>
      </c>
      <c r="AHJ162">
        <v>1.1200000000000001</v>
      </c>
      <c r="AHK162">
        <v>1.1200000000000001</v>
      </c>
      <c r="AHL162">
        <v>1.1200000000000001</v>
      </c>
      <c r="AHM162">
        <v>1.1200000000000001</v>
      </c>
      <c r="AHN162">
        <v>1.1200000000000001</v>
      </c>
      <c r="AHO162">
        <v>1.1200000000000001</v>
      </c>
      <c r="AHP162">
        <v>1.1200000000000001</v>
      </c>
      <c r="AHQ162">
        <v>1.1200000000000001</v>
      </c>
      <c r="AHR162">
        <v>1.1200000000000001</v>
      </c>
      <c r="AHS162">
        <v>1.1200000000000001</v>
      </c>
      <c r="AHT162">
        <v>1.1200000000000001</v>
      </c>
      <c r="AHU162">
        <v>1.1200000000000001</v>
      </c>
      <c r="AHV162">
        <v>1.1200000000000001</v>
      </c>
      <c r="AHW162">
        <v>1.1200000000000001</v>
      </c>
      <c r="AHX162">
        <v>1.1200000000000001</v>
      </c>
      <c r="AHY162">
        <v>1.1200000000000001</v>
      </c>
      <c r="AHZ162">
        <v>1.1200000000000001</v>
      </c>
      <c r="AIA162">
        <v>1.1200000000000001</v>
      </c>
      <c r="AIB162">
        <v>1.1200000000000001</v>
      </c>
      <c r="AIC162">
        <v>1.1200000000000001</v>
      </c>
      <c r="AID162">
        <v>1.1200000000000001</v>
      </c>
      <c r="AIE162">
        <v>1.1200000000000001</v>
      </c>
      <c r="AIF162">
        <v>1.1200000000000001</v>
      </c>
      <c r="AIG162">
        <v>1.1200000000000001</v>
      </c>
      <c r="AIH162">
        <v>1.1200000000000001</v>
      </c>
      <c r="AII162">
        <v>1.1200000000000001</v>
      </c>
      <c r="AIJ162">
        <v>1.1200000000000001</v>
      </c>
      <c r="AIK162">
        <v>1.1200000000000001</v>
      </c>
      <c r="AIL162">
        <v>1.1200000000000001</v>
      </c>
      <c r="AIM162">
        <v>1.1200000000000001</v>
      </c>
      <c r="AIN162">
        <v>1.1200000000000001</v>
      </c>
      <c r="AIO162">
        <v>1.1200000000000001</v>
      </c>
      <c r="AIP162">
        <v>1.1200000000000001</v>
      </c>
      <c r="AIQ162">
        <v>1.1200000000000001</v>
      </c>
      <c r="AIR162">
        <v>1.1200000000000001</v>
      </c>
      <c r="AIS162">
        <v>1.1200000000000001</v>
      </c>
      <c r="AIT162">
        <v>1.1200000000000001</v>
      </c>
      <c r="AIU162">
        <v>1.1200000000000001</v>
      </c>
      <c r="AIV162">
        <v>1.1200000000000001</v>
      </c>
      <c r="AIW162">
        <v>1.1200000000000001</v>
      </c>
      <c r="AIX162">
        <v>1.1200000000000001</v>
      </c>
      <c r="AIY162">
        <v>1.1200000000000001</v>
      </c>
      <c r="AIZ162">
        <v>1.1200000000000001</v>
      </c>
      <c r="AJA162">
        <v>1.1200000000000001</v>
      </c>
      <c r="AJB162">
        <v>1.1200000000000001</v>
      </c>
      <c r="AJC162">
        <v>1.1200000000000001</v>
      </c>
      <c r="AJD162">
        <v>1.1200000000000001</v>
      </c>
      <c r="AJE162">
        <v>1.1200000000000001</v>
      </c>
      <c r="AJF162">
        <v>1.1200000000000001</v>
      </c>
      <c r="AJG162">
        <v>1.1200000000000001</v>
      </c>
      <c r="AJH162">
        <v>1.1200000000000001</v>
      </c>
      <c r="AJI162">
        <v>1.1200000000000001</v>
      </c>
      <c r="AJJ162">
        <v>1.1200000000000001</v>
      </c>
      <c r="AJK162">
        <v>1.1200000000000001</v>
      </c>
      <c r="AJL162">
        <v>1.1200000000000001</v>
      </c>
      <c r="AJM162">
        <v>1.1200000000000001</v>
      </c>
      <c r="AJN162">
        <v>1.1200000000000001</v>
      </c>
      <c r="AJO162">
        <v>1.1200000000000001</v>
      </c>
      <c r="AJP162">
        <v>1.1200000000000001</v>
      </c>
      <c r="AJQ162">
        <v>1.1200000000000001</v>
      </c>
    </row>
    <row r="163" spans="1:970" ht="14.4" customHeight="1" x14ac:dyDescent="0.55000000000000004">
      <c r="A163" t="s">
        <v>464</v>
      </c>
      <c r="B163" t="s">
        <v>652</v>
      </c>
      <c r="C163" s="1" t="s">
        <v>678</v>
      </c>
      <c r="AJR163">
        <v>3.8</v>
      </c>
      <c r="AJS163">
        <v>3.8</v>
      </c>
      <c r="AJT163">
        <v>3.8</v>
      </c>
      <c r="AJU163">
        <v>3.8</v>
      </c>
      <c r="AJV163">
        <v>3.8</v>
      </c>
      <c r="AJW163">
        <v>3.8</v>
      </c>
      <c r="AJX163">
        <v>3.8</v>
      </c>
      <c r="AJY163">
        <v>3.8</v>
      </c>
      <c r="AJZ163">
        <v>3.8</v>
      </c>
      <c r="AKA163">
        <v>3.8</v>
      </c>
      <c r="AKB163">
        <v>3.8</v>
      </c>
      <c r="AKC163">
        <v>3.8</v>
      </c>
      <c r="AKD163">
        <v>3.8</v>
      </c>
      <c r="AKE163">
        <v>3.8</v>
      </c>
      <c r="AKF163">
        <v>3.8</v>
      </c>
      <c r="AKG163">
        <v>3.8</v>
      </c>
      <c r="AKH163">
        <v>4.0199999999999996</v>
      </c>
    </row>
    <row r="164" spans="1:970" ht="14.4" customHeight="1" x14ac:dyDescent="0.55000000000000004">
      <c r="A164" t="s">
        <v>465</v>
      </c>
      <c r="B164" t="s">
        <v>652</v>
      </c>
      <c r="C164" s="1" t="s">
        <v>679</v>
      </c>
      <c r="AJR164">
        <v>3.1</v>
      </c>
      <c r="AJS164">
        <v>3.1</v>
      </c>
      <c r="AJT164">
        <v>3.1</v>
      </c>
      <c r="AJU164">
        <v>3.1</v>
      </c>
      <c r="AJV164">
        <v>3.1</v>
      </c>
      <c r="AJW164">
        <v>3.1</v>
      </c>
      <c r="AJX164">
        <v>3.1</v>
      </c>
      <c r="AJY164">
        <v>3.1</v>
      </c>
      <c r="AJZ164">
        <v>3.1</v>
      </c>
      <c r="AKA164">
        <v>3.1</v>
      </c>
      <c r="AKB164">
        <v>3.1</v>
      </c>
      <c r="AKC164">
        <v>3.1</v>
      </c>
      <c r="AKD164">
        <v>3.1</v>
      </c>
      <c r="AKE164">
        <v>3.1</v>
      </c>
      <c r="AKF164">
        <v>3.1</v>
      </c>
      <c r="AKG164">
        <v>3.1</v>
      </c>
      <c r="AKH164">
        <v>4.33</v>
      </c>
    </row>
    <row r="165" spans="1:970" ht="14.4" customHeight="1" x14ac:dyDescent="0.55000000000000004">
      <c r="A165" t="s">
        <v>466</v>
      </c>
      <c r="B165" t="s">
        <v>652</v>
      </c>
      <c r="C165" s="1" t="s">
        <v>681</v>
      </c>
      <c r="AJR165">
        <v>1.4</v>
      </c>
      <c r="AJS165">
        <v>1.4</v>
      </c>
      <c r="AJT165">
        <v>1.4</v>
      </c>
      <c r="AJU165">
        <v>1.4</v>
      </c>
      <c r="AJV165">
        <v>1.4</v>
      </c>
      <c r="AJW165">
        <v>1.4</v>
      </c>
      <c r="AJX165">
        <v>1.4</v>
      </c>
      <c r="AJY165">
        <v>1.4</v>
      </c>
      <c r="AJZ165">
        <v>1.4</v>
      </c>
      <c r="AKA165">
        <v>1.4</v>
      </c>
      <c r="AKB165">
        <v>1.4</v>
      </c>
      <c r="AKC165">
        <v>1.4</v>
      </c>
      <c r="AKD165">
        <v>1.4</v>
      </c>
      <c r="AKE165">
        <v>1.4</v>
      </c>
      <c r="AKF165">
        <v>1.4</v>
      </c>
      <c r="AKG165">
        <v>1.4</v>
      </c>
      <c r="AKH165">
        <v>2.7572000000000001</v>
      </c>
    </row>
    <row r="166" spans="1:970" ht="14.4" customHeight="1" x14ac:dyDescent="0.55000000000000004">
      <c r="A166" t="s">
        <v>517</v>
      </c>
      <c r="B166" t="s">
        <v>652</v>
      </c>
      <c r="C166" s="1" t="s">
        <v>680</v>
      </c>
      <c r="AKH166">
        <v>0.45</v>
      </c>
    </row>
    <row r="167" spans="1:970" ht="14.4" customHeight="1" x14ac:dyDescent="0.55000000000000004">
      <c r="A167" t="s">
        <v>467</v>
      </c>
      <c r="B167" t="s">
        <v>683</v>
      </c>
      <c r="C167" s="1" t="s">
        <v>682</v>
      </c>
      <c r="AJR167">
        <v>0.15</v>
      </c>
      <c r="AJS167">
        <v>0.15</v>
      </c>
      <c r="AJT167">
        <v>0.15</v>
      </c>
      <c r="AJU167">
        <v>0.15</v>
      </c>
      <c r="AJV167">
        <v>0.15</v>
      </c>
      <c r="AJW167">
        <v>0.15</v>
      </c>
      <c r="AJX167">
        <v>0.15</v>
      </c>
      <c r="AJY167">
        <v>0.15</v>
      </c>
      <c r="AJZ167">
        <v>0.15</v>
      </c>
      <c r="AKA167">
        <v>0.13</v>
      </c>
      <c r="AKB167">
        <v>0.13</v>
      </c>
      <c r="AKC167">
        <v>0.13</v>
      </c>
      <c r="AKD167">
        <v>0.13</v>
      </c>
      <c r="AKE167">
        <v>0.13</v>
      </c>
      <c r="AKF167">
        <v>0.13</v>
      </c>
      <c r="AKG167">
        <v>0.13</v>
      </c>
      <c r="AKH167">
        <v>0.185</v>
      </c>
    </row>
    <row r="168" spans="1:970" ht="14.4" customHeight="1" x14ac:dyDescent="0.55000000000000004">
      <c r="A168" t="s">
        <v>468</v>
      </c>
      <c r="B168" t="s">
        <v>683</v>
      </c>
      <c r="C168" s="1" t="s">
        <v>684</v>
      </c>
      <c r="AJR168">
        <v>0.1</v>
      </c>
      <c r="AJS168">
        <v>0.1</v>
      </c>
      <c r="AJT168">
        <v>0.1</v>
      </c>
      <c r="AJU168">
        <v>0.1</v>
      </c>
      <c r="AJV168">
        <v>0.1</v>
      </c>
      <c r="AJW168">
        <v>0.1</v>
      </c>
      <c r="AJX168">
        <v>0.1</v>
      </c>
      <c r="AJY168">
        <v>0.1</v>
      </c>
      <c r="AJZ168">
        <v>0.1</v>
      </c>
      <c r="AKA168">
        <v>0.1</v>
      </c>
      <c r="AKB168">
        <v>0.1</v>
      </c>
      <c r="AKC168">
        <v>0.1</v>
      </c>
      <c r="AKD168">
        <v>0.1</v>
      </c>
      <c r="AKE168">
        <v>0.1</v>
      </c>
      <c r="AKF168">
        <v>0.1</v>
      </c>
      <c r="AKG168">
        <v>0.1</v>
      </c>
      <c r="AKH168">
        <v>0.185</v>
      </c>
    </row>
    <row r="169" spans="1:970" ht="14.4" customHeight="1" x14ac:dyDescent="0.55000000000000004">
      <c r="A169" t="s">
        <v>469</v>
      </c>
      <c r="B169" t="s">
        <v>683</v>
      </c>
      <c r="C169" s="1" t="s">
        <v>685</v>
      </c>
      <c r="AJR169">
        <v>0.1</v>
      </c>
      <c r="AJS169">
        <v>0.1</v>
      </c>
      <c r="AJT169">
        <v>0.1</v>
      </c>
      <c r="AJU169">
        <v>0.1</v>
      </c>
      <c r="AJV169">
        <v>0.1</v>
      </c>
      <c r="AJW169">
        <v>0.1</v>
      </c>
      <c r="AJX169">
        <v>0.1</v>
      </c>
      <c r="AJY169">
        <v>0.1</v>
      </c>
      <c r="AJZ169">
        <v>0.1</v>
      </c>
      <c r="AKA169">
        <v>0.1</v>
      </c>
      <c r="AKB169">
        <v>0.1</v>
      </c>
      <c r="AKC169">
        <v>0.1</v>
      </c>
      <c r="AKD169">
        <v>0.1</v>
      </c>
      <c r="AKE169">
        <v>0.1</v>
      </c>
      <c r="AKF169">
        <v>0.1</v>
      </c>
      <c r="AKG169">
        <v>0.1</v>
      </c>
      <c r="AKH169">
        <v>0.155</v>
      </c>
    </row>
    <row r="170" spans="1:970" ht="14.4" customHeight="1" x14ac:dyDescent="0.55000000000000004">
      <c r="A170" t="s">
        <v>470</v>
      </c>
      <c r="B170" t="s">
        <v>660</v>
      </c>
      <c r="C170" s="1" t="s">
        <v>687</v>
      </c>
      <c r="AJR170">
        <v>80</v>
      </c>
      <c r="AJS170">
        <v>80</v>
      </c>
      <c r="AJT170">
        <v>80</v>
      </c>
      <c r="AJU170">
        <v>80</v>
      </c>
      <c r="AJV170">
        <v>80</v>
      </c>
      <c r="AJW170">
        <v>80</v>
      </c>
      <c r="AJX170">
        <v>80</v>
      </c>
      <c r="AJY170">
        <v>80</v>
      </c>
      <c r="AJZ170">
        <v>80</v>
      </c>
      <c r="AKA170">
        <v>80</v>
      </c>
      <c r="AKB170">
        <v>80</v>
      </c>
      <c r="AKC170">
        <v>80</v>
      </c>
      <c r="AKD170">
        <v>80</v>
      </c>
      <c r="AKE170">
        <v>80</v>
      </c>
      <c r="AKF170">
        <v>80</v>
      </c>
      <c r="AKG170">
        <v>80</v>
      </c>
    </row>
    <row r="171" spans="1:970" ht="14.4" customHeight="1" x14ac:dyDescent="0.55000000000000004">
      <c r="A171" t="s">
        <v>471</v>
      </c>
      <c r="B171" t="s">
        <v>660</v>
      </c>
      <c r="C171" s="1" t="s">
        <v>686</v>
      </c>
      <c r="AJR171">
        <v>50</v>
      </c>
      <c r="AJS171">
        <v>50</v>
      </c>
      <c r="AJT171">
        <v>50</v>
      </c>
      <c r="AJU171">
        <v>50</v>
      </c>
      <c r="AJV171">
        <v>50</v>
      </c>
      <c r="AJW171">
        <v>50</v>
      </c>
      <c r="AJX171">
        <v>50</v>
      </c>
      <c r="AJY171">
        <v>50</v>
      </c>
      <c r="AJZ171">
        <v>50</v>
      </c>
      <c r="AKA171">
        <v>50</v>
      </c>
      <c r="AKB171">
        <v>50</v>
      </c>
      <c r="AKC171">
        <v>50</v>
      </c>
      <c r="AKD171">
        <v>50</v>
      </c>
      <c r="AKE171">
        <v>50</v>
      </c>
      <c r="AKF171">
        <v>50</v>
      </c>
      <c r="AKG171">
        <v>50</v>
      </c>
    </row>
    <row r="172" spans="1:970" ht="14.4" customHeight="1" x14ac:dyDescent="0.55000000000000004">
      <c r="A172" t="s">
        <v>472</v>
      </c>
      <c r="B172" t="s">
        <v>660</v>
      </c>
      <c r="C172" s="1" t="s">
        <v>689</v>
      </c>
      <c r="AJR172">
        <v>5</v>
      </c>
      <c r="AJS172">
        <v>5</v>
      </c>
      <c r="AJT172">
        <v>5</v>
      </c>
      <c r="AJU172">
        <v>5</v>
      </c>
      <c r="AJV172">
        <v>5</v>
      </c>
      <c r="AJW172">
        <v>5</v>
      </c>
      <c r="AJX172">
        <v>5</v>
      </c>
      <c r="AJY172">
        <v>5</v>
      </c>
      <c r="AJZ172">
        <v>5</v>
      </c>
      <c r="AKA172">
        <v>5</v>
      </c>
      <c r="AKB172">
        <v>5</v>
      </c>
      <c r="AKC172">
        <v>5</v>
      </c>
      <c r="AKD172">
        <v>5</v>
      </c>
      <c r="AKE172">
        <v>5</v>
      </c>
      <c r="AKF172">
        <v>5</v>
      </c>
      <c r="AKG172">
        <v>5</v>
      </c>
    </row>
    <row r="173" spans="1:970" ht="14.4" customHeight="1" x14ac:dyDescent="0.55000000000000004">
      <c r="A173" t="s">
        <v>495</v>
      </c>
      <c r="B173" t="s">
        <v>660</v>
      </c>
      <c r="C173" s="1" t="s">
        <v>688</v>
      </c>
      <c r="AKA173">
        <v>5</v>
      </c>
      <c r="AKB173">
        <v>5</v>
      </c>
      <c r="AKC173">
        <v>5</v>
      </c>
      <c r="AKD173">
        <v>5</v>
      </c>
      <c r="AKE173">
        <v>5</v>
      </c>
      <c r="AKF173">
        <v>5</v>
      </c>
      <c r="AKG173">
        <v>5</v>
      </c>
    </row>
    <row r="174" spans="1:970" ht="14.4" customHeight="1" x14ac:dyDescent="0.55000000000000004">
      <c r="A174" t="s">
        <v>473</v>
      </c>
      <c r="B174" t="s">
        <v>660</v>
      </c>
      <c r="C174" s="1" t="s">
        <v>793</v>
      </c>
      <c r="AJR174">
        <v>0.32132165305310301</v>
      </c>
      <c r="AJS174">
        <v>0.32132165305310301</v>
      </c>
      <c r="AJT174">
        <v>0.32</v>
      </c>
      <c r="AJU174">
        <v>0.32</v>
      </c>
      <c r="AJV174">
        <v>0.32</v>
      </c>
      <c r="AJW174">
        <v>0.32</v>
      </c>
      <c r="AJX174">
        <v>0.32</v>
      </c>
      <c r="AJY174">
        <v>0.32</v>
      </c>
      <c r="AJZ174">
        <v>0.32</v>
      </c>
      <c r="AKA174">
        <v>0.20877148393797901</v>
      </c>
      <c r="AKB174">
        <v>0.20877148393797901</v>
      </c>
      <c r="AKC174">
        <v>0.20877148393797901</v>
      </c>
      <c r="AKD174">
        <v>0.20877148393797901</v>
      </c>
      <c r="AKE174">
        <v>0.20877148393797901</v>
      </c>
      <c r="AKF174">
        <v>0.20877148393797901</v>
      </c>
      <c r="AKG174">
        <v>0.20877148393797901</v>
      </c>
    </row>
    <row r="175" spans="1:970" ht="14.4" customHeight="1" x14ac:dyDescent="0.55000000000000004">
      <c r="A175" t="s">
        <v>474</v>
      </c>
      <c r="B175" t="s">
        <v>660</v>
      </c>
      <c r="C175" s="1" t="s">
        <v>794</v>
      </c>
      <c r="AJR175">
        <v>0.19536385238677156</v>
      </c>
      <c r="AJS175">
        <v>0.19536385238677156</v>
      </c>
      <c r="AJT175">
        <v>0.2</v>
      </c>
      <c r="AJU175">
        <v>0.2</v>
      </c>
      <c r="AJV175">
        <v>0.2</v>
      </c>
      <c r="AJW175">
        <v>0.2</v>
      </c>
      <c r="AJX175">
        <v>0.2</v>
      </c>
      <c r="AJY175">
        <v>0.2</v>
      </c>
      <c r="AJZ175">
        <v>0.2</v>
      </c>
      <c r="AKA175">
        <v>0.115415343291821</v>
      </c>
      <c r="AKB175">
        <v>0.115415343291821</v>
      </c>
      <c r="AKC175">
        <v>0.115415343291821</v>
      </c>
      <c r="AKD175">
        <v>0.115415343291821</v>
      </c>
      <c r="AKE175">
        <v>0.115415343291821</v>
      </c>
      <c r="AKF175">
        <v>0.115415343291821</v>
      </c>
      <c r="AKG175">
        <v>0.115415343291821</v>
      </c>
    </row>
    <row r="176" spans="1:970" ht="14.4" customHeight="1" x14ac:dyDescent="0.55000000000000004">
      <c r="A176" t="s">
        <v>475</v>
      </c>
      <c r="B176" t="s">
        <v>660</v>
      </c>
      <c r="C176" s="1" t="s">
        <v>796</v>
      </c>
      <c r="AJR176">
        <v>0.16430020258958292</v>
      </c>
      <c r="AJS176">
        <v>0.16430020258958292</v>
      </c>
      <c r="AJT176">
        <v>0.16</v>
      </c>
      <c r="AJU176">
        <v>0.16</v>
      </c>
      <c r="AJV176">
        <v>0.16</v>
      </c>
      <c r="AJW176">
        <v>0.16</v>
      </c>
      <c r="AJX176">
        <v>0.16</v>
      </c>
      <c r="AJY176">
        <v>0.16</v>
      </c>
      <c r="AJZ176">
        <v>0.16</v>
      </c>
      <c r="AKA176">
        <v>0.112530191715881</v>
      </c>
      <c r="AKB176">
        <v>0.112530191715881</v>
      </c>
      <c r="AKC176">
        <v>0.112530191715881</v>
      </c>
      <c r="AKD176">
        <v>0.112530191715881</v>
      </c>
      <c r="AKE176">
        <v>0.112530191715881</v>
      </c>
      <c r="AKF176">
        <v>0.112530191715881</v>
      </c>
      <c r="AKG176">
        <v>0.112530191715881</v>
      </c>
    </row>
    <row r="177" spans="1:985" ht="14.4" customHeight="1" x14ac:dyDescent="0.55000000000000004">
      <c r="A177" t="s">
        <v>494</v>
      </c>
      <c r="B177" t="s">
        <v>660</v>
      </c>
      <c r="C177" s="1" t="s">
        <v>795</v>
      </c>
      <c r="AKA177">
        <v>0.33600444720492201</v>
      </c>
      <c r="AKB177">
        <v>0.33600444720492201</v>
      </c>
      <c r="AKC177">
        <v>0.33600444720492201</v>
      </c>
      <c r="AKD177">
        <v>0.33600444720492201</v>
      </c>
      <c r="AKE177">
        <v>0.33600444720492201</v>
      </c>
      <c r="AKF177">
        <v>0.33600444720492201</v>
      </c>
      <c r="AKG177">
        <v>0.33600444720492201</v>
      </c>
    </row>
    <row r="178" spans="1:985" ht="14.4" customHeight="1" x14ac:dyDescent="0.55000000000000004">
      <c r="A178" t="s">
        <v>477</v>
      </c>
      <c r="B178" t="s">
        <v>626</v>
      </c>
      <c r="C178" s="1" t="s">
        <v>797</v>
      </c>
      <c r="AJR178">
        <v>1</v>
      </c>
      <c r="AJS178">
        <v>1</v>
      </c>
      <c r="AJT178">
        <v>1.2235173554128926</v>
      </c>
      <c r="AJU178">
        <v>1.2235173554128926</v>
      </c>
      <c r="AJV178">
        <v>1.277542222260547</v>
      </c>
      <c r="AJW178">
        <v>1.277542222260547</v>
      </c>
      <c r="AJX178">
        <v>1.277542222260547</v>
      </c>
      <c r="AJY178">
        <v>1.277542222260547</v>
      </c>
      <c r="AJZ178">
        <v>1.3360698563139091</v>
      </c>
      <c r="AKA178">
        <v>1</v>
      </c>
      <c r="AKB178">
        <v>1</v>
      </c>
      <c r="AKC178">
        <v>1</v>
      </c>
      <c r="AKD178">
        <v>1</v>
      </c>
      <c r="AKE178">
        <v>1</v>
      </c>
      <c r="AKF178">
        <v>1</v>
      </c>
      <c r="AKG178">
        <v>1</v>
      </c>
    </row>
    <row r="179" spans="1:985" ht="14.4" customHeight="1" x14ac:dyDescent="0.55000000000000004">
      <c r="A179" t="s">
        <v>65</v>
      </c>
      <c r="B179" t="s">
        <v>521</v>
      </c>
      <c r="C179" s="1" t="s">
        <v>759</v>
      </c>
      <c r="BN179" t="s">
        <v>67</v>
      </c>
      <c r="BP179" t="s">
        <v>71</v>
      </c>
      <c r="BX179" t="s">
        <v>74</v>
      </c>
      <c r="CA179" t="s">
        <v>411</v>
      </c>
      <c r="CB179" t="s">
        <v>411</v>
      </c>
      <c r="CC179" t="s">
        <v>411</v>
      </c>
      <c r="CD179" t="s">
        <v>411</v>
      </c>
      <c r="CE179" t="s">
        <v>411</v>
      </c>
      <c r="CF179" t="s">
        <v>411</v>
      </c>
      <c r="CG179" t="s">
        <v>411</v>
      </c>
      <c r="CH179" t="s">
        <v>411</v>
      </c>
      <c r="CI179" t="s">
        <v>411</v>
      </c>
      <c r="CJ179" t="s">
        <v>411</v>
      </c>
      <c r="CK179" t="s">
        <v>411</v>
      </c>
      <c r="CL179" t="s">
        <v>411</v>
      </c>
      <c r="CM179" t="s">
        <v>411</v>
      </c>
      <c r="CN179" t="s">
        <v>411</v>
      </c>
      <c r="CO179" t="s">
        <v>411</v>
      </c>
      <c r="CP179" t="s">
        <v>411</v>
      </c>
      <c r="CQ179" t="s">
        <v>411</v>
      </c>
      <c r="CR179" t="s">
        <v>411</v>
      </c>
      <c r="CS179" t="s">
        <v>411</v>
      </c>
      <c r="CT179" t="s">
        <v>411</v>
      </c>
      <c r="CU179" t="s">
        <v>411</v>
      </c>
      <c r="CV179" t="s">
        <v>411</v>
      </c>
      <c r="CW179" t="s">
        <v>411</v>
      </c>
      <c r="CX179" t="s">
        <v>411</v>
      </c>
      <c r="CY179" t="s">
        <v>411</v>
      </c>
      <c r="CZ179" t="s">
        <v>411</v>
      </c>
      <c r="DA179" t="s">
        <v>411</v>
      </c>
      <c r="DB179" t="s">
        <v>411</v>
      </c>
      <c r="DC179" t="s">
        <v>411</v>
      </c>
      <c r="DD179" t="s">
        <v>411</v>
      </c>
      <c r="DE179" t="s">
        <v>411</v>
      </c>
      <c r="DF179" t="s">
        <v>411</v>
      </c>
      <c r="DG179" t="s">
        <v>411</v>
      </c>
      <c r="DH179" t="s">
        <v>411</v>
      </c>
      <c r="DI179" t="s">
        <v>411</v>
      </c>
      <c r="DJ179" t="s">
        <v>411</v>
      </c>
      <c r="DK179" t="s">
        <v>411</v>
      </c>
      <c r="DL179" t="s">
        <v>411</v>
      </c>
      <c r="DM179" t="s">
        <v>411</v>
      </c>
      <c r="DN179" t="s">
        <v>411</v>
      </c>
      <c r="DO179" t="s">
        <v>411</v>
      </c>
      <c r="DP179" t="s">
        <v>411</v>
      </c>
      <c r="DQ179" t="s">
        <v>411</v>
      </c>
      <c r="DR179" t="s">
        <v>411</v>
      </c>
      <c r="DS179" t="s">
        <v>411</v>
      </c>
      <c r="DT179" t="s">
        <v>411</v>
      </c>
      <c r="DU179" t="s">
        <v>411</v>
      </c>
      <c r="DV179" t="s">
        <v>411</v>
      </c>
      <c r="DW179" t="s">
        <v>411</v>
      </c>
      <c r="DX179" t="s">
        <v>411</v>
      </c>
      <c r="DY179" t="s">
        <v>411</v>
      </c>
      <c r="DZ179" t="s">
        <v>411</v>
      </c>
      <c r="EA179" t="s">
        <v>411</v>
      </c>
      <c r="EB179" t="s">
        <v>411</v>
      </c>
      <c r="EC179" t="s">
        <v>411</v>
      </c>
      <c r="ED179" t="s">
        <v>411</v>
      </c>
      <c r="EE179" t="s">
        <v>411</v>
      </c>
      <c r="EF179" t="s">
        <v>411</v>
      </c>
      <c r="EG179" t="s">
        <v>411</v>
      </c>
      <c r="EH179" t="s">
        <v>411</v>
      </c>
      <c r="EI179" t="s">
        <v>411</v>
      </c>
      <c r="EJ179" t="s">
        <v>411</v>
      </c>
      <c r="EK179" t="s">
        <v>411</v>
      </c>
      <c r="EL179" t="s">
        <v>411</v>
      </c>
      <c r="EM179" t="s">
        <v>411</v>
      </c>
      <c r="EN179" t="s">
        <v>411</v>
      </c>
      <c r="EO179" t="s">
        <v>411</v>
      </c>
      <c r="EP179" t="s">
        <v>411</v>
      </c>
      <c r="EQ179" t="s">
        <v>411</v>
      </c>
      <c r="ER179" t="s">
        <v>411</v>
      </c>
      <c r="ES179" t="s">
        <v>411</v>
      </c>
      <c r="ET179" t="s">
        <v>411</v>
      </c>
      <c r="EU179" t="s">
        <v>411</v>
      </c>
      <c r="EV179" t="s">
        <v>411</v>
      </c>
      <c r="EW179" t="s">
        <v>411</v>
      </c>
      <c r="EX179" t="s">
        <v>411</v>
      </c>
      <c r="EY179" t="s">
        <v>411</v>
      </c>
      <c r="EZ179" t="s">
        <v>411</v>
      </c>
      <c r="FA179" t="s">
        <v>411</v>
      </c>
      <c r="FB179" t="s">
        <v>411</v>
      </c>
      <c r="FC179" t="s">
        <v>411</v>
      </c>
      <c r="FD179" t="s">
        <v>411</v>
      </c>
      <c r="FE179" t="s">
        <v>411</v>
      </c>
      <c r="FF179" t="s">
        <v>411</v>
      </c>
      <c r="FG179" t="s">
        <v>411</v>
      </c>
      <c r="FH179" t="s">
        <v>411</v>
      </c>
      <c r="FI179" t="s">
        <v>411</v>
      </c>
      <c r="FJ179" t="s">
        <v>411</v>
      </c>
      <c r="FK179" t="s">
        <v>411</v>
      </c>
      <c r="FL179" t="s">
        <v>411</v>
      </c>
      <c r="FM179" t="s">
        <v>411</v>
      </c>
      <c r="FN179" t="s">
        <v>411</v>
      </c>
      <c r="FO179" t="s">
        <v>411</v>
      </c>
      <c r="FP179" t="s">
        <v>411</v>
      </c>
      <c r="FQ179" t="s">
        <v>411</v>
      </c>
      <c r="FR179" t="s">
        <v>411</v>
      </c>
      <c r="FS179" t="s">
        <v>411</v>
      </c>
      <c r="FT179" t="s">
        <v>411</v>
      </c>
      <c r="FU179" t="s">
        <v>411</v>
      </c>
      <c r="FV179" t="s">
        <v>411</v>
      </c>
      <c r="FW179" t="s">
        <v>411</v>
      </c>
      <c r="FX179" t="s">
        <v>411</v>
      </c>
      <c r="FY179" t="s">
        <v>411</v>
      </c>
      <c r="FZ179" t="s">
        <v>411</v>
      </c>
      <c r="GA179" t="s">
        <v>411</v>
      </c>
      <c r="GB179" t="s">
        <v>411</v>
      </c>
      <c r="GC179" t="s">
        <v>446</v>
      </c>
      <c r="GD179" t="s">
        <v>446</v>
      </c>
      <c r="GE179" t="s">
        <v>446</v>
      </c>
      <c r="GF179" t="s">
        <v>446</v>
      </c>
      <c r="GG179" t="s">
        <v>446</v>
      </c>
      <c r="GH179" t="s">
        <v>446</v>
      </c>
      <c r="GI179" t="s">
        <v>446</v>
      </c>
      <c r="GJ179" t="s">
        <v>446</v>
      </c>
      <c r="GK179" t="s">
        <v>446</v>
      </c>
      <c r="GL179" t="s">
        <v>446</v>
      </c>
      <c r="GM179" t="s">
        <v>446</v>
      </c>
      <c r="GN179" t="s">
        <v>446</v>
      </c>
      <c r="GO179" t="s">
        <v>446</v>
      </c>
      <c r="GP179" t="s">
        <v>446</v>
      </c>
      <c r="GQ179" t="s">
        <v>446</v>
      </c>
      <c r="GR179" t="s">
        <v>446</v>
      </c>
      <c r="GS179" t="s">
        <v>446</v>
      </c>
      <c r="GT179" t="s">
        <v>446</v>
      </c>
      <c r="GU179" t="s">
        <v>446</v>
      </c>
      <c r="GV179" t="s">
        <v>446</v>
      </c>
      <c r="GW179" t="s">
        <v>446</v>
      </c>
      <c r="GX179" t="s">
        <v>446</v>
      </c>
      <c r="GY179" t="s">
        <v>446</v>
      </c>
      <c r="GZ179" t="s">
        <v>446</v>
      </c>
      <c r="HA179" t="s">
        <v>446</v>
      </c>
      <c r="HB179" t="s">
        <v>446</v>
      </c>
      <c r="HC179" t="s">
        <v>446</v>
      </c>
      <c r="HD179" t="s">
        <v>446</v>
      </c>
      <c r="HE179" t="s">
        <v>446</v>
      </c>
      <c r="HF179" t="s">
        <v>446</v>
      </c>
      <c r="HG179" t="s">
        <v>446</v>
      </c>
      <c r="HH179" t="s">
        <v>446</v>
      </c>
      <c r="HI179" t="s">
        <v>446</v>
      </c>
      <c r="HJ179" t="s">
        <v>446</v>
      </c>
      <c r="HK179" t="s">
        <v>446</v>
      </c>
      <c r="HL179" t="s">
        <v>446</v>
      </c>
      <c r="HM179" t="s">
        <v>446</v>
      </c>
      <c r="HN179" t="s">
        <v>446</v>
      </c>
      <c r="HO179" t="s">
        <v>446</v>
      </c>
      <c r="HP179" t="s">
        <v>446</v>
      </c>
      <c r="HQ179" t="s">
        <v>446</v>
      </c>
      <c r="HR179" t="s">
        <v>446</v>
      </c>
      <c r="HS179" t="s">
        <v>446</v>
      </c>
      <c r="HT179" t="s">
        <v>446</v>
      </c>
      <c r="HU179" t="s">
        <v>446</v>
      </c>
      <c r="HV179" t="s">
        <v>446</v>
      </c>
      <c r="HW179" t="s">
        <v>446</v>
      </c>
      <c r="HX179" t="s">
        <v>446</v>
      </c>
      <c r="HY179" t="s">
        <v>446</v>
      </c>
      <c r="HZ179" t="s">
        <v>446</v>
      </c>
      <c r="IA179" t="s">
        <v>446</v>
      </c>
      <c r="IB179" t="s">
        <v>446</v>
      </c>
      <c r="IC179" t="s">
        <v>446</v>
      </c>
      <c r="ID179" t="s">
        <v>446</v>
      </c>
      <c r="IE179" t="s">
        <v>446</v>
      </c>
      <c r="IF179" t="s">
        <v>446</v>
      </c>
      <c r="IG179" t="s">
        <v>446</v>
      </c>
      <c r="IH179" t="s">
        <v>446</v>
      </c>
      <c r="II179" t="s">
        <v>446</v>
      </c>
      <c r="IJ179" t="s">
        <v>446</v>
      </c>
      <c r="IK179" t="s">
        <v>446</v>
      </c>
      <c r="IL179" t="s">
        <v>446</v>
      </c>
      <c r="IM179" t="s">
        <v>446</v>
      </c>
      <c r="IN179" t="s">
        <v>446</v>
      </c>
      <c r="IO179" t="s">
        <v>446</v>
      </c>
      <c r="IP179" t="s">
        <v>446</v>
      </c>
      <c r="IQ179" t="s">
        <v>446</v>
      </c>
      <c r="IR179" t="s">
        <v>446</v>
      </c>
      <c r="IS179" t="s">
        <v>446</v>
      </c>
      <c r="IT179" t="s">
        <v>446</v>
      </c>
      <c r="IU179" t="s">
        <v>446</v>
      </c>
      <c r="IV179" t="s">
        <v>446</v>
      </c>
      <c r="IW179" t="s">
        <v>446</v>
      </c>
      <c r="IX179" t="s">
        <v>447</v>
      </c>
      <c r="IY179" t="s">
        <v>447</v>
      </c>
      <c r="IZ179" t="s">
        <v>447</v>
      </c>
      <c r="JA179" t="s">
        <v>447</v>
      </c>
      <c r="JB179" t="s">
        <v>447</v>
      </c>
      <c r="JC179" t="s">
        <v>447</v>
      </c>
      <c r="JD179" t="s">
        <v>447</v>
      </c>
      <c r="JE179" t="s">
        <v>447</v>
      </c>
      <c r="JF179" t="s">
        <v>447</v>
      </c>
      <c r="JG179" t="s">
        <v>447</v>
      </c>
      <c r="JH179" t="s">
        <v>447</v>
      </c>
      <c r="JI179" t="s">
        <v>447</v>
      </c>
      <c r="JJ179" t="s">
        <v>447</v>
      </c>
      <c r="JK179" t="s">
        <v>447</v>
      </c>
      <c r="JL179" t="s">
        <v>447</v>
      </c>
      <c r="JM179" t="s">
        <v>447</v>
      </c>
      <c r="JN179" t="s">
        <v>447</v>
      </c>
      <c r="JO179" t="s">
        <v>447</v>
      </c>
      <c r="JP179" t="s">
        <v>447</v>
      </c>
      <c r="JQ179" t="s">
        <v>447</v>
      </c>
      <c r="JR179" t="s">
        <v>447</v>
      </c>
      <c r="JS179" t="s">
        <v>447</v>
      </c>
      <c r="JT179" t="s">
        <v>447</v>
      </c>
      <c r="JU179" t="s">
        <v>447</v>
      </c>
      <c r="JV179" t="s">
        <v>447</v>
      </c>
      <c r="JW179" t="s">
        <v>447</v>
      </c>
      <c r="JX179" t="s">
        <v>447</v>
      </c>
      <c r="JY179" t="s">
        <v>447</v>
      </c>
      <c r="JZ179" t="s">
        <v>447</v>
      </c>
      <c r="KA179" t="s">
        <v>447</v>
      </c>
      <c r="KB179" t="s">
        <v>447</v>
      </c>
      <c r="KC179" t="s">
        <v>447</v>
      </c>
      <c r="KD179" t="s">
        <v>447</v>
      </c>
      <c r="KE179" t="s">
        <v>447</v>
      </c>
      <c r="KF179" t="s">
        <v>447</v>
      </c>
      <c r="KG179" t="s">
        <v>447</v>
      </c>
      <c r="KH179" t="s">
        <v>447</v>
      </c>
      <c r="KI179" t="s">
        <v>447</v>
      </c>
      <c r="KJ179" t="s">
        <v>447</v>
      </c>
      <c r="KK179" t="s">
        <v>447</v>
      </c>
      <c r="KL179" t="s">
        <v>447</v>
      </c>
      <c r="KM179" t="s">
        <v>447</v>
      </c>
      <c r="KN179" t="s">
        <v>447</v>
      </c>
      <c r="KO179" t="s">
        <v>447</v>
      </c>
      <c r="KP179" t="s">
        <v>447</v>
      </c>
      <c r="KQ179" t="s">
        <v>447</v>
      </c>
      <c r="KR179" t="s">
        <v>447</v>
      </c>
      <c r="KS179" t="s">
        <v>447</v>
      </c>
      <c r="KT179" t="s">
        <v>447</v>
      </c>
      <c r="KU179" t="s">
        <v>447</v>
      </c>
      <c r="KV179" t="s">
        <v>447</v>
      </c>
      <c r="KW179" t="s">
        <v>447</v>
      </c>
      <c r="KX179" t="s">
        <v>447</v>
      </c>
      <c r="KY179" t="s">
        <v>447</v>
      </c>
      <c r="KZ179" t="s">
        <v>447</v>
      </c>
      <c r="LA179" t="s">
        <v>447</v>
      </c>
      <c r="LB179" t="s">
        <v>447</v>
      </c>
      <c r="LC179" t="s">
        <v>447</v>
      </c>
      <c r="LD179" t="s">
        <v>447</v>
      </c>
      <c r="LE179" t="s">
        <v>447</v>
      </c>
      <c r="LF179" t="s">
        <v>447</v>
      </c>
      <c r="LG179" t="s">
        <v>447</v>
      </c>
      <c r="LH179" t="s">
        <v>447</v>
      </c>
      <c r="LI179" t="s">
        <v>447</v>
      </c>
      <c r="LJ179" t="s">
        <v>447</v>
      </c>
      <c r="LK179" t="s">
        <v>447</v>
      </c>
      <c r="LL179" t="s">
        <v>447</v>
      </c>
      <c r="LM179" t="s">
        <v>447</v>
      </c>
      <c r="LN179" t="s">
        <v>447</v>
      </c>
      <c r="LO179" t="s">
        <v>447</v>
      </c>
      <c r="LP179" t="s">
        <v>447</v>
      </c>
      <c r="LQ179" t="s">
        <v>447</v>
      </c>
      <c r="LR179" t="s">
        <v>447</v>
      </c>
      <c r="LS179" t="s">
        <v>447</v>
      </c>
      <c r="LT179" t="s">
        <v>447</v>
      </c>
      <c r="LU179" t="s">
        <v>447</v>
      </c>
      <c r="LV179" t="s">
        <v>447</v>
      </c>
      <c r="LW179" t="s">
        <v>447</v>
      </c>
      <c r="LX179" t="s">
        <v>447</v>
      </c>
      <c r="LY179" t="s">
        <v>447</v>
      </c>
      <c r="LZ179" t="s">
        <v>447</v>
      </c>
      <c r="MA179" t="s">
        <v>447</v>
      </c>
      <c r="MB179" t="s">
        <v>447</v>
      </c>
      <c r="MC179" t="s">
        <v>447</v>
      </c>
      <c r="MD179" t="s">
        <v>447</v>
      </c>
      <c r="ME179" t="s">
        <v>447</v>
      </c>
      <c r="MF179" t="s">
        <v>447</v>
      </c>
      <c r="ZQ179" t="s">
        <v>449</v>
      </c>
      <c r="ZR179" t="s">
        <v>449</v>
      </c>
      <c r="ZS179" t="s">
        <v>449</v>
      </c>
      <c r="ZT179" t="s">
        <v>449</v>
      </c>
      <c r="ZU179" t="s">
        <v>449</v>
      </c>
      <c r="ZV179" t="s">
        <v>449</v>
      </c>
      <c r="ZW179" t="s">
        <v>449</v>
      </c>
      <c r="ZX179" t="s">
        <v>449</v>
      </c>
      <c r="ZY179" t="s">
        <v>449</v>
      </c>
      <c r="ZZ179" t="s">
        <v>449</v>
      </c>
      <c r="AAA179" t="s">
        <v>449</v>
      </c>
      <c r="AAB179" t="s">
        <v>449</v>
      </c>
      <c r="AAC179" t="s">
        <v>449</v>
      </c>
      <c r="AAD179" t="s">
        <v>449</v>
      </c>
      <c r="AAE179" t="s">
        <v>449</v>
      </c>
      <c r="AAF179" t="s">
        <v>449</v>
      </c>
      <c r="AAG179" t="s">
        <v>449</v>
      </c>
      <c r="AAH179" t="s">
        <v>449</v>
      </c>
      <c r="AAI179" t="s">
        <v>449</v>
      </c>
      <c r="AAJ179" t="s">
        <v>449</v>
      </c>
      <c r="AAK179" t="s">
        <v>449</v>
      </c>
      <c r="AAL179" t="s">
        <v>449</v>
      </c>
      <c r="AAM179" t="s">
        <v>449</v>
      </c>
      <c r="AAN179" t="s">
        <v>449</v>
      </c>
      <c r="AAO179" t="s">
        <v>449</v>
      </c>
      <c r="AAP179" t="s">
        <v>449</v>
      </c>
      <c r="AAQ179" t="s">
        <v>449</v>
      </c>
      <c r="AAR179" t="s">
        <v>449</v>
      </c>
      <c r="AAS179" t="s">
        <v>449</v>
      </c>
      <c r="AAT179" t="s">
        <v>449</v>
      </c>
      <c r="AAU179" t="s">
        <v>449</v>
      </c>
      <c r="AAV179" t="s">
        <v>449</v>
      </c>
      <c r="AAW179" t="s">
        <v>449</v>
      </c>
      <c r="AAX179" t="s">
        <v>449</v>
      </c>
      <c r="AAY179" t="s">
        <v>449</v>
      </c>
      <c r="AAZ179" t="s">
        <v>449</v>
      </c>
      <c r="ABA179" t="s">
        <v>449</v>
      </c>
      <c r="ABB179" t="s">
        <v>449</v>
      </c>
      <c r="ABC179" t="s">
        <v>449</v>
      </c>
      <c r="ABD179" t="s">
        <v>449</v>
      </c>
      <c r="ABE179" t="s">
        <v>449</v>
      </c>
      <c r="ABF179" t="s">
        <v>449</v>
      </c>
      <c r="ABG179" t="s">
        <v>449</v>
      </c>
      <c r="ABH179" t="s">
        <v>449</v>
      </c>
      <c r="ABI179" t="s">
        <v>449</v>
      </c>
      <c r="ABJ179" t="s">
        <v>449</v>
      </c>
      <c r="ABK179" t="s">
        <v>449</v>
      </c>
      <c r="ABL179" t="s">
        <v>449</v>
      </c>
      <c r="ABM179" t="s">
        <v>449</v>
      </c>
      <c r="ABN179" t="s">
        <v>449</v>
      </c>
      <c r="ABO179" t="s">
        <v>449</v>
      </c>
      <c r="ABP179" t="s">
        <v>449</v>
      </c>
      <c r="ABQ179" t="s">
        <v>449</v>
      </c>
      <c r="ABR179" t="s">
        <v>449</v>
      </c>
      <c r="ABS179" t="s">
        <v>449</v>
      </c>
      <c r="ABT179" t="s">
        <v>449</v>
      </c>
      <c r="ABU179" t="s">
        <v>449</v>
      </c>
      <c r="ABV179" t="s">
        <v>449</v>
      </c>
      <c r="ABW179" t="s">
        <v>449</v>
      </c>
      <c r="ABX179" t="s">
        <v>449</v>
      </c>
      <c r="ABY179" t="s">
        <v>449</v>
      </c>
      <c r="ABZ179" t="s">
        <v>449</v>
      </c>
      <c r="ACA179" t="s">
        <v>449</v>
      </c>
      <c r="ACB179" t="s">
        <v>449</v>
      </c>
      <c r="ACC179" t="s">
        <v>449</v>
      </c>
      <c r="ACD179" t="s">
        <v>449</v>
      </c>
      <c r="ACE179" t="s">
        <v>449</v>
      </c>
      <c r="ACF179" t="s">
        <v>449</v>
      </c>
      <c r="ACG179" t="s">
        <v>449</v>
      </c>
      <c r="ACH179" t="s">
        <v>449</v>
      </c>
      <c r="ACI179" t="s">
        <v>449</v>
      </c>
      <c r="ACJ179" t="s">
        <v>449</v>
      </c>
      <c r="ACK179" t="s">
        <v>449</v>
      </c>
      <c r="ACL179" t="s">
        <v>449</v>
      </c>
      <c r="ACM179" t="s">
        <v>449</v>
      </c>
      <c r="ACN179" t="s">
        <v>449</v>
      </c>
      <c r="ACO179" t="s">
        <v>449</v>
      </c>
      <c r="ACP179" t="s">
        <v>449</v>
      </c>
      <c r="ACQ179" t="s">
        <v>449</v>
      </c>
      <c r="ACR179" t="s">
        <v>449</v>
      </c>
      <c r="ACS179" t="s">
        <v>449</v>
      </c>
      <c r="ACT179" t="s">
        <v>449</v>
      </c>
      <c r="ACU179" t="s">
        <v>449</v>
      </c>
      <c r="ACV179" t="s">
        <v>449</v>
      </c>
      <c r="ACW179" t="s">
        <v>449</v>
      </c>
      <c r="ACX179" t="s">
        <v>449</v>
      </c>
      <c r="ACY179" t="s">
        <v>449</v>
      </c>
      <c r="ACZ179" t="s">
        <v>449</v>
      </c>
      <c r="ADA179" t="s">
        <v>449</v>
      </c>
      <c r="ADB179" t="s">
        <v>449</v>
      </c>
      <c r="ADC179" t="s">
        <v>449</v>
      </c>
      <c r="ADD179" t="s">
        <v>449</v>
      </c>
      <c r="ADE179" t="s">
        <v>449</v>
      </c>
      <c r="ADF179" t="s">
        <v>449</v>
      </c>
      <c r="ADG179" t="s">
        <v>449</v>
      </c>
      <c r="ADH179" t="s">
        <v>449</v>
      </c>
      <c r="ADI179" t="s">
        <v>449</v>
      </c>
      <c r="ADJ179" t="s">
        <v>449</v>
      </c>
      <c r="ADK179" t="s">
        <v>449</v>
      </c>
      <c r="ADL179" t="s">
        <v>449</v>
      </c>
      <c r="ADM179" t="s">
        <v>449</v>
      </c>
      <c r="ADN179" t="s">
        <v>449</v>
      </c>
      <c r="ADO179" t="s">
        <v>449</v>
      </c>
      <c r="ADP179" t="s">
        <v>449</v>
      </c>
      <c r="ADQ179" t="s">
        <v>449</v>
      </c>
      <c r="ADR179" t="s">
        <v>449</v>
      </c>
      <c r="ADS179" t="s">
        <v>449</v>
      </c>
      <c r="ADT179" t="s">
        <v>449</v>
      </c>
      <c r="ADU179" t="s">
        <v>449</v>
      </c>
      <c r="ADV179" t="s">
        <v>449</v>
      </c>
      <c r="ADW179" t="s">
        <v>449</v>
      </c>
      <c r="ADX179" t="s">
        <v>449</v>
      </c>
      <c r="ADY179" t="s">
        <v>449</v>
      </c>
      <c r="ADZ179" t="s">
        <v>449</v>
      </c>
      <c r="AEA179" t="s">
        <v>449</v>
      </c>
      <c r="AEB179" t="s">
        <v>449</v>
      </c>
      <c r="AEC179" t="s">
        <v>449</v>
      </c>
      <c r="AED179" t="s">
        <v>449</v>
      </c>
      <c r="AEE179" t="s">
        <v>449</v>
      </c>
      <c r="AEF179" t="s">
        <v>449</v>
      </c>
      <c r="AEG179" t="s">
        <v>449</v>
      </c>
      <c r="AEH179" t="s">
        <v>449</v>
      </c>
      <c r="AEI179" t="s">
        <v>449</v>
      </c>
      <c r="AEJ179" t="s">
        <v>449</v>
      </c>
      <c r="AEK179" t="s">
        <v>449</v>
      </c>
      <c r="AEL179" t="s">
        <v>449</v>
      </c>
      <c r="AEM179" t="s">
        <v>449</v>
      </c>
      <c r="AEN179" t="s">
        <v>449</v>
      </c>
      <c r="AEO179" t="s">
        <v>449</v>
      </c>
      <c r="AEP179" t="s">
        <v>449</v>
      </c>
      <c r="AEQ179" t="s">
        <v>449</v>
      </c>
      <c r="AER179" t="s">
        <v>449</v>
      </c>
      <c r="AES179" t="s">
        <v>449</v>
      </c>
      <c r="AET179" t="s">
        <v>449</v>
      </c>
      <c r="AEU179" t="s">
        <v>449</v>
      </c>
      <c r="AEV179" t="s">
        <v>449</v>
      </c>
      <c r="AEW179" t="s">
        <v>449</v>
      </c>
      <c r="AEX179" t="s">
        <v>449</v>
      </c>
      <c r="AEY179" t="s">
        <v>449</v>
      </c>
      <c r="AEZ179" t="s">
        <v>449</v>
      </c>
      <c r="AFA179" t="s">
        <v>449</v>
      </c>
      <c r="AFB179" t="s">
        <v>449</v>
      </c>
      <c r="AFC179" t="s">
        <v>449</v>
      </c>
      <c r="AFD179" t="s">
        <v>449</v>
      </c>
      <c r="AFE179" t="s">
        <v>449</v>
      </c>
      <c r="AFF179" t="s">
        <v>449</v>
      </c>
      <c r="AFG179" t="s">
        <v>449</v>
      </c>
      <c r="AFH179" t="s">
        <v>449</v>
      </c>
      <c r="AFI179" t="s">
        <v>449</v>
      </c>
      <c r="AFJ179" t="s">
        <v>449</v>
      </c>
      <c r="AFK179" t="s">
        <v>449</v>
      </c>
      <c r="AFL179" t="s">
        <v>449</v>
      </c>
      <c r="AFM179" t="s">
        <v>449</v>
      </c>
      <c r="AFN179" t="s">
        <v>449</v>
      </c>
      <c r="AFO179" t="s">
        <v>449</v>
      </c>
      <c r="AFP179" t="s">
        <v>449</v>
      </c>
      <c r="AFQ179" t="s">
        <v>449</v>
      </c>
      <c r="AFR179" t="s">
        <v>449</v>
      </c>
      <c r="AFS179" t="s">
        <v>449</v>
      </c>
      <c r="AFT179" t="s">
        <v>449</v>
      </c>
      <c r="AFU179" t="s">
        <v>449</v>
      </c>
      <c r="AFV179" t="s">
        <v>449</v>
      </c>
      <c r="AFW179" t="s">
        <v>449</v>
      </c>
      <c r="AFX179" t="s">
        <v>449</v>
      </c>
      <c r="AFY179" t="s">
        <v>449</v>
      </c>
      <c r="AFZ179" t="s">
        <v>449</v>
      </c>
      <c r="AGA179" t="s">
        <v>449</v>
      </c>
      <c r="AGB179" t="s">
        <v>449</v>
      </c>
      <c r="AGC179" t="s">
        <v>449</v>
      </c>
      <c r="AGD179" t="s">
        <v>449</v>
      </c>
      <c r="AGE179" t="s">
        <v>449</v>
      </c>
      <c r="AGF179" t="s">
        <v>449</v>
      </c>
      <c r="AGG179" t="s">
        <v>449</v>
      </c>
      <c r="AGH179" t="s">
        <v>449</v>
      </c>
      <c r="AGI179" t="s">
        <v>449</v>
      </c>
      <c r="AGJ179" t="s">
        <v>449</v>
      </c>
      <c r="AGK179" t="s">
        <v>449</v>
      </c>
      <c r="AGL179" t="s">
        <v>449</v>
      </c>
      <c r="AGM179" t="s">
        <v>449</v>
      </c>
      <c r="AGN179" t="s">
        <v>449</v>
      </c>
      <c r="AGO179" t="s">
        <v>449</v>
      </c>
      <c r="AGP179" t="s">
        <v>449</v>
      </c>
      <c r="AGQ179" t="s">
        <v>449</v>
      </c>
      <c r="AGR179" t="s">
        <v>449</v>
      </c>
      <c r="AGS179" t="s">
        <v>449</v>
      </c>
      <c r="AGT179" t="s">
        <v>449</v>
      </c>
      <c r="AGU179" t="s">
        <v>449</v>
      </c>
      <c r="AGV179" t="s">
        <v>449</v>
      </c>
      <c r="AGW179" t="s">
        <v>449</v>
      </c>
      <c r="AGX179" t="s">
        <v>449</v>
      </c>
      <c r="AGY179" t="s">
        <v>449</v>
      </c>
      <c r="AGZ179" t="s">
        <v>449</v>
      </c>
      <c r="AHA179" t="s">
        <v>449</v>
      </c>
      <c r="AHB179" t="s">
        <v>449</v>
      </c>
      <c r="AHC179" t="s">
        <v>449</v>
      </c>
      <c r="AHD179" t="s">
        <v>449</v>
      </c>
      <c r="AHE179" t="s">
        <v>449</v>
      </c>
      <c r="AHF179" t="s">
        <v>449</v>
      </c>
      <c r="AHG179" t="s">
        <v>449</v>
      </c>
      <c r="AHH179" t="s">
        <v>449</v>
      </c>
      <c r="AHI179" t="s">
        <v>449</v>
      </c>
      <c r="AHJ179" t="s">
        <v>449</v>
      </c>
      <c r="AHK179" t="s">
        <v>449</v>
      </c>
      <c r="AHL179" t="s">
        <v>449</v>
      </c>
      <c r="AHM179" t="s">
        <v>449</v>
      </c>
      <c r="AHN179" t="s">
        <v>449</v>
      </c>
      <c r="AHO179" t="s">
        <v>449</v>
      </c>
      <c r="AHP179" t="s">
        <v>449</v>
      </c>
      <c r="AHQ179" t="s">
        <v>449</v>
      </c>
      <c r="AHR179" t="s">
        <v>449</v>
      </c>
      <c r="AHS179" t="s">
        <v>449</v>
      </c>
      <c r="AHT179" t="s">
        <v>449</v>
      </c>
      <c r="AHU179" t="s">
        <v>449</v>
      </c>
      <c r="AHV179" t="s">
        <v>449</v>
      </c>
      <c r="AHW179" t="s">
        <v>449</v>
      </c>
      <c r="AHX179" t="s">
        <v>449</v>
      </c>
      <c r="AHY179" t="s">
        <v>449</v>
      </c>
      <c r="AHZ179" t="s">
        <v>449</v>
      </c>
      <c r="AIA179" t="s">
        <v>449</v>
      </c>
      <c r="AIB179" t="s">
        <v>449</v>
      </c>
      <c r="AIC179" t="s">
        <v>449</v>
      </c>
      <c r="AID179" t="s">
        <v>449</v>
      </c>
      <c r="AIE179" t="s">
        <v>449</v>
      </c>
      <c r="AIF179" t="s">
        <v>449</v>
      </c>
      <c r="AIG179" t="s">
        <v>449</v>
      </c>
      <c r="AIH179" t="s">
        <v>449</v>
      </c>
      <c r="AII179" t="s">
        <v>449</v>
      </c>
      <c r="AIJ179" t="s">
        <v>449</v>
      </c>
      <c r="AIK179" t="s">
        <v>449</v>
      </c>
      <c r="AIL179" t="s">
        <v>449</v>
      </c>
      <c r="AIM179" t="s">
        <v>449</v>
      </c>
      <c r="AIN179" t="s">
        <v>449</v>
      </c>
      <c r="AIO179" t="s">
        <v>449</v>
      </c>
      <c r="AIP179" t="s">
        <v>449</v>
      </c>
      <c r="AIQ179" t="s">
        <v>449</v>
      </c>
      <c r="AIR179" t="s">
        <v>449</v>
      </c>
      <c r="AIS179" t="s">
        <v>449</v>
      </c>
      <c r="AIT179" t="s">
        <v>449</v>
      </c>
      <c r="AIU179" t="s">
        <v>449</v>
      </c>
      <c r="AIV179" t="s">
        <v>449</v>
      </c>
      <c r="AIW179" t="s">
        <v>449</v>
      </c>
      <c r="AIX179" t="s">
        <v>449</v>
      </c>
      <c r="AIY179" t="s">
        <v>449</v>
      </c>
      <c r="AIZ179" t="s">
        <v>449</v>
      </c>
      <c r="AJA179" t="s">
        <v>449</v>
      </c>
      <c r="AJB179" t="s">
        <v>449</v>
      </c>
      <c r="AJC179" t="s">
        <v>449</v>
      </c>
      <c r="AJD179" t="s">
        <v>449</v>
      </c>
      <c r="AJE179" t="s">
        <v>449</v>
      </c>
      <c r="AJF179" t="s">
        <v>449</v>
      </c>
      <c r="AJG179" t="s">
        <v>449</v>
      </c>
      <c r="AJH179" t="s">
        <v>449</v>
      </c>
      <c r="AJI179" t="s">
        <v>449</v>
      </c>
      <c r="AJJ179" t="s">
        <v>449</v>
      </c>
      <c r="AJK179" t="s">
        <v>449</v>
      </c>
      <c r="AJL179" t="s">
        <v>449</v>
      </c>
      <c r="AJM179" t="s">
        <v>449</v>
      </c>
      <c r="AJN179" t="s">
        <v>449</v>
      </c>
      <c r="AJO179" t="s">
        <v>449</v>
      </c>
      <c r="AJP179" t="s">
        <v>449</v>
      </c>
      <c r="AJQ179" t="s">
        <v>449</v>
      </c>
      <c r="AJR179" t="s">
        <v>454</v>
      </c>
      <c r="AJS179" t="s">
        <v>454</v>
      </c>
      <c r="AJT179" t="s">
        <v>454</v>
      </c>
      <c r="AJU179" t="s">
        <v>454</v>
      </c>
      <c r="AJV179" t="s">
        <v>454</v>
      </c>
      <c r="AJW179" t="s">
        <v>454</v>
      </c>
      <c r="AJX179" t="s">
        <v>454</v>
      </c>
      <c r="AJY179" t="s">
        <v>454</v>
      </c>
      <c r="AJZ179" t="s">
        <v>454</v>
      </c>
      <c r="AKA179" t="s">
        <v>497</v>
      </c>
      <c r="AKB179" t="s">
        <v>497</v>
      </c>
      <c r="AKC179" t="s">
        <v>497</v>
      </c>
      <c r="AKD179" t="s">
        <v>497</v>
      </c>
      <c r="AKE179" t="s">
        <v>497</v>
      </c>
      <c r="AKF179" t="s">
        <v>497</v>
      </c>
      <c r="AKG179" t="s">
        <v>497</v>
      </c>
      <c r="AKH179" t="s">
        <v>543</v>
      </c>
      <c r="AKI179" t="s">
        <v>543</v>
      </c>
      <c r="AKO179" t="s">
        <v>573</v>
      </c>
      <c r="AKP179" t="s">
        <v>614</v>
      </c>
      <c r="AKQ179" t="s">
        <v>614</v>
      </c>
      <c r="AKR179" t="s">
        <v>614</v>
      </c>
      <c r="AKS179" t="s">
        <v>582</v>
      </c>
      <c r="AKT179" t="s">
        <v>582</v>
      </c>
      <c r="AKU179" t="s">
        <v>608</v>
      </c>
      <c r="AKV179" t="s">
        <v>608</v>
      </c>
      <c r="AKW179" t="s">
        <v>608</v>
      </c>
    </row>
    <row r="180" spans="1:985" ht="14.4" customHeight="1" x14ac:dyDescent="0.55000000000000004">
      <c r="A180" t="s">
        <v>460</v>
      </c>
      <c r="B180" t="s">
        <v>521</v>
      </c>
      <c r="C180" s="1" t="s">
        <v>759</v>
      </c>
      <c r="AJR180" t="s">
        <v>461</v>
      </c>
      <c r="AJS180" t="s">
        <v>461</v>
      </c>
      <c r="AJT180" t="s">
        <v>461</v>
      </c>
      <c r="AJU180" t="s">
        <v>461</v>
      </c>
      <c r="AJV180" t="s">
        <v>461</v>
      </c>
      <c r="AJW180" t="s">
        <v>461</v>
      </c>
      <c r="AJX180" t="s">
        <v>461</v>
      </c>
      <c r="AJY180" t="s">
        <v>461</v>
      </c>
      <c r="AJZ180" t="s">
        <v>461</v>
      </c>
      <c r="AKA180" t="s">
        <v>498</v>
      </c>
      <c r="AKB180" t="s">
        <v>498</v>
      </c>
      <c r="AKC180" t="s">
        <v>498</v>
      </c>
      <c r="AKD180" t="s">
        <v>498</v>
      </c>
      <c r="AKE180" t="s">
        <v>498</v>
      </c>
      <c r="AKF180" t="s">
        <v>498</v>
      </c>
      <c r="AKG180" t="s">
        <v>498</v>
      </c>
      <c r="AKH180" t="s">
        <v>545</v>
      </c>
      <c r="AKI180" t="s">
        <v>545</v>
      </c>
      <c r="AKN180" t="s">
        <v>578</v>
      </c>
      <c r="AKO180" t="s">
        <v>578</v>
      </c>
      <c r="AKP180" t="s">
        <v>578</v>
      </c>
      <c r="AKQ180" t="s">
        <v>578</v>
      </c>
      <c r="AKR180" t="s">
        <v>578</v>
      </c>
    </row>
    <row r="181" spans="1:985" ht="14.4" customHeight="1" x14ac:dyDescent="0.55000000000000004">
      <c r="A181" t="s">
        <v>476</v>
      </c>
      <c r="B181" t="s">
        <v>521</v>
      </c>
      <c r="C181" s="1" t="s">
        <v>759</v>
      </c>
      <c r="AJT181" t="s">
        <v>478</v>
      </c>
      <c r="AJU181" t="s">
        <v>478</v>
      </c>
      <c r="AJV181" t="s">
        <v>478</v>
      </c>
      <c r="AJW181" t="s">
        <v>478</v>
      </c>
      <c r="AJX181" t="s">
        <v>478</v>
      </c>
      <c r="AJY181" t="s">
        <v>478</v>
      </c>
      <c r="AJZ181" t="s">
        <v>478</v>
      </c>
      <c r="AKA181" t="s">
        <v>499</v>
      </c>
      <c r="AKB181" t="s">
        <v>499</v>
      </c>
      <c r="AKC181" t="s">
        <v>499</v>
      </c>
      <c r="AKD181" t="s">
        <v>499</v>
      </c>
      <c r="AKE181" t="s">
        <v>499</v>
      </c>
      <c r="AKF181" t="s">
        <v>499</v>
      </c>
      <c r="AKG181" t="s">
        <v>499</v>
      </c>
      <c r="AKO181" t="s">
        <v>579</v>
      </c>
    </row>
    <row r="182" spans="1:985" ht="14.4" customHeight="1" x14ac:dyDescent="0.55000000000000004">
      <c r="A182" t="s">
        <v>481</v>
      </c>
      <c r="B182" t="s">
        <v>521</v>
      </c>
      <c r="C182" s="1" t="s">
        <v>759</v>
      </c>
      <c r="AJR182" t="s">
        <v>482</v>
      </c>
      <c r="AJS182" t="s">
        <v>482</v>
      </c>
      <c r="AJT182" t="s">
        <v>482</v>
      </c>
      <c r="AJU182" t="s">
        <v>482</v>
      </c>
      <c r="AJV182" t="s">
        <v>482</v>
      </c>
      <c r="AJW182" t="s">
        <v>482</v>
      </c>
      <c r="AJX182" t="s">
        <v>482</v>
      </c>
      <c r="AJY182" t="s">
        <v>482</v>
      </c>
      <c r="AJZ182" t="s">
        <v>482</v>
      </c>
      <c r="AKN182" t="s">
        <v>580</v>
      </c>
      <c r="AKO182" t="s">
        <v>580</v>
      </c>
      <c r="AKP182" t="s">
        <v>580</v>
      </c>
      <c r="AKQ182" t="s">
        <v>580</v>
      </c>
      <c r="AKR182" t="s">
        <v>580</v>
      </c>
    </row>
    <row r="183" spans="1:985" ht="14.4" customHeight="1" x14ac:dyDescent="0.55000000000000004">
      <c r="A183" t="s">
        <v>484</v>
      </c>
      <c r="B183" t="s">
        <v>521</v>
      </c>
      <c r="C183" s="1" t="s">
        <v>759</v>
      </c>
      <c r="AJR183" t="s">
        <v>485</v>
      </c>
      <c r="AJS183" t="s">
        <v>485</v>
      </c>
      <c r="AJT183" t="s">
        <v>485</v>
      </c>
      <c r="AJU183" t="s">
        <v>485</v>
      </c>
      <c r="AJV183" t="s">
        <v>485</v>
      </c>
      <c r="AJW183" t="s">
        <v>485</v>
      </c>
      <c r="AJX183" t="s">
        <v>485</v>
      </c>
      <c r="AJY183" t="s">
        <v>485</v>
      </c>
      <c r="AJZ183" t="s">
        <v>485</v>
      </c>
      <c r="AKN183" t="s">
        <v>617</v>
      </c>
    </row>
    <row r="184" spans="1:985" ht="14.4" customHeight="1" x14ac:dyDescent="0.55000000000000004">
      <c r="A184" t="s">
        <v>486</v>
      </c>
      <c r="B184" t="s">
        <v>521</v>
      </c>
      <c r="C184" s="1" t="s">
        <v>759</v>
      </c>
      <c r="AJR184" t="s">
        <v>487</v>
      </c>
      <c r="AJS184" t="s">
        <v>487</v>
      </c>
      <c r="AJT184" t="s">
        <v>487</v>
      </c>
      <c r="AJU184" t="s">
        <v>487</v>
      </c>
      <c r="AJV184" t="s">
        <v>487</v>
      </c>
      <c r="AJW184" t="s">
        <v>487</v>
      </c>
      <c r="AJX184" t="s">
        <v>487</v>
      </c>
      <c r="AJY184" t="s">
        <v>487</v>
      </c>
      <c r="AJZ184" t="s">
        <v>487</v>
      </c>
      <c r="AKN184" t="s">
        <v>943</v>
      </c>
      <c r="AKO184" t="s">
        <v>943</v>
      </c>
      <c r="AKP184" t="s">
        <v>943</v>
      </c>
      <c r="AKQ184" t="s">
        <v>943</v>
      </c>
      <c r="AKR184" t="s">
        <v>943</v>
      </c>
    </row>
    <row r="185" spans="1:985" ht="14.4" customHeight="1" x14ac:dyDescent="0.55000000000000004">
      <c r="A185" t="s">
        <v>489</v>
      </c>
      <c r="B185" t="s">
        <v>521</v>
      </c>
      <c r="C185" s="1" t="s">
        <v>759</v>
      </c>
      <c r="AJX185" t="s">
        <v>488</v>
      </c>
      <c r="AJY185" t="s">
        <v>488</v>
      </c>
      <c r="AJZ185" t="s">
        <v>488</v>
      </c>
    </row>
    <row r="186" spans="1:985" ht="14.4" customHeight="1" x14ac:dyDescent="0.55000000000000004">
      <c r="A186" t="s">
        <v>490</v>
      </c>
      <c r="B186" t="s">
        <v>521</v>
      </c>
      <c r="C186" s="1" t="s">
        <v>759</v>
      </c>
      <c r="AJZ186" t="s">
        <v>491</v>
      </c>
    </row>
    <row r="187" spans="1:985" ht="14.4" customHeight="1" x14ac:dyDescent="0.55000000000000004">
      <c r="A187" t="s">
        <v>615</v>
      </c>
      <c r="B187" t="s">
        <v>521</v>
      </c>
      <c r="C187" s="1" t="s">
        <v>759</v>
      </c>
      <c r="AJR187" t="s">
        <v>616</v>
      </c>
      <c r="AJS187" t="s">
        <v>616</v>
      </c>
      <c r="AJT187" t="s">
        <v>616</v>
      </c>
      <c r="AJU187" t="s">
        <v>616</v>
      </c>
      <c r="AJV187" t="s">
        <v>616</v>
      </c>
      <c r="AJW187" t="s">
        <v>616</v>
      </c>
      <c r="AJX187" t="s">
        <v>616</v>
      </c>
      <c r="AJY187" t="s">
        <v>616</v>
      </c>
      <c r="AJZ187" t="s">
        <v>616</v>
      </c>
    </row>
    <row r="188" spans="1:985" ht="14.4" customHeight="1" x14ac:dyDescent="0.55000000000000004">
      <c r="A188" t="s">
        <v>48</v>
      </c>
      <c r="B188" t="s">
        <v>647</v>
      </c>
      <c r="C188" s="1" t="s">
        <v>962</v>
      </c>
      <c r="D188">
        <f>PRODUCT(D48:D76)</f>
        <v>32034.746563912573</v>
      </c>
      <c r="E188">
        <f>PRODUCT(E48:E76)</f>
        <v>15782.05043372712</v>
      </c>
      <c r="F188">
        <f>PRODUCT(F48:F76)</f>
        <v>15227.238342726429</v>
      </c>
      <c r="G188">
        <f>PRODUCT(G48:G76)</f>
        <v>16037.172611423006</v>
      </c>
      <c r="H188">
        <f>PRODUCT(H48:H75)</f>
        <v>69393.612560727255</v>
      </c>
      <c r="I188">
        <f>PRODUCT(I48:I75)</f>
        <v>68381.925998399995</v>
      </c>
      <c r="J188">
        <f t="shared" ref="J188:S188" si="78">PRODUCT(J48:J76)</f>
        <v>68012.323041600001</v>
      </c>
      <c r="K188">
        <f t="shared" si="78"/>
        <v>66733.123334399992</v>
      </c>
      <c r="L188">
        <f t="shared" si="78"/>
        <v>63885.580179327117</v>
      </c>
      <c r="M188">
        <f t="shared" si="78"/>
        <v>62820.1</v>
      </c>
      <c r="N188">
        <f t="shared" si="78"/>
        <v>66118.820000000007</v>
      </c>
      <c r="O188">
        <f t="shared" si="78"/>
        <v>58648.92</v>
      </c>
      <c r="P188">
        <f t="shared" si="78"/>
        <v>59656.84</v>
      </c>
      <c r="Q188">
        <f t="shared" si="78"/>
        <v>63799.9</v>
      </c>
      <c r="R188">
        <f t="shared" si="78"/>
        <v>64370.28</v>
      </c>
      <c r="S188">
        <f t="shared" si="78"/>
        <v>61640.95</v>
      </c>
      <c r="T188">
        <f t="shared" ref="T188:Z188" si="79">PRODUCT(T48:T75)</f>
        <v>52556.189179423738</v>
      </c>
      <c r="U188">
        <f t="shared" si="79"/>
        <v>58016.465404973103</v>
      </c>
      <c r="V188">
        <f t="shared" si="79"/>
        <v>58013.118342025235</v>
      </c>
      <c r="W188">
        <f t="shared" si="79"/>
        <v>61508.449615147831</v>
      </c>
      <c r="X188">
        <f t="shared" si="79"/>
        <v>65248.158071314276</v>
      </c>
      <c r="Y188">
        <f t="shared" si="79"/>
        <v>55380.817296810383</v>
      </c>
      <c r="Z188">
        <f t="shared" si="79"/>
        <v>60754.408136639991</v>
      </c>
      <c r="AA188">
        <f>PRODUCT(AA48:AA76)</f>
        <v>27100.349941125063</v>
      </c>
      <c r="AB188">
        <f t="shared" ref="AB188:AI188" si="80">PRODUCT(AB48:AB75)</f>
        <v>65392.315882272262</v>
      </c>
      <c r="AC188">
        <f t="shared" si="80"/>
        <v>60024.30401940857</v>
      </c>
      <c r="AD188">
        <f t="shared" si="80"/>
        <v>58852.247619647387</v>
      </c>
      <c r="AE188">
        <f t="shared" si="80"/>
        <v>53669.64810476498</v>
      </c>
      <c r="AF188">
        <f t="shared" si="80"/>
        <v>50631.140165087556</v>
      </c>
      <c r="AG188">
        <f t="shared" si="80"/>
        <v>49352.92477689599</v>
      </c>
      <c r="AH188">
        <f t="shared" si="80"/>
        <v>49822.093195566536</v>
      </c>
      <c r="AI188">
        <f t="shared" si="80"/>
        <v>52151.856736875052</v>
      </c>
      <c r="AJ188">
        <f t="shared" ref="AJ188:AZ188" si="81">PRODUCT(AJ48:AJ76)</f>
        <v>82870.80139771862</v>
      </c>
      <c r="AK188">
        <f t="shared" si="81"/>
        <v>96272.603883869117</v>
      </c>
      <c r="AL188">
        <f t="shared" si="81"/>
        <v>87634.629391463444</v>
      </c>
      <c r="AM188">
        <f t="shared" si="81"/>
        <v>93702.724129900715</v>
      </c>
      <c r="AN188">
        <f t="shared" si="81"/>
        <v>101935.45331446857</v>
      </c>
      <c r="AO188">
        <f t="shared" si="81"/>
        <v>80318.314736300716</v>
      </c>
      <c r="AP188">
        <f t="shared" si="81"/>
        <v>82301.41174286617</v>
      </c>
      <c r="AQ188">
        <f t="shared" si="81"/>
        <v>95960.009492295256</v>
      </c>
      <c r="AR188">
        <f t="shared" si="81"/>
        <v>43098.572060951199</v>
      </c>
      <c r="AS188">
        <f t="shared" si="81"/>
        <v>59021.31894704904</v>
      </c>
      <c r="AT188">
        <f t="shared" si="81"/>
        <v>56489.041466296592</v>
      </c>
      <c r="AU188">
        <f t="shared" si="81"/>
        <v>56751.643707518488</v>
      </c>
      <c r="AV188">
        <f t="shared" si="81"/>
        <v>57685.810147821758</v>
      </c>
      <c r="AW188">
        <f t="shared" si="81"/>
        <v>53483.481526051371</v>
      </c>
      <c r="AX188">
        <f t="shared" si="81"/>
        <v>57220.771519395414</v>
      </c>
      <c r="AY188">
        <f t="shared" si="81"/>
        <v>53924.4016116477</v>
      </c>
      <c r="AZ188">
        <f t="shared" si="81"/>
        <v>54506.068047206187</v>
      </c>
      <c r="BA188">
        <f t="shared" ref="BA188:BF188" si="82">PRODUCT(BA48:BA75)</f>
        <v>64800.734012305191</v>
      </c>
      <c r="BB188">
        <f t="shared" si="82"/>
        <v>43911.056409620403</v>
      </c>
      <c r="BC188">
        <f t="shared" si="82"/>
        <v>47271.996517964399</v>
      </c>
      <c r="BD188">
        <f t="shared" si="82"/>
        <v>46292.205729697191</v>
      </c>
      <c r="BE188">
        <f t="shared" si="82"/>
        <v>25595.173428879603</v>
      </c>
      <c r="BF188">
        <f t="shared" si="82"/>
        <v>33703.054284463193</v>
      </c>
      <c r="BG188">
        <f t="shared" ref="BG188:BZ188" si="83">PRODUCT(BG48:BG76)</f>
        <v>38170.416469104915</v>
      </c>
      <c r="BH188">
        <f t="shared" si="83"/>
        <v>67769.314477222622</v>
      </c>
      <c r="BI188">
        <f t="shared" si="83"/>
        <v>67700.19143608163</v>
      </c>
      <c r="BJ188">
        <f t="shared" si="83"/>
        <v>69787.981919414626</v>
      </c>
      <c r="BK188">
        <f t="shared" si="83"/>
        <v>64687.787335698988</v>
      </c>
      <c r="BL188">
        <f t="shared" si="83"/>
        <v>57267.693872311211</v>
      </c>
      <c r="BM188">
        <f t="shared" si="83"/>
        <v>78550.311434183706</v>
      </c>
      <c r="BN188">
        <f t="shared" si="83"/>
        <v>49352.552252729736</v>
      </c>
      <c r="BO188">
        <f t="shared" si="83"/>
        <v>99313.819027376274</v>
      </c>
      <c r="BP188">
        <f t="shared" si="83"/>
        <v>67543.715815625488</v>
      </c>
      <c r="BQ188">
        <f t="shared" si="83"/>
        <v>44556.673022703268</v>
      </c>
      <c r="BR188">
        <f t="shared" si="83"/>
        <v>69097.820415319147</v>
      </c>
      <c r="BS188">
        <f t="shared" si="83"/>
        <v>65743.368771756519</v>
      </c>
      <c r="BT188">
        <f t="shared" si="83"/>
        <v>66498.818447271726</v>
      </c>
      <c r="BU188">
        <f t="shared" si="83"/>
        <v>60497.71380459574</v>
      </c>
      <c r="BV188">
        <f t="shared" si="83"/>
        <v>60452.030361599973</v>
      </c>
      <c r="BW188">
        <f t="shared" si="83"/>
        <v>76617.598795716141</v>
      </c>
      <c r="BX188">
        <f t="shared" si="83"/>
        <v>45627.033494023883</v>
      </c>
      <c r="BY188">
        <f t="shared" si="83"/>
        <v>96201.081032258822</v>
      </c>
      <c r="BZ188">
        <f t="shared" si="83"/>
        <v>66052.583940007011</v>
      </c>
      <c r="CA188">
        <f t="shared" ref="CA188:DF188" si="84">ROUNDUP(((1/CA139)*(CA136*CA137*CA138*CA140*CA141*CA142*CA160)*(CA55*CA40*CA44*CA63)+CA67*CA143*CA144)*CA35/365,0)</f>
        <v>2637</v>
      </c>
      <c r="CB188">
        <f t="shared" si="84"/>
        <v>1685</v>
      </c>
      <c r="CC188">
        <f t="shared" si="84"/>
        <v>1685</v>
      </c>
      <c r="CD188">
        <f t="shared" si="84"/>
        <v>1685</v>
      </c>
      <c r="CE188">
        <f t="shared" si="84"/>
        <v>1685</v>
      </c>
      <c r="CF188">
        <f t="shared" si="84"/>
        <v>1685</v>
      </c>
      <c r="CG188">
        <f t="shared" si="84"/>
        <v>1685</v>
      </c>
      <c r="CH188">
        <f t="shared" si="84"/>
        <v>1685</v>
      </c>
      <c r="CI188">
        <f t="shared" si="84"/>
        <v>1685</v>
      </c>
      <c r="CJ188">
        <f t="shared" si="84"/>
        <v>1685</v>
      </c>
      <c r="CK188">
        <f t="shared" si="84"/>
        <v>1648</v>
      </c>
      <c r="CL188">
        <f t="shared" si="84"/>
        <v>1648</v>
      </c>
      <c r="CM188">
        <f t="shared" si="84"/>
        <v>1648</v>
      </c>
      <c r="CN188">
        <f t="shared" si="84"/>
        <v>1648</v>
      </c>
      <c r="CO188">
        <f t="shared" si="84"/>
        <v>1648</v>
      </c>
      <c r="CP188">
        <f t="shared" si="84"/>
        <v>1648</v>
      </c>
      <c r="CQ188">
        <f t="shared" si="84"/>
        <v>1648</v>
      </c>
      <c r="CR188">
        <f t="shared" si="84"/>
        <v>1648</v>
      </c>
      <c r="CS188">
        <f t="shared" si="84"/>
        <v>1648</v>
      </c>
      <c r="CT188">
        <f t="shared" si="84"/>
        <v>1648</v>
      </c>
      <c r="CU188">
        <f t="shared" si="84"/>
        <v>1648</v>
      </c>
      <c r="CV188">
        <f t="shared" si="84"/>
        <v>1648</v>
      </c>
      <c r="CW188">
        <f t="shared" si="84"/>
        <v>1648</v>
      </c>
      <c r="CX188">
        <f t="shared" si="84"/>
        <v>1648</v>
      </c>
      <c r="CY188">
        <f t="shared" si="84"/>
        <v>1648</v>
      </c>
      <c r="CZ188">
        <f t="shared" si="84"/>
        <v>1648</v>
      </c>
      <c r="DA188">
        <f t="shared" si="84"/>
        <v>1648</v>
      </c>
      <c r="DB188">
        <f t="shared" si="84"/>
        <v>1685</v>
      </c>
      <c r="DC188">
        <f t="shared" si="84"/>
        <v>1685</v>
      </c>
      <c r="DD188">
        <f t="shared" si="84"/>
        <v>1685</v>
      </c>
      <c r="DE188">
        <f t="shared" si="84"/>
        <v>1685</v>
      </c>
      <c r="DF188">
        <f t="shared" si="84"/>
        <v>1648</v>
      </c>
      <c r="DG188">
        <f t="shared" ref="DG188:EL188" si="85">ROUNDUP(((1/DG139)*(DG136*DG137*DG138*DG140*DG141*DG142*DG160)*(DG55*DG40*DG44*DG63)+DG67*DG143*DG144)*DG35/365,0)</f>
        <v>1648</v>
      </c>
      <c r="DH188">
        <f t="shared" si="85"/>
        <v>1648</v>
      </c>
      <c r="DI188">
        <f t="shared" si="85"/>
        <v>1648</v>
      </c>
      <c r="DJ188">
        <f t="shared" si="85"/>
        <v>1648</v>
      </c>
      <c r="DK188">
        <f t="shared" si="85"/>
        <v>1648</v>
      </c>
      <c r="DL188">
        <f t="shared" si="85"/>
        <v>1648</v>
      </c>
      <c r="DM188">
        <f t="shared" si="85"/>
        <v>1648</v>
      </c>
      <c r="DN188">
        <f t="shared" si="85"/>
        <v>1648</v>
      </c>
      <c r="DO188">
        <f t="shared" si="85"/>
        <v>1648</v>
      </c>
      <c r="DP188">
        <f t="shared" si="85"/>
        <v>1648</v>
      </c>
      <c r="DQ188">
        <f t="shared" si="85"/>
        <v>1648</v>
      </c>
      <c r="DR188">
        <f t="shared" si="85"/>
        <v>1648</v>
      </c>
      <c r="DS188">
        <f t="shared" si="85"/>
        <v>1648</v>
      </c>
      <c r="DT188">
        <f t="shared" si="85"/>
        <v>1648</v>
      </c>
      <c r="DU188">
        <f t="shared" si="85"/>
        <v>1685</v>
      </c>
      <c r="DV188">
        <f t="shared" si="85"/>
        <v>1685</v>
      </c>
      <c r="DW188">
        <f t="shared" si="85"/>
        <v>1685</v>
      </c>
      <c r="DX188">
        <f t="shared" si="85"/>
        <v>1685</v>
      </c>
      <c r="DY188">
        <f t="shared" si="85"/>
        <v>1685</v>
      </c>
      <c r="DZ188">
        <f t="shared" si="85"/>
        <v>1515</v>
      </c>
      <c r="EA188">
        <f t="shared" si="85"/>
        <v>1677</v>
      </c>
      <c r="EB188">
        <f t="shared" si="85"/>
        <v>1917</v>
      </c>
      <c r="EC188">
        <f t="shared" si="85"/>
        <v>8588</v>
      </c>
      <c r="ED188">
        <f t="shared" si="85"/>
        <v>8588</v>
      </c>
      <c r="EE188">
        <f t="shared" si="85"/>
        <v>8588</v>
      </c>
      <c r="EF188">
        <f t="shared" si="85"/>
        <v>8588</v>
      </c>
      <c r="EG188">
        <f t="shared" si="85"/>
        <v>8588</v>
      </c>
      <c r="EH188">
        <f t="shared" si="85"/>
        <v>8588</v>
      </c>
      <c r="EI188">
        <f t="shared" si="85"/>
        <v>8588</v>
      </c>
      <c r="EJ188">
        <f t="shared" si="85"/>
        <v>8588</v>
      </c>
      <c r="EK188">
        <f t="shared" si="85"/>
        <v>8588</v>
      </c>
      <c r="EL188">
        <f t="shared" si="85"/>
        <v>8364</v>
      </c>
      <c r="EM188">
        <f t="shared" ref="EM188:FR188" si="86">ROUNDUP(((1/EM139)*(EM136*EM137*EM138*EM140*EM141*EM142*EM160)*(EM55*EM40*EM44*EM63)+EM67*EM143*EM144)*EM35/365,0)</f>
        <v>8364</v>
      </c>
      <c r="EN188">
        <f t="shared" si="86"/>
        <v>8364</v>
      </c>
      <c r="EO188">
        <f t="shared" si="86"/>
        <v>8364</v>
      </c>
      <c r="EP188">
        <f t="shared" si="86"/>
        <v>8364</v>
      </c>
      <c r="EQ188">
        <f t="shared" si="86"/>
        <v>8364</v>
      </c>
      <c r="ER188">
        <f t="shared" si="86"/>
        <v>8364</v>
      </c>
      <c r="ES188">
        <f t="shared" si="86"/>
        <v>8364</v>
      </c>
      <c r="ET188">
        <f t="shared" si="86"/>
        <v>8364</v>
      </c>
      <c r="EU188">
        <f t="shared" si="86"/>
        <v>8364</v>
      </c>
      <c r="EV188">
        <f t="shared" si="86"/>
        <v>8364</v>
      </c>
      <c r="EW188">
        <f t="shared" si="86"/>
        <v>8364</v>
      </c>
      <c r="EX188">
        <f t="shared" si="86"/>
        <v>8364</v>
      </c>
      <c r="EY188">
        <f t="shared" si="86"/>
        <v>8364</v>
      </c>
      <c r="EZ188">
        <f t="shared" si="86"/>
        <v>8364</v>
      </c>
      <c r="FA188">
        <f t="shared" si="86"/>
        <v>8364</v>
      </c>
      <c r="FB188">
        <f t="shared" si="86"/>
        <v>8364</v>
      </c>
      <c r="FC188">
        <f t="shared" si="86"/>
        <v>8588</v>
      </c>
      <c r="FD188">
        <f t="shared" si="86"/>
        <v>8588</v>
      </c>
      <c r="FE188">
        <f t="shared" si="86"/>
        <v>8588</v>
      </c>
      <c r="FF188">
        <f t="shared" si="86"/>
        <v>8588</v>
      </c>
      <c r="FG188">
        <f t="shared" si="86"/>
        <v>8364</v>
      </c>
      <c r="FH188">
        <f t="shared" si="86"/>
        <v>8364</v>
      </c>
      <c r="FI188">
        <f t="shared" si="86"/>
        <v>8364</v>
      </c>
      <c r="FJ188">
        <f t="shared" si="86"/>
        <v>8364</v>
      </c>
      <c r="FK188">
        <f t="shared" si="86"/>
        <v>8364</v>
      </c>
      <c r="FL188">
        <f t="shared" si="86"/>
        <v>8364</v>
      </c>
      <c r="FM188">
        <f t="shared" si="86"/>
        <v>8364</v>
      </c>
      <c r="FN188">
        <f t="shared" si="86"/>
        <v>8364</v>
      </c>
      <c r="FO188">
        <f t="shared" si="86"/>
        <v>8364</v>
      </c>
      <c r="FP188">
        <f t="shared" si="86"/>
        <v>8364</v>
      </c>
      <c r="FQ188">
        <f t="shared" si="86"/>
        <v>8364</v>
      </c>
      <c r="FR188">
        <f t="shared" si="86"/>
        <v>8364</v>
      </c>
      <c r="FS188">
        <f t="shared" ref="FS188:GB188" si="87">ROUNDUP(((1/FS139)*(FS136*FS137*FS138*FS140*FS141*FS142*FS160)*(FS55*FS40*FS44*FS63)+FS67*FS143*FS144)*FS35/365,0)</f>
        <v>8364</v>
      </c>
      <c r="FT188">
        <f t="shared" si="87"/>
        <v>8364</v>
      </c>
      <c r="FU188">
        <f t="shared" si="87"/>
        <v>8364</v>
      </c>
      <c r="FV188">
        <f t="shared" si="87"/>
        <v>8364</v>
      </c>
      <c r="FW188">
        <f t="shared" si="87"/>
        <v>8364</v>
      </c>
      <c r="FX188">
        <f t="shared" si="87"/>
        <v>8588</v>
      </c>
      <c r="FY188">
        <f t="shared" si="87"/>
        <v>8364</v>
      </c>
      <c r="FZ188">
        <f t="shared" si="87"/>
        <v>8364</v>
      </c>
      <c r="GA188">
        <f t="shared" si="87"/>
        <v>7569</v>
      </c>
      <c r="GB188">
        <f t="shared" si="87"/>
        <v>8497</v>
      </c>
      <c r="GC188">
        <v>2231</v>
      </c>
      <c r="GD188">
        <v>10001</v>
      </c>
      <c r="GE188">
        <v>10001</v>
      </c>
      <c r="GF188">
        <v>10001</v>
      </c>
      <c r="GG188">
        <v>10001</v>
      </c>
      <c r="GH188">
        <v>10001</v>
      </c>
      <c r="GI188">
        <v>10001</v>
      </c>
      <c r="GJ188">
        <v>10001</v>
      </c>
      <c r="GK188">
        <v>10001</v>
      </c>
      <c r="GL188">
        <v>10001</v>
      </c>
      <c r="GM188">
        <v>9675</v>
      </c>
      <c r="GN188">
        <v>9675</v>
      </c>
      <c r="GO188">
        <v>9675</v>
      </c>
      <c r="GP188">
        <v>9675</v>
      </c>
      <c r="GQ188">
        <v>9675</v>
      </c>
      <c r="GR188">
        <v>9675</v>
      </c>
      <c r="GS188">
        <v>9675</v>
      </c>
      <c r="GT188">
        <v>9675</v>
      </c>
      <c r="GU188">
        <v>9675</v>
      </c>
      <c r="GV188">
        <v>9675</v>
      </c>
      <c r="GW188">
        <v>9675</v>
      </c>
      <c r="GX188">
        <v>9675</v>
      </c>
      <c r="GY188">
        <v>9675</v>
      </c>
      <c r="GZ188">
        <v>9675</v>
      </c>
      <c r="HA188">
        <v>9675</v>
      </c>
      <c r="HB188">
        <v>9675</v>
      </c>
      <c r="HC188">
        <v>9675</v>
      </c>
      <c r="HD188">
        <v>9675</v>
      </c>
      <c r="HE188">
        <v>9675</v>
      </c>
      <c r="HF188">
        <v>9675</v>
      </c>
      <c r="HG188">
        <v>9675</v>
      </c>
      <c r="HH188">
        <v>9675</v>
      </c>
      <c r="HI188">
        <v>9675</v>
      </c>
      <c r="HJ188">
        <v>9675</v>
      </c>
      <c r="HK188">
        <v>10001</v>
      </c>
      <c r="HL188">
        <v>9675</v>
      </c>
      <c r="HM188">
        <v>9675</v>
      </c>
      <c r="HN188">
        <v>9675</v>
      </c>
      <c r="HO188">
        <v>9675</v>
      </c>
      <c r="HP188">
        <v>9675</v>
      </c>
      <c r="HQ188">
        <v>9675</v>
      </c>
      <c r="HR188">
        <v>9675</v>
      </c>
      <c r="HS188">
        <v>9675</v>
      </c>
      <c r="HT188">
        <v>9675</v>
      </c>
      <c r="HU188">
        <v>9675</v>
      </c>
      <c r="HV188">
        <v>10001</v>
      </c>
      <c r="HW188">
        <v>10001</v>
      </c>
      <c r="HX188">
        <v>10001</v>
      </c>
      <c r="HY188">
        <v>10001</v>
      </c>
      <c r="HZ188">
        <v>10001</v>
      </c>
      <c r="IA188">
        <v>10001</v>
      </c>
      <c r="IB188">
        <v>8728</v>
      </c>
      <c r="IC188">
        <v>9808</v>
      </c>
      <c r="ID188">
        <v>9249</v>
      </c>
      <c r="IE188">
        <v>8947</v>
      </c>
      <c r="IF188">
        <v>8947</v>
      </c>
      <c r="IG188">
        <v>8947</v>
      </c>
      <c r="IH188">
        <v>8947</v>
      </c>
      <c r="II188">
        <v>8947</v>
      </c>
      <c r="IJ188">
        <v>8947</v>
      </c>
      <c r="IK188">
        <v>8947</v>
      </c>
      <c r="IL188">
        <v>8947</v>
      </c>
      <c r="IM188">
        <v>8947</v>
      </c>
      <c r="IN188">
        <v>9249</v>
      </c>
      <c r="IO188">
        <v>9249</v>
      </c>
      <c r="IP188">
        <v>9249</v>
      </c>
      <c r="IQ188">
        <v>8947</v>
      </c>
      <c r="IR188">
        <v>9067</v>
      </c>
      <c r="IS188">
        <v>8947</v>
      </c>
      <c r="IT188">
        <v>9086</v>
      </c>
      <c r="IU188">
        <v>8988</v>
      </c>
      <c r="IV188">
        <v>9086</v>
      </c>
      <c r="IW188">
        <v>6613</v>
      </c>
      <c r="IX188">
        <f t="shared" ref="IX188:KC188" si="88">ROUNDDOWN(((1/IX139)*(IX136*IX137*IX138*IX140*IX141*IX142*IX160)*(IX55*IX40*IX44*IX63)+IX67*IX143*IX144*IX161)*IX35/365,0)</f>
        <v>2265</v>
      </c>
      <c r="IY188">
        <f t="shared" si="88"/>
        <v>10423</v>
      </c>
      <c r="IZ188">
        <f t="shared" si="88"/>
        <v>10423</v>
      </c>
      <c r="JA188">
        <f t="shared" si="88"/>
        <v>10423</v>
      </c>
      <c r="JB188">
        <f t="shared" si="88"/>
        <v>10423</v>
      </c>
      <c r="JC188">
        <f t="shared" si="88"/>
        <v>10423</v>
      </c>
      <c r="JD188">
        <f t="shared" si="88"/>
        <v>10423</v>
      </c>
      <c r="JE188">
        <f t="shared" si="88"/>
        <v>10423</v>
      </c>
      <c r="JF188">
        <f t="shared" si="88"/>
        <v>10423</v>
      </c>
      <c r="JG188">
        <f t="shared" si="88"/>
        <v>10423</v>
      </c>
      <c r="JH188">
        <f t="shared" si="88"/>
        <v>10027</v>
      </c>
      <c r="JI188">
        <f t="shared" si="88"/>
        <v>10027</v>
      </c>
      <c r="JJ188">
        <f t="shared" si="88"/>
        <v>10027</v>
      </c>
      <c r="JK188">
        <f t="shared" si="88"/>
        <v>10027</v>
      </c>
      <c r="JL188">
        <f t="shared" si="88"/>
        <v>10027</v>
      </c>
      <c r="JM188">
        <f t="shared" si="88"/>
        <v>10027</v>
      </c>
      <c r="JN188">
        <f t="shared" si="88"/>
        <v>10027</v>
      </c>
      <c r="JO188">
        <f t="shared" si="88"/>
        <v>10027</v>
      </c>
      <c r="JP188">
        <f t="shared" si="88"/>
        <v>10027</v>
      </c>
      <c r="JQ188">
        <f t="shared" si="88"/>
        <v>10027</v>
      </c>
      <c r="JR188">
        <f t="shared" si="88"/>
        <v>10027</v>
      </c>
      <c r="JS188">
        <f t="shared" si="88"/>
        <v>10027</v>
      </c>
      <c r="JT188">
        <f t="shared" si="88"/>
        <v>10027</v>
      </c>
      <c r="JU188">
        <f t="shared" si="88"/>
        <v>10027</v>
      </c>
      <c r="JV188">
        <f t="shared" si="88"/>
        <v>10027</v>
      </c>
      <c r="JW188">
        <f t="shared" si="88"/>
        <v>10027</v>
      </c>
      <c r="JX188">
        <f t="shared" si="88"/>
        <v>10027</v>
      </c>
      <c r="JY188">
        <f t="shared" si="88"/>
        <v>10027</v>
      </c>
      <c r="JZ188">
        <f t="shared" si="88"/>
        <v>10027</v>
      </c>
      <c r="KA188">
        <f t="shared" si="88"/>
        <v>10027</v>
      </c>
      <c r="KB188">
        <f t="shared" si="88"/>
        <v>10027</v>
      </c>
      <c r="KC188">
        <f t="shared" si="88"/>
        <v>10027</v>
      </c>
      <c r="KD188">
        <f t="shared" ref="KD188:LI188" si="89">ROUNDDOWN(((1/KD139)*(KD136*KD137*KD138*KD140*KD141*KD142*KD160)*(KD55*KD40*KD44*KD63)+KD67*KD143*KD144*KD161)*KD35/365,0)</f>
        <v>10027</v>
      </c>
      <c r="KE188">
        <f t="shared" si="89"/>
        <v>10027</v>
      </c>
      <c r="KF188">
        <f t="shared" si="89"/>
        <v>10027</v>
      </c>
      <c r="KG188">
        <f t="shared" si="89"/>
        <v>10423</v>
      </c>
      <c r="KH188">
        <f t="shared" si="89"/>
        <v>10423</v>
      </c>
      <c r="KI188">
        <f t="shared" si="89"/>
        <v>10423</v>
      </c>
      <c r="KJ188">
        <f t="shared" si="89"/>
        <v>10423</v>
      </c>
      <c r="KK188">
        <f t="shared" si="89"/>
        <v>10423</v>
      </c>
      <c r="KL188">
        <f t="shared" si="89"/>
        <v>10423</v>
      </c>
      <c r="KM188">
        <f t="shared" si="89"/>
        <v>10027</v>
      </c>
      <c r="KN188">
        <f t="shared" si="89"/>
        <v>10027</v>
      </c>
      <c r="KO188">
        <f t="shared" si="89"/>
        <v>10027</v>
      </c>
      <c r="KP188">
        <f t="shared" si="89"/>
        <v>10027</v>
      </c>
      <c r="KQ188">
        <f t="shared" si="89"/>
        <v>10027</v>
      </c>
      <c r="KR188">
        <f t="shared" si="89"/>
        <v>10423</v>
      </c>
      <c r="KS188">
        <f t="shared" si="89"/>
        <v>10423</v>
      </c>
      <c r="KT188">
        <f t="shared" si="89"/>
        <v>10423</v>
      </c>
      <c r="KU188">
        <f t="shared" si="89"/>
        <v>10423</v>
      </c>
      <c r="KV188">
        <f t="shared" si="89"/>
        <v>10423</v>
      </c>
      <c r="KW188">
        <f t="shared" si="89"/>
        <v>8764</v>
      </c>
      <c r="KX188">
        <f t="shared" si="89"/>
        <v>10104</v>
      </c>
      <c r="KY188">
        <f t="shared" si="89"/>
        <v>10423</v>
      </c>
      <c r="KZ188">
        <f t="shared" si="89"/>
        <v>10027</v>
      </c>
      <c r="LA188">
        <f t="shared" si="89"/>
        <v>10027</v>
      </c>
      <c r="LB188">
        <f t="shared" si="89"/>
        <v>10027</v>
      </c>
      <c r="LC188">
        <f t="shared" si="89"/>
        <v>10027</v>
      </c>
      <c r="LD188">
        <f t="shared" si="89"/>
        <v>10027</v>
      </c>
      <c r="LE188">
        <f t="shared" si="89"/>
        <v>10027</v>
      </c>
      <c r="LF188">
        <f t="shared" si="89"/>
        <v>10027</v>
      </c>
      <c r="LG188">
        <f t="shared" si="89"/>
        <v>10027</v>
      </c>
      <c r="LH188">
        <f t="shared" si="89"/>
        <v>10027</v>
      </c>
      <c r="LI188">
        <f t="shared" si="89"/>
        <v>10027</v>
      </c>
      <c r="LJ188">
        <f t="shared" ref="LJ188:MF188" si="90">ROUNDDOWN(((1/LJ139)*(LJ136*LJ137*LJ138*LJ140*LJ141*LJ142*LJ160)*(LJ55*LJ40*LJ44*LJ63)+LJ67*LJ143*LJ144*LJ161)*LJ35/365,0)</f>
        <v>10423</v>
      </c>
      <c r="LK188">
        <f t="shared" si="90"/>
        <v>10423</v>
      </c>
      <c r="LL188">
        <f t="shared" si="90"/>
        <v>10027</v>
      </c>
      <c r="LM188">
        <f t="shared" si="90"/>
        <v>10075</v>
      </c>
      <c r="LN188">
        <f t="shared" si="90"/>
        <v>10027</v>
      </c>
      <c r="LO188">
        <f t="shared" si="90"/>
        <v>10027</v>
      </c>
      <c r="LP188">
        <f t="shared" si="90"/>
        <v>10041</v>
      </c>
      <c r="LQ188">
        <f t="shared" si="90"/>
        <v>10423</v>
      </c>
      <c r="LR188">
        <f t="shared" si="90"/>
        <v>7589</v>
      </c>
      <c r="LS188">
        <f t="shared" si="90"/>
        <v>9538</v>
      </c>
      <c r="LT188">
        <f t="shared" si="90"/>
        <v>9176</v>
      </c>
      <c r="LU188">
        <f t="shared" si="90"/>
        <v>9176</v>
      </c>
      <c r="LV188">
        <f t="shared" si="90"/>
        <v>9538</v>
      </c>
      <c r="LW188">
        <f t="shared" si="90"/>
        <v>9538</v>
      </c>
      <c r="LX188">
        <f t="shared" si="90"/>
        <v>9176</v>
      </c>
      <c r="LY188">
        <f t="shared" si="90"/>
        <v>9176</v>
      </c>
      <c r="LZ188">
        <f t="shared" si="90"/>
        <v>9538</v>
      </c>
      <c r="MA188">
        <f t="shared" si="90"/>
        <v>8199</v>
      </c>
      <c r="MB188">
        <f t="shared" si="90"/>
        <v>9197</v>
      </c>
      <c r="MC188">
        <f t="shared" si="90"/>
        <v>9538</v>
      </c>
      <c r="MD188">
        <f t="shared" si="90"/>
        <v>9260</v>
      </c>
      <c r="ME188">
        <f t="shared" si="90"/>
        <v>9250</v>
      </c>
      <c r="MF188">
        <f t="shared" si="90"/>
        <v>9538</v>
      </c>
      <c r="MG188">
        <f t="shared" ref="MG188:NL188" si="91">ROUNDDOWN(((1/MG139)*(MG136*MG137*MG138*MG140*MG141*MG142*MG160)*(MG55*MG40*MG44*MG63)+MG67*MG143*MG144)*MG35/365,0)</f>
        <v>2413</v>
      </c>
      <c r="MH188">
        <f t="shared" si="91"/>
        <v>11103</v>
      </c>
      <c r="MI188">
        <f t="shared" si="91"/>
        <v>11103</v>
      </c>
      <c r="MJ188">
        <f t="shared" si="91"/>
        <v>11103</v>
      </c>
      <c r="MK188">
        <f t="shared" si="91"/>
        <v>11103</v>
      </c>
      <c r="ML188">
        <f t="shared" si="91"/>
        <v>11103</v>
      </c>
      <c r="MM188">
        <f t="shared" si="91"/>
        <v>11103</v>
      </c>
      <c r="MN188">
        <f t="shared" si="91"/>
        <v>11103</v>
      </c>
      <c r="MO188">
        <f t="shared" si="91"/>
        <v>11103</v>
      </c>
      <c r="MP188">
        <f t="shared" si="91"/>
        <v>11103</v>
      </c>
      <c r="MQ188">
        <f t="shared" si="91"/>
        <v>10719</v>
      </c>
      <c r="MR188">
        <f t="shared" si="91"/>
        <v>10719</v>
      </c>
      <c r="MS188">
        <f t="shared" si="91"/>
        <v>10719</v>
      </c>
      <c r="MT188">
        <f t="shared" si="91"/>
        <v>10719</v>
      </c>
      <c r="MU188">
        <f t="shared" si="91"/>
        <v>10719</v>
      </c>
      <c r="MV188">
        <f t="shared" si="91"/>
        <v>10719</v>
      </c>
      <c r="MW188">
        <f t="shared" si="91"/>
        <v>10719</v>
      </c>
      <c r="MX188">
        <f t="shared" si="91"/>
        <v>10719</v>
      </c>
      <c r="MY188">
        <f t="shared" si="91"/>
        <v>10719</v>
      </c>
      <c r="MZ188">
        <f t="shared" si="91"/>
        <v>10719</v>
      </c>
      <c r="NA188">
        <f t="shared" si="91"/>
        <v>10719</v>
      </c>
      <c r="NB188">
        <f t="shared" si="91"/>
        <v>10719</v>
      </c>
      <c r="NC188">
        <f t="shared" si="91"/>
        <v>10719</v>
      </c>
      <c r="ND188">
        <f t="shared" si="91"/>
        <v>10719</v>
      </c>
      <c r="NE188">
        <f t="shared" si="91"/>
        <v>10719</v>
      </c>
      <c r="NF188">
        <f t="shared" si="91"/>
        <v>10719</v>
      </c>
      <c r="NG188">
        <f t="shared" si="91"/>
        <v>10719</v>
      </c>
      <c r="NH188">
        <f t="shared" si="91"/>
        <v>10719</v>
      </c>
      <c r="NI188">
        <f t="shared" si="91"/>
        <v>10719</v>
      </c>
      <c r="NJ188">
        <f t="shared" si="91"/>
        <v>10719</v>
      </c>
      <c r="NK188">
        <f t="shared" si="91"/>
        <v>10719</v>
      </c>
      <c r="NL188">
        <f t="shared" si="91"/>
        <v>10719</v>
      </c>
      <c r="NM188">
        <f t="shared" ref="NM188:OR188" si="92">ROUNDDOWN(((1/NM139)*(NM136*NM137*NM138*NM140*NM141*NM142*NM160)*(NM55*NM40*NM44*NM63)+NM67*NM143*NM144)*NM35/365,0)</f>
        <v>10719</v>
      </c>
      <c r="NN188">
        <f t="shared" si="92"/>
        <v>10719</v>
      </c>
      <c r="NO188">
        <f t="shared" si="92"/>
        <v>11103</v>
      </c>
      <c r="NP188">
        <f t="shared" si="92"/>
        <v>10719</v>
      </c>
      <c r="NQ188">
        <f t="shared" si="92"/>
        <v>10719</v>
      </c>
      <c r="NR188">
        <f t="shared" si="92"/>
        <v>10719</v>
      </c>
      <c r="NS188">
        <f t="shared" si="92"/>
        <v>10719</v>
      </c>
      <c r="NT188">
        <f t="shared" si="92"/>
        <v>10719</v>
      </c>
      <c r="NU188">
        <f t="shared" si="92"/>
        <v>10719</v>
      </c>
      <c r="NV188">
        <f t="shared" si="92"/>
        <v>10719</v>
      </c>
      <c r="NW188">
        <f t="shared" si="92"/>
        <v>10719</v>
      </c>
      <c r="NX188">
        <f t="shared" si="92"/>
        <v>10719</v>
      </c>
      <c r="NY188">
        <f t="shared" si="92"/>
        <v>10719</v>
      </c>
      <c r="NZ188">
        <f t="shared" si="92"/>
        <v>10719</v>
      </c>
      <c r="OA188">
        <f t="shared" si="92"/>
        <v>11103</v>
      </c>
      <c r="OB188">
        <f t="shared" si="92"/>
        <v>11103</v>
      </c>
      <c r="OC188">
        <f t="shared" si="92"/>
        <v>11103</v>
      </c>
      <c r="OD188">
        <f t="shared" si="92"/>
        <v>10719</v>
      </c>
      <c r="OE188">
        <f t="shared" si="92"/>
        <v>10719</v>
      </c>
      <c r="OF188">
        <f t="shared" si="92"/>
        <v>9605</v>
      </c>
      <c r="OG188">
        <f t="shared" si="92"/>
        <v>10876</v>
      </c>
      <c r="OH188">
        <f t="shared" si="92"/>
        <v>10719</v>
      </c>
      <c r="OI188">
        <f t="shared" si="92"/>
        <v>10719</v>
      </c>
      <c r="OJ188">
        <f t="shared" si="92"/>
        <v>10719</v>
      </c>
      <c r="OK188">
        <f t="shared" si="92"/>
        <v>10719</v>
      </c>
      <c r="OL188">
        <f t="shared" si="92"/>
        <v>10719</v>
      </c>
      <c r="OM188">
        <f t="shared" si="92"/>
        <v>10719</v>
      </c>
      <c r="ON188">
        <f t="shared" si="92"/>
        <v>10719</v>
      </c>
      <c r="OO188">
        <f t="shared" si="92"/>
        <v>10719</v>
      </c>
      <c r="OP188">
        <f t="shared" si="92"/>
        <v>10719</v>
      </c>
      <c r="OQ188">
        <f t="shared" si="92"/>
        <v>10719</v>
      </c>
      <c r="OR188">
        <f t="shared" si="92"/>
        <v>10719</v>
      </c>
      <c r="OS188">
        <f t="shared" ref="OS188:PO188" si="93">ROUNDDOWN(((1/OS139)*(OS136*OS137*OS138*OS140*OS141*OS142*OS160)*(OS55*OS40*OS44*OS63)+OS67*OS143*OS144)*OS35/365,0)</f>
        <v>11103</v>
      </c>
      <c r="OT188">
        <f t="shared" si="93"/>
        <v>11103</v>
      </c>
      <c r="OU188">
        <f t="shared" si="93"/>
        <v>10719</v>
      </c>
      <c r="OV188">
        <f t="shared" si="93"/>
        <v>10705</v>
      </c>
      <c r="OW188">
        <f t="shared" si="93"/>
        <v>10719</v>
      </c>
      <c r="OX188">
        <f t="shared" si="93"/>
        <v>10719</v>
      </c>
      <c r="OY188">
        <f t="shared" si="93"/>
        <v>10733</v>
      </c>
      <c r="OZ188">
        <f t="shared" si="93"/>
        <v>10895</v>
      </c>
      <c r="PA188">
        <f t="shared" si="93"/>
        <v>7929</v>
      </c>
      <c r="PB188">
        <f t="shared" si="93"/>
        <v>11103</v>
      </c>
      <c r="PC188">
        <f t="shared" si="93"/>
        <v>10719</v>
      </c>
      <c r="PD188">
        <f t="shared" si="93"/>
        <v>11103</v>
      </c>
      <c r="PE188">
        <f t="shared" si="93"/>
        <v>10719</v>
      </c>
      <c r="PF188">
        <f t="shared" si="93"/>
        <v>10719</v>
      </c>
      <c r="PG188">
        <f t="shared" si="93"/>
        <v>10719</v>
      </c>
      <c r="PH188">
        <f t="shared" si="93"/>
        <v>10719</v>
      </c>
      <c r="PI188">
        <f t="shared" si="93"/>
        <v>10719</v>
      </c>
      <c r="PJ188">
        <f t="shared" si="93"/>
        <v>9831</v>
      </c>
      <c r="PK188">
        <f t="shared" si="93"/>
        <v>10741</v>
      </c>
      <c r="PL188">
        <f t="shared" si="93"/>
        <v>11034</v>
      </c>
      <c r="PM188">
        <f t="shared" si="93"/>
        <v>10719</v>
      </c>
      <c r="PN188">
        <f t="shared" si="93"/>
        <v>10798</v>
      </c>
      <c r="PO188">
        <f t="shared" si="93"/>
        <v>10958</v>
      </c>
      <c r="PP188">
        <f t="shared" ref="PP188:SA188" si="94">ROUND(((1/PP139)*(PP136*PP137*PP138*PP140*PP141*PP142*PP160)*(PP55*PP40*PP44*PP63)+PP67*PP143*PP144)*PP35/365,0)</f>
        <v>2457</v>
      </c>
      <c r="PQ188">
        <f t="shared" si="94"/>
        <v>11306</v>
      </c>
      <c r="PR188">
        <f t="shared" si="94"/>
        <v>11306</v>
      </c>
      <c r="PS188">
        <f t="shared" si="94"/>
        <v>11306</v>
      </c>
      <c r="PT188">
        <f t="shared" si="94"/>
        <v>11306</v>
      </c>
      <c r="PU188">
        <f t="shared" si="94"/>
        <v>11306</v>
      </c>
      <c r="PV188">
        <f t="shared" si="94"/>
        <v>11306</v>
      </c>
      <c r="PW188">
        <f t="shared" si="94"/>
        <v>11306</v>
      </c>
      <c r="PX188">
        <f t="shared" si="94"/>
        <v>11306</v>
      </c>
      <c r="PY188">
        <f t="shared" si="94"/>
        <v>11306</v>
      </c>
      <c r="PZ188">
        <f t="shared" si="94"/>
        <v>10899</v>
      </c>
      <c r="QA188">
        <f t="shared" si="94"/>
        <v>10899</v>
      </c>
      <c r="QB188">
        <f t="shared" si="94"/>
        <v>10899</v>
      </c>
      <c r="QC188">
        <f t="shared" si="94"/>
        <v>10899</v>
      </c>
      <c r="QD188">
        <f t="shared" si="94"/>
        <v>10899</v>
      </c>
      <c r="QE188">
        <f t="shared" si="94"/>
        <v>10899</v>
      </c>
      <c r="QF188">
        <f t="shared" si="94"/>
        <v>10899</v>
      </c>
      <c r="QG188">
        <f t="shared" si="94"/>
        <v>10899</v>
      </c>
      <c r="QH188">
        <f t="shared" si="94"/>
        <v>10899</v>
      </c>
      <c r="QI188">
        <f t="shared" si="94"/>
        <v>10899</v>
      </c>
      <c r="QJ188">
        <f t="shared" si="94"/>
        <v>10899</v>
      </c>
      <c r="QK188">
        <f t="shared" si="94"/>
        <v>10899</v>
      </c>
      <c r="QL188">
        <f t="shared" si="94"/>
        <v>10899</v>
      </c>
      <c r="QM188">
        <f t="shared" si="94"/>
        <v>10899</v>
      </c>
      <c r="QN188">
        <f t="shared" si="94"/>
        <v>10899</v>
      </c>
      <c r="QO188">
        <f t="shared" si="94"/>
        <v>10899</v>
      </c>
      <c r="QP188">
        <f t="shared" si="94"/>
        <v>10899</v>
      </c>
      <c r="QQ188">
        <f t="shared" si="94"/>
        <v>10899</v>
      </c>
      <c r="QR188">
        <f t="shared" si="94"/>
        <v>10899</v>
      </c>
      <c r="QS188">
        <f t="shared" si="94"/>
        <v>10899</v>
      </c>
      <c r="QT188">
        <f t="shared" si="94"/>
        <v>10899</v>
      </c>
      <c r="QU188">
        <f t="shared" si="94"/>
        <v>10899</v>
      </c>
      <c r="QV188">
        <f t="shared" si="94"/>
        <v>10899</v>
      </c>
      <c r="QW188">
        <f t="shared" si="94"/>
        <v>10899</v>
      </c>
      <c r="QX188">
        <f t="shared" si="94"/>
        <v>11306</v>
      </c>
      <c r="QY188">
        <f t="shared" si="94"/>
        <v>10899</v>
      </c>
      <c r="QZ188">
        <f t="shared" si="94"/>
        <v>10899</v>
      </c>
      <c r="RA188">
        <f t="shared" si="94"/>
        <v>10899</v>
      </c>
      <c r="RB188">
        <f t="shared" si="94"/>
        <v>10899</v>
      </c>
      <c r="RC188">
        <f t="shared" si="94"/>
        <v>10899</v>
      </c>
      <c r="RD188">
        <f t="shared" si="94"/>
        <v>10899</v>
      </c>
      <c r="RE188">
        <f t="shared" si="94"/>
        <v>10899</v>
      </c>
      <c r="RF188">
        <f t="shared" si="94"/>
        <v>10899</v>
      </c>
      <c r="RG188">
        <f t="shared" si="94"/>
        <v>10899</v>
      </c>
      <c r="RH188">
        <f t="shared" si="94"/>
        <v>10899</v>
      </c>
      <c r="RI188">
        <f t="shared" si="94"/>
        <v>10899</v>
      </c>
      <c r="RJ188">
        <f t="shared" si="94"/>
        <v>11306</v>
      </c>
      <c r="RK188">
        <f t="shared" si="94"/>
        <v>11306</v>
      </c>
      <c r="RL188">
        <f t="shared" si="94"/>
        <v>11306</v>
      </c>
      <c r="RM188">
        <f t="shared" si="94"/>
        <v>10899</v>
      </c>
      <c r="RN188">
        <f t="shared" si="94"/>
        <v>10899</v>
      </c>
      <c r="RO188">
        <f t="shared" si="94"/>
        <v>9719</v>
      </c>
      <c r="RP188">
        <f t="shared" si="94"/>
        <v>11066</v>
      </c>
      <c r="RQ188">
        <f t="shared" si="94"/>
        <v>10899</v>
      </c>
      <c r="RR188">
        <f t="shared" si="94"/>
        <v>10899</v>
      </c>
      <c r="RS188">
        <f t="shared" si="94"/>
        <v>10899</v>
      </c>
      <c r="RT188">
        <f t="shared" si="94"/>
        <v>10899</v>
      </c>
      <c r="RU188">
        <f t="shared" si="94"/>
        <v>10899</v>
      </c>
      <c r="RV188">
        <f t="shared" si="94"/>
        <v>10899</v>
      </c>
      <c r="RW188">
        <f t="shared" si="94"/>
        <v>10899</v>
      </c>
      <c r="RX188">
        <f t="shared" si="94"/>
        <v>10899</v>
      </c>
      <c r="RY188">
        <f t="shared" si="94"/>
        <v>10899</v>
      </c>
      <c r="RZ188">
        <f t="shared" si="94"/>
        <v>10899</v>
      </c>
      <c r="SA188">
        <f t="shared" si="94"/>
        <v>10899</v>
      </c>
      <c r="SB188">
        <f t="shared" ref="SB188:UM188" si="95">ROUND(((1/SB139)*(SB136*SB137*SB138*SB140*SB141*SB142*SB160)*(SB55*SB40*SB44*SB63)+SB67*SB143*SB144)*SB35/365,0)</f>
        <v>11306</v>
      </c>
      <c r="SC188">
        <f t="shared" si="95"/>
        <v>11306</v>
      </c>
      <c r="SD188">
        <f t="shared" si="95"/>
        <v>10899</v>
      </c>
      <c r="SE188">
        <f t="shared" si="95"/>
        <v>10885</v>
      </c>
      <c r="SF188">
        <f t="shared" si="95"/>
        <v>10899</v>
      </c>
      <c r="SG188">
        <f t="shared" si="95"/>
        <v>10899</v>
      </c>
      <c r="SH188">
        <f t="shared" si="95"/>
        <v>10913</v>
      </c>
      <c r="SI188">
        <f t="shared" si="95"/>
        <v>11086</v>
      </c>
      <c r="SJ188">
        <f t="shared" si="95"/>
        <v>8067</v>
      </c>
      <c r="SK188">
        <f t="shared" si="95"/>
        <v>11306</v>
      </c>
      <c r="SL188">
        <f t="shared" si="95"/>
        <v>10899</v>
      </c>
      <c r="SM188">
        <f t="shared" si="95"/>
        <v>11306</v>
      </c>
      <c r="SN188">
        <f t="shared" si="95"/>
        <v>10899</v>
      </c>
      <c r="SO188">
        <f t="shared" si="95"/>
        <v>10899</v>
      </c>
      <c r="SP188">
        <f t="shared" si="95"/>
        <v>10899</v>
      </c>
      <c r="SQ188">
        <f t="shared" si="95"/>
        <v>10899</v>
      </c>
      <c r="SR188">
        <f t="shared" si="95"/>
        <v>10899</v>
      </c>
      <c r="SS188">
        <f t="shared" si="95"/>
        <v>9958</v>
      </c>
      <c r="ST188">
        <f t="shared" si="95"/>
        <v>10923</v>
      </c>
      <c r="SU188">
        <f t="shared" si="95"/>
        <v>11233</v>
      </c>
      <c r="SV188">
        <f t="shared" si="95"/>
        <v>10899</v>
      </c>
      <c r="SW188">
        <f t="shared" si="95"/>
        <v>10983</v>
      </c>
      <c r="SX188">
        <f t="shared" si="95"/>
        <v>11152</v>
      </c>
      <c r="SY188">
        <f t="shared" si="95"/>
        <v>2443</v>
      </c>
      <c r="SZ188">
        <f t="shared" si="95"/>
        <v>11238</v>
      </c>
      <c r="TA188">
        <f t="shared" si="95"/>
        <v>11238</v>
      </c>
      <c r="TB188">
        <f t="shared" si="95"/>
        <v>11238</v>
      </c>
      <c r="TC188">
        <f t="shared" si="95"/>
        <v>11238</v>
      </c>
      <c r="TD188">
        <f t="shared" si="95"/>
        <v>11238</v>
      </c>
      <c r="TE188">
        <f t="shared" si="95"/>
        <v>11238</v>
      </c>
      <c r="TF188">
        <f t="shared" si="95"/>
        <v>11238</v>
      </c>
      <c r="TG188">
        <f t="shared" si="95"/>
        <v>11238</v>
      </c>
      <c r="TH188">
        <f t="shared" si="95"/>
        <v>11238</v>
      </c>
      <c r="TI188">
        <f t="shared" si="95"/>
        <v>10834</v>
      </c>
      <c r="TJ188">
        <f t="shared" si="95"/>
        <v>10834</v>
      </c>
      <c r="TK188">
        <f t="shared" si="95"/>
        <v>10834</v>
      </c>
      <c r="TL188">
        <f t="shared" si="95"/>
        <v>10834</v>
      </c>
      <c r="TM188">
        <f t="shared" si="95"/>
        <v>10834</v>
      </c>
      <c r="TN188">
        <f t="shared" si="95"/>
        <v>10834</v>
      </c>
      <c r="TO188">
        <f t="shared" si="95"/>
        <v>10834</v>
      </c>
      <c r="TP188">
        <f t="shared" si="95"/>
        <v>10834</v>
      </c>
      <c r="TQ188">
        <f t="shared" si="95"/>
        <v>10834</v>
      </c>
      <c r="TR188">
        <f t="shared" si="95"/>
        <v>10834</v>
      </c>
      <c r="TS188">
        <f t="shared" si="95"/>
        <v>10834</v>
      </c>
      <c r="TT188">
        <f t="shared" si="95"/>
        <v>10834</v>
      </c>
      <c r="TU188">
        <f t="shared" si="95"/>
        <v>10834</v>
      </c>
      <c r="TV188">
        <f t="shared" si="95"/>
        <v>10834</v>
      </c>
      <c r="TW188">
        <f t="shared" si="95"/>
        <v>10834</v>
      </c>
      <c r="TX188">
        <f t="shared" si="95"/>
        <v>10834</v>
      </c>
      <c r="TY188">
        <f t="shared" si="95"/>
        <v>10834</v>
      </c>
      <c r="TZ188">
        <f t="shared" si="95"/>
        <v>10834</v>
      </c>
      <c r="UA188">
        <f t="shared" si="95"/>
        <v>10834</v>
      </c>
      <c r="UB188">
        <f t="shared" si="95"/>
        <v>10834</v>
      </c>
      <c r="UC188">
        <f t="shared" si="95"/>
        <v>10834</v>
      </c>
      <c r="UD188">
        <f t="shared" si="95"/>
        <v>10834</v>
      </c>
      <c r="UE188">
        <f t="shared" si="95"/>
        <v>10834</v>
      </c>
      <c r="UF188">
        <f t="shared" si="95"/>
        <v>10834</v>
      </c>
      <c r="UG188">
        <f t="shared" si="95"/>
        <v>10834</v>
      </c>
      <c r="UH188">
        <f t="shared" si="95"/>
        <v>10834</v>
      </c>
      <c r="UI188">
        <f t="shared" si="95"/>
        <v>10834</v>
      </c>
      <c r="UJ188">
        <f t="shared" si="95"/>
        <v>10834</v>
      </c>
      <c r="UK188">
        <f t="shared" si="95"/>
        <v>10834</v>
      </c>
      <c r="UL188">
        <f t="shared" si="95"/>
        <v>10834</v>
      </c>
      <c r="UM188">
        <f t="shared" si="95"/>
        <v>10834</v>
      </c>
      <c r="UN188">
        <f t="shared" ref="UN188:WY188" si="96">ROUND(((1/UN139)*(UN136*UN137*UN138*UN140*UN141*UN142*UN160)*(UN55*UN40*UN44*UN63)+UN67*UN143*UN144)*UN35/365,0)</f>
        <v>10834</v>
      </c>
      <c r="UO188">
        <f t="shared" si="96"/>
        <v>10834</v>
      </c>
      <c r="UP188">
        <f t="shared" si="96"/>
        <v>10834</v>
      </c>
      <c r="UQ188">
        <f t="shared" si="96"/>
        <v>10834</v>
      </c>
      <c r="UR188">
        <f t="shared" si="96"/>
        <v>10834</v>
      </c>
      <c r="US188">
        <f t="shared" si="96"/>
        <v>11238</v>
      </c>
      <c r="UT188">
        <f t="shared" si="96"/>
        <v>11238</v>
      </c>
      <c r="UU188">
        <f t="shared" si="96"/>
        <v>11238</v>
      </c>
      <c r="UV188">
        <f t="shared" si="96"/>
        <v>10834</v>
      </c>
      <c r="UW188">
        <f t="shared" si="96"/>
        <v>10834</v>
      </c>
      <c r="UX188">
        <f t="shared" si="96"/>
        <v>9546</v>
      </c>
      <c r="UY188">
        <f t="shared" si="96"/>
        <v>10913</v>
      </c>
      <c r="UZ188">
        <f t="shared" si="96"/>
        <v>10834</v>
      </c>
      <c r="VA188">
        <f t="shared" si="96"/>
        <v>10834</v>
      </c>
      <c r="VB188">
        <f t="shared" si="96"/>
        <v>10834</v>
      </c>
      <c r="VC188">
        <f t="shared" si="96"/>
        <v>10834</v>
      </c>
      <c r="VD188">
        <f t="shared" si="96"/>
        <v>10834</v>
      </c>
      <c r="VE188">
        <f t="shared" si="96"/>
        <v>10834</v>
      </c>
      <c r="VF188">
        <f t="shared" si="96"/>
        <v>10834</v>
      </c>
      <c r="VG188">
        <f t="shared" si="96"/>
        <v>10834</v>
      </c>
      <c r="VH188">
        <f t="shared" si="96"/>
        <v>10834</v>
      </c>
      <c r="VI188">
        <f t="shared" si="96"/>
        <v>10834</v>
      </c>
      <c r="VJ188">
        <f t="shared" si="96"/>
        <v>10834</v>
      </c>
      <c r="VK188">
        <f t="shared" si="96"/>
        <v>11238</v>
      </c>
      <c r="VL188">
        <f t="shared" si="96"/>
        <v>11238</v>
      </c>
      <c r="VM188">
        <f t="shared" si="96"/>
        <v>10834</v>
      </c>
      <c r="VN188">
        <f t="shared" si="96"/>
        <v>10709</v>
      </c>
      <c r="VO188">
        <f t="shared" si="96"/>
        <v>10834</v>
      </c>
      <c r="VP188">
        <f t="shared" si="96"/>
        <v>10834</v>
      </c>
      <c r="VQ188">
        <f t="shared" si="96"/>
        <v>10849</v>
      </c>
      <c r="VR188">
        <f t="shared" si="96"/>
        <v>11020</v>
      </c>
      <c r="VS188">
        <f t="shared" si="96"/>
        <v>8019</v>
      </c>
      <c r="VT188">
        <f t="shared" si="96"/>
        <v>11238</v>
      </c>
      <c r="VU188">
        <f t="shared" si="96"/>
        <v>10834</v>
      </c>
      <c r="VV188">
        <f t="shared" si="96"/>
        <v>10834</v>
      </c>
      <c r="VW188">
        <f t="shared" si="96"/>
        <v>10834</v>
      </c>
      <c r="VX188">
        <f t="shared" si="96"/>
        <v>10834</v>
      </c>
      <c r="VY188">
        <f t="shared" si="96"/>
        <v>10834</v>
      </c>
      <c r="VZ188">
        <f t="shared" si="96"/>
        <v>10834</v>
      </c>
      <c r="WA188">
        <f t="shared" si="96"/>
        <v>10834</v>
      </c>
      <c r="WB188">
        <f t="shared" si="96"/>
        <v>9746</v>
      </c>
      <c r="WC188">
        <f t="shared" si="96"/>
        <v>10858</v>
      </c>
      <c r="WD188">
        <f t="shared" si="96"/>
        <v>11166</v>
      </c>
      <c r="WE188">
        <f t="shared" si="96"/>
        <v>10834</v>
      </c>
      <c r="WF188">
        <f t="shared" si="96"/>
        <v>10918</v>
      </c>
      <c r="WG188">
        <f t="shared" si="96"/>
        <v>11086</v>
      </c>
      <c r="WH188">
        <f t="shared" si="96"/>
        <v>1923</v>
      </c>
      <c r="WI188">
        <f t="shared" si="96"/>
        <v>8850</v>
      </c>
      <c r="WJ188">
        <f t="shared" si="96"/>
        <v>8850</v>
      </c>
      <c r="WK188">
        <f t="shared" si="96"/>
        <v>8850</v>
      </c>
      <c r="WL188">
        <f t="shared" si="96"/>
        <v>8850</v>
      </c>
      <c r="WM188">
        <f t="shared" si="96"/>
        <v>8850</v>
      </c>
      <c r="WN188">
        <f t="shared" si="96"/>
        <v>8850</v>
      </c>
      <c r="WO188">
        <f t="shared" si="96"/>
        <v>8850</v>
      </c>
      <c r="WP188">
        <f t="shared" si="96"/>
        <v>8850</v>
      </c>
      <c r="WQ188">
        <f t="shared" si="96"/>
        <v>8850</v>
      </c>
      <c r="WR188">
        <f t="shared" si="96"/>
        <v>8850</v>
      </c>
      <c r="WS188">
        <f t="shared" si="96"/>
        <v>8850</v>
      </c>
      <c r="WT188">
        <f t="shared" si="96"/>
        <v>8850</v>
      </c>
      <c r="WU188">
        <f t="shared" si="96"/>
        <v>8850</v>
      </c>
      <c r="WV188">
        <f t="shared" si="96"/>
        <v>8850</v>
      </c>
      <c r="WW188">
        <f t="shared" si="96"/>
        <v>8850</v>
      </c>
      <c r="WX188">
        <f t="shared" si="96"/>
        <v>8850</v>
      </c>
      <c r="WY188">
        <f t="shared" si="96"/>
        <v>8850</v>
      </c>
      <c r="WZ188">
        <f t="shared" ref="WZ188:ZP188" si="97">ROUND(((1/WZ139)*(WZ136*WZ137*WZ138*WZ140*WZ141*WZ142*WZ160)*(WZ55*WZ40*WZ44*WZ63)+WZ67*WZ143*WZ144)*WZ35/365,0)</f>
        <v>8850</v>
      </c>
      <c r="XA188">
        <f t="shared" si="97"/>
        <v>8850</v>
      </c>
      <c r="XB188">
        <f t="shared" si="97"/>
        <v>8850</v>
      </c>
      <c r="XC188">
        <f t="shared" si="97"/>
        <v>8850</v>
      </c>
      <c r="XD188">
        <f t="shared" si="97"/>
        <v>8850</v>
      </c>
      <c r="XE188">
        <f t="shared" si="97"/>
        <v>8850</v>
      </c>
      <c r="XF188">
        <f t="shared" si="97"/>
        <v>8850</v>
      </c>
      <c r="XG188">
        <f t="shared" si="97"/>
        <v>8850</v>
      </c>
      <c r="XH188">
        <f t="shared" si="97"/>
        <v>8850</v>
      </c>
      <c r="XI188">
        <f t="shared" si="97"/>
        <v>8850</v>
      </c>
      <c r="XJ188">
        <f t="shared" si="97"/>
        <v>8850</v>
      </c>
      <c r="XK188">
        <f t="shared" si="97"/>
        <v>8850</v>
      </c>
      <c r="XL188">
        <f t="shared" si="97"/>
        <v>8850</v>
      </c>
      <c r="XM188">
        <f t="shared" si="97"/>
        <v>8850</v>
      </c>
      <c r="XN188">
        <f t="shared" si="97"/>
        <v>8850</v>
      </c>
      <c r="XO188">
        <f t="shared" si="97"/>
        <v>8850</v>
      </c>
      <c r="XP188">
        <f t="shared" si="97"/>
        <v>8850</v>
      </c>
      <c r="XQ188">
        <f t="shared" si="97"/>
        <v>8850</v>
      </c>
      <c r="XR188">
        <f t="shared" si="97"/>
        <v>8850</v>
      </c>
      <c r="XS188">
        <f t="shared" si="97"/>
        <v>8850</v>
      </c>
      <c r="XT188">
        <f t="shared" si="97"/>
        <v>8850</v>
      </c>
      <c r="XU188">
        <f t="shared" si="97"/>
        <v>8850</v>
      </c>
      <c r="XV188">
        <f t="shared" si="97"/>
        <v>8850</v>
      </c>
      <c r="XW188">
        <f t="shared" si="97"/>
        <v>8850</v>
      </c>
      <c r="XX188">
        <f t="shared" si="97"/>
        <v>8850</v>
      </c>
      <c r="XY188">
        <f t="shared" si="97"/>
        <v>8850</v>
      </c>
      <c r="XZ188">
        <f t="shared" si="97"/>
        <v>8850</v>
      </c>
      <c r="YA188">
        <f t="shared" si="97"/>
        <v>8850</v>
      </c>
      <c r="YB188">
        <f t="shared" si="97"/>
        <v>9102</v>
      </c>
      <c r="YC188">
        <f t="shared" si="97"/>
        <v>9102</v>
      </c>
      <c r="YD188">
        <f t="shared" si="97"/>
        <v>9102</v>
      </c>
      <c r="YE188">
        <f t="shared" si="97"/>
        <v>8850</v>
      </c>
      <c r="YF188">
        <f t="shared" si="97"/>
        <v>8850</v>
      </c>
      <c r="YG188">
        <f t="shared" si="97"/>
        <v>8043</v>
      </c>
      <c r="YH188">
        <f t="shared" si="97"/>
        <v>8899</v>
      </c>
      <c r="YI188">
        <f t="shared" si="97"/>
        <v>8850</v>
      </c>
      <c r="YJ188">
        <f t="shared" si="97"/>
        <v>8850</v>
      </c>
      <c r="YK188">
        <f t="shared" si="97"/>
        <v>8850</v>
      </c>
      <c r="YL188">
        <f t="shared" si="97"/>
        <v>8850</v>
      </c>
      <c r="YM188">
        <f t="shared" si="97"/>
        <v>8850</v>
      </c>
      <c r="YN188">
        <f t="shared" si="97"/>
        <v>8850</v>
      </c>
      <c r="YO188">
        <f t="shared" si="97"/>
        <v>8850</v>
      </c>
      <c r="YP188">
        <f t="shared" si="97"/>
        <v>8850</v>
      </c>
      <c r="YQ188">
        <f t="shared" si="97"/>
        <v>8850</v>
      </c>
      <c r="YR188">
        <f t="shared" si="97"/>
        <v>8850</v>
      </c>
      <c r="YS188">
        <f t="shared" si="97"/>
        <v>8850</v>
      </c>
      <c r="YT188">
        <f t="shared" si="97"/>
        <v>9102</v>
      </c>
      <c r="YU188">
        <f t="shared" si="97"/>
        <v>8850</v>
      </c>
      <c r="YV188">
        <f t="shared" si="97"/>
        <v>8850</v>
      </c>
      <c r="YW188">
        <f t="shared" si="97"/>
        <v>8771</v>
      </c>
      <c r="YX188">
        <f t="shared" si="97"/>
        <v>8850</v>
      </c>
      <c r="YY188">
        <f t="shared" si="97"/>
        <v>8850</v>
      </c>
      <c r="YZ188">
        <f t="shared" si="97"/>
        <v>8850</v>
      </c>
      <c r="ZA188">
        <f t="shared" si="97"/>
        <v>8850</v>
      </c>
      <c r="ZB188">
        <f t="shared" si="97"/>
        <v>6525</v>
      </c>
      <c r="ZC188">
        <f t="shared" si="97"/>
        <v>8850</v>
      </c>
      <c r="ZD188">
        <f t="shared" si="97"/>
        <v>8850</v>
      </c>
      <c r="ZE188">
        <f t="shared" si="97"/>
        <v>8850</v>
      </c>
      <c r="ZF188">
        <f t="shared" si="97"/>
        <v>8850</v>
      </c>
      <c r="ZG188">
        <f t="shared" si="97"/>
        <v>8850</v>
      </c>
      <c r="ZH188">
        <f t="shared" si="97"/>
        <v>8850</v>
      </c>
      <c r="ZI188">
        <f t="shared" si="97"/>
        <v>8850</v>
      </c>
      <c r="ZJ188">
        <f t="shared" si="97"/>
        <v>8850</v>
      </c>
      <c r="ZK188">
        <f t="shared" si="97"/>
        <v>8168</v>
      </c>
      <c r="ZL188">
        <f t="shared" si="97"/>
        <v>8864</v>
      </c>
      <c r="ZM188">
        <f t="shared" si="97"/>
        <v>9057</v>
      </c>
      <c r="ZN188">
        <f t="shared" si="97"/>
        <v>8850</v>
      </c>
      <c r="ZO188">
        <f t="shared" si="97"/>
        <v>8850</v>
      </c>
      <c r="ZP188">
        <f t="shared" si="97"/>
        <v>8872</v>
      </c>
      <c r="ZQ188">
        <f t="shared" ref="ZQ188:ACB188" si="98">ROUNDDOWN(((1/ZQ139)*(ZQ136*ZQ137*ZQ138*ZQ140*ZQ141*ZQ142*ZQ160)*(ZQ55*ZQ40*ZQ44*ZQ63)+ZQ67*ZQ143*ZQ144)*ZQ35/365,0)</f>
        <v>2108</v>
      </c>
      <c r="ZR188">
        <f t="shared" si="98"/>
        <v>9698</v>
      </c>
      <c r="ZS188">
        <f t="shared" si="98"/>
        <v>9698</v>
      </c>
      <c r="ZT188">
        <f t="shared" si="98"/>
        <v>9698</v>
      </c>
      <c r="ZU188">
        <f t="shared" si="98"/>
        <v>9698</v>
      </c>
      <c r="ZV188">
        <f t="shared" si="98"/>
        <v>9698</v>
      </c>
      <c r="ZW188">
        <f t="shared" si="98"/>
        <v>9698</v>
      </c>
      <c r="ZX188">
        <f t="shared" si="98"/>
        <v>9698</v>
      </c>
      <c r="ZY188">
        <f t="shared" si="98"/>
        <v>9698</v>
      </c>
      <c r="ZZ188">
        <f t="shared" si="98"/>
        <v>9698</v>
      </c>
      <c r="AAA188">
        <f t="shared" si="98"/>
        <v>9698</v>
      </c>
      <c r="AAB188">
        <f t="shared" si="98"/>
        <v>9698</v>
      </c>
      <c r="AAC188">
        <f t="shared" si="98"/>
        <v>9698</v>
      </c>
      <c r="AAD188">
        <f t="shared" si="98"/>
        <v>9698</v>
      </c>
      <c r="AAE188">
        <f t="shared" si="98"/>
        <v>9698</v>
      </c>
      <c r="AAF188">
        <f t="shared" si="98"/>
        <v>9698</v>
      </c>
      <c r="AAG188">
        <f t="shared" si="98"/>
        <v>9698</v>
      </c>
      <c r="AAH188">
        <f t="shared" si="98"/>
        <v>9698</v>
      </c>
      <c r="AAI188">
        <f t="shared" si="98"/>
        <v>9698</v>
      </c>
      <c r="AAJ188">
        <f t="shared" si="98"/>
        <v>9698</v>
      </c>
      <c r="AAK188">
        <f t="shared" si="98"/>
        <v>9698</v>
      </c>
      <c r="AAL188">
        <f t="shared" si="98"/>
        <v>9698</v>
      </c>
      <c r="AAM188">
        <f t="shared" si="98"/>
        <v>9698</v>
      </c>
      <c r="AAN188">
        <f t="shared" si="98"/>
        <v>9698</v>
      </c>
      <c r="AAO188">
        <f t="shared" si="98"/>
        <v>9698</v>
      </c>
      <c r="AAP188">
        <f t="shared" si="98"/>
        <v>9698</v>
      </c>
      <c r="AAQ188">
        <f t="shared" si="98"/>
        <v>9698</v>
      </c>
      <c r="AAR188">
        <f t="shared" si="98"/>
        <v>9698</v>
      </c>
      <c r="AAS188">
        <f t="shared" si="98"/>
        <v>9698</v>
      </c>
      <c r="AAT188">
        <f t="shared" si="98"/>
        <v>9698</v>
      </c>
      <c r="AAU188">
        <f t="shared" si="98"/>
        <v>9698</v>
      </c>
      <c r="AAV188">
        <f t="shared" si="98"/>
        <v>9698</v>
      </c>
      <c r="AAW188">
        <f t="shared" si="98"/>
        <v>9698</v>
      </c>
      <c r="AAX188">
        <f t="shared" si="98"/>
        <v>9698</v>
      </c>
      <c r="AAY188">
        <f t="shared" si="98"/>
        <v>9968</v>
      </c>
      <c r="AAZ188">
        <f t="shared" si="98"/>
        <v>9968</v>
      </c>
      <c r="ABA188">
        <f t="shared" si="98"/>
        <v>9968</v>
      </c>
      <c r="ABB188">
        <f t="shared" si="98"/>
        <v>9968</v>
      </c>
      <c r="ABC188">
        <f t="shared" si="98"/>
        <v>9968</v>
      </c>
      <c r="ABD188">
        <f t="shared" si="98"/>
        <v>9968</v>
      </c>
      <c r="ABE188">
        <f t="shared" si="98"/>
        <v>9968</v>
      </c>
      <c r="ABF188">
        <f t="shared" si="98"/>
        <v>9698</v>
      </c>
      <c r="ABG188">
        <f t="shared" si="98"/>
        <v>9698</v>
      </c>
      <c r="ABH188">
        <f t="shared" si="98"/>
        <v>9698</v>
      </c>
      <c r="ABI188">
        <f t="shared" si="98"/>
        <v>9698</v>
      </c>
      <c r="ABJ188">
        <f t="shared" si="98"/>
        <v>9968</v>
      </c>
      <c r="ABK188">
        <f t="shared" si="98"/>
        <v>9968</v>
      </c>
      <c r="ABL188">
        <f t="shared" si="98"/>
        <v>9968</v>
      </c>
      <c r="ABM188">
        <f t="shared" si="98"/>
        <v>9968</v>
      </c>
      <c r="ABN188">
        <f t="shared" si="98"/>
        <v>9968</v>
      </c>
      <c r="ABO188">
        <f t="shared" si="98"/>
        <v>9968</v>
      </c>
      <c r="ABP188">
        <f t="shared" si="98"/>
        <v>7737</v>
      </c>
      <c r="ABQ188">
        <f t="shared" si="98"/>
        <v>9809</v>
      </c>
      <c r="ABR188">
        <f t="shared" si="98"/>
        <v>9968</v>
      </c>
      <c r="ABS188">
        <f t="shared" si="98"/>
        <v>9698</v>
      </c>
      <c r="ABT188">
        <f t="shared" si="98"/>
        <v>9698</v>
      </c>
      <c r="ABU188">
        <f t="shared" si="98"/>
        <v>9698</v>
      </c>
      <c r="ABV188">
        <f t="shared" si="98"/>
        <v>9698</v>
      </c>
      <c r="ABW188">
        <f t="shared" si="98"/>
        <v>9698</v>
      </c>
      <c r="ABX188">
        <f t="shared" si="98"/>
        <v>9698</v>
      </c>
      <c r="ABY188">
        <f t="shared" si="98"/>
        <v>9698</v>
      </c>
      <c r="ABZ188">
        <f t="shared" si="98"/>
        <v>9698</v>
      </c>
      <c r="ACA188">
        <f t="shared" si="98"/>
        <v>9698</v>
      </c>
      <c r="ACB188">
        <f t="shared" si="98"/>
        <v>9968</v>
      </c>
      <c r="ACC188">
        <f t="shared" ref="ACC188:AEN188" si="99">ROUNDDOWN(((1/ACC139)*(ACC136*ACC137*ACC138*ACC140*ACC141*ACC142*ACC160)*(ACC55*ACC40*ACC44*ACC63)+ACC67*ACC143*ACC144)*ACC35/365,0)</f>
        <v>9968</v>
      </c>
      <c r="ACD188">
        <f t="shared" si="99"/>
        <v>9698</v>
      </c>
      <c r="ACE188">
        <f t="shared" si="99"/>
        <v>9698</v>
      </c>
      <c r="ACF188">
        <f t="shared" si="99"/>
        <v>9680</v>
      </c>
      <c r="ACG188">
        <f t="shared" si="99"/>
        <v>9698</v>
      </c>
      <c r="ACH188">
        <f t="shared" si="99"/>
        <v>9822</v>
      </c>
      <c r="ACI188">
        <f t="shared" si="99"/>
        <v>9725</v>
      </c>
      <c r="ACJ188">
        <f t="shared" si="99"/>
        <v>9844</v>
      </c>
      <c r="ACK188">
        <f t="shared" si="99"/>
        <v>7258</v>
      </c>
      <c r="ACL188">
        <f t="shared" si="99"/>
        <v>9698</v>
      </c>
      <c r="ACM188">
        <f t="shared" si="99"/>
        <v>9698</v>
      </c>
      <c r="ACN188">
        <f t="shared" si="99"/>
        <v>9968</v>
      </c>
      <c r="ACO188">
        <f t="shared" si="99"/>
        <v>9968</v>
      </c>
      <c r="ACP188">
        <f t="shared" si="99"/>
        <v>9968</v>
      </c>
      <c r="ACQ188">
        <f t="shared" si="99"/>
        <v>9698</v>
      </c>
      <c r="ACR188">
        <f t="shared" si="99"/>
        <v>9968</v>
      </c>
      <c r="ACS188">
        <f t="shared" si="99"/>
        <v>9968</v>
      </c>
      <c r="ACT188">
        <f t="shared" si="99"/>
        <v>8079</v>
      </c>
      <c r="ACU188">
        <f t="shared" si="99"/>
        <v>9714</v>
      </c>
      <c r="ACV188">
        <f t="shared" si="99"/>
        <v>9968</v>
      </c>
      <c r="ACW188">
        <f t="shared" si="99"/>
        <v>9761</v>
      </c>
      <c r="ACX188">
        <f t="shared" si="99"/>
        <v>9852</v>
      </c>
      <c r="ACY188">
        <f t="shared" si="99"/>
        <v>9824</v>
      </c>
      <c r="ACZ188">
        <f t="shared" si="99"/>
        <v>4358</v>
      </c>
      <c r="ADA188">
        <f t="shared" si="99"/>
        <v>9698</v>
      </c>
      <c r="ADB188">
        <f t="shared" si="99"/>
        <v>9698</v>
      </c>
      <c r="ADC188">
        <f t="shared" si="99"/>
        <v>9698</v>
      </c>
      <c r="ADD188">
        <f t="shared" si="99"/>
        <v>9698</v>
      </c>
      <c r="ADE188">
        <f t="shared" si="99"/>
        <v>9698</v>
      </c>
      <c r="ADF188">
        <f t="shared" si="99"/>
        <v>9698</v>
      </c>
      <c r="ADG188">
        <f t="shared" si="99"/>
        <v>9698</v>
      </c>
      <c r="ADH188">
        <f t="shared" si="99"/>
        <v>9698</v>
      </c>
      <c r="ADI188">
        <f t="shared" si="99"/>
        <v>9698</v>
      </c>
      <c r="ADJ188">
        <f t="shared" si="99"/>
        <v>9698</v>
      </c>
      <c r="ADK188">
        <f t="shared" si="99"/>
        <v>9698</v>
      </c>
      <c r="ADL188">
        <f t="shared" si="99"/>
        <v>9698</v>
      </c>
      <c r="ADM188">
        <f t="shared" si="99"/>
        <v>9698</v>
      </c>
      <c r="ADN188">
        <f t="shared" si="99"/>
        <v>9698</v>
      </c>
      <c r="ADO188">
        <f t="shared" si="99"/>
        <v>9698</v>
      </c>
      <c r="ADP188">
        <f t="shared" si="99"/>
        <v>9698</v>
      </c>
      <c r="ADQ188">
        <f t="shared" si="99"/>
        <v>9698</v>
      </c>
      <c r="ADR188">
        <f t="shared" si="99"/>
        <v>9698</v>
      </c>
      <c r="ADS188">
        <f t="shared" si="99"/>
        <v>9698</v>
      </c>
      <c r="ADT188">
        <f t="shared" si="99"/>
        <v>9698</v>
      </c>
      <c r="ADU188">
        <f t="shared" si="99"/>
        <v>9698</v>
      </c>
      <c r="ADV188">
        <f t="shared" si="99"/>
        <v>9698</v>
      </c>
      <c r="ADW188">
        <f t="shared" si="99"/>
        <v>9698</v>
      </c>
      <c r="ADX188">
        <f t="shared" si="99"/>
        <v>9698</v>
      </c>
      <c r="ADY188">
        <f t="shared" si="99"/>
        <v>9698</v>
      </c>
      <c r="ADZ188">
        <f t="shared" si="99"/>
        <v>9698</v>
      </c>
      <c r="AEA188">
        <f t="shared" si="99"/>
        <v>9698</v>
      </c>
      <c r="AEB188">
        <f t="shared" si="99"/>
        <v>9698</v>
      </c>
      <c r="AEC188">
        <f t="shared" si="99"/>
        <v>9698</v>
      </c>
      <c r="AED188">
        <f t="shared" si="99"/>
        <v>9698</v>
      </c>
      <c r="AEE188">
        <f t="shared" si="99"/>
        <v>9698</v>
      </c>
      <c r="AEF188">
        <f t="shared" si="99"/>
        <v>9698</v>
      </c>
      <c r="AEG188">
        <f t="shared" si="99"/>
        <v>9698</v>
      </c>
      <c r="AEH188">
        <f t="shared" si="99"/>
        <v>9968</v>
      </c>
      <c r="AEI188">
        <f t="shared" si="99"/>
        <v>9968</v>
      </c>
      <c r="AEJ188">
        <f t="shared" si="99"/>
        <v>9968</v>
      </c>
      <c r="AEK188">
        <f t="shared" si="99"/>
        <v>9968</v>
      </c>
      <c r="AEL188">
        <f t="shared" si="99"/>
        <v>9968</v>
      </c>
      <c r="AEM188">
        <f t="shared" si="99"/>
        <v>9968</v>
      </c>
      <c r="AEN188">
        <f t="shared" si="99"/>
        <v>9968</v>
      </c>
      <c r="AEO188">
        <f t="shared" ref="AEO188:AGZ188" si="100">ROUNDDOWN(((1/AEO139)*(AEO136*AEO137*AEO138*AEO140*AEO141*AEO142*AEO160)*(AEO55*AEO40*AEO44*AEO63)+AEO67*AEO143*AEO144)*AEO35/365,0)</f>
        <v>9698</v>
      </c>
      <c r="AEP188">
        <f t="shared" si="100"/>
        <v>9698</v>
      </c>
      <c r="AEQ188">
        <f t="shared" si="100"/>
        <v>9698</v>
      </c>
      <c r="AER188">
        <f t="shared" si="100"/>
        <v>9698</v>
      </c>
      <c r="AES188">
        <f t="shared" si="100"/>
        <v>9968</v>
      </c>
      <c r="AET188">
        <f t="shared" si="100"/>
        <v>9968</v>
      </c>
      <c r="AEU188">
        <f t="shared" si="100"/>
        <v>9968</v>
      </c>
      <c r="AEV188">
        <f t="shared" si="100"/>
        <v>9968</v>
      </c>
      <c r="AEW188">
        <f t="shared" si="100"/>
        <v>9968</v>
      </c>
      <c r="AEX188">
        <f t="shared" si="100"/>
        <v>9968</v>
      </c>
      <c r="AEY188">
        <f t="shared" si="100"/>
        <v>7737</v>
      </c>
      <c r="AEZ188">
        <f t="shared" si="100"/>
        <v>9809</v>
      </c>
      <c r="AFA188">
        <f t="shared" si="100"/>
        <v>9968</v>
      </c>
      <c r="AFB188">
        <f t="shared" si="100"/>
        <v>9698</v>
      </c>
      <c r="AFC188">
        <f t="shared" si="100"/>
        <v>9698</v>
      </c>
      <c r="AFD188">
        <f t="shared" si="100"/>
        <v>9698</v>
      </c>
      <c r="AFE188">
        <f t="shared" si="100"/>
        <v>9698</v>
      </c>
      <c r="AFF188">
        <f t="shared" si="100"/>
        <v>9698</v>
      </c>
      <c r="AFG188">
        <f t="shared" si="100"/>
        <v>9698</v>
      </c>
      <c r="AFH188">
        <f t="shared" si="100"/>
        <v>9698</v>
      </c>
      <c r="AFI188">
        <f t="shared" si="100"/>
        <v>9698</v>
      </c>
      <c r="AFJ188">
        <f t="shared" si="100"/>
        <v>9698</v>
      </c>
      <c r="AFK188">
        <f t="shared" si="100"/>
        <v>9968</v>
      </c>
      <c r="AFL188">
        <f t="shared" si="100"/>
        <v>9968</v>
      </c>
      <c r="AFM188">
        <f t="shared" si="100"/>
        <v>9698</v>
      </c>
      <c r="AFN188">
        <f t="shared" si="100"/>
        <v>9698</v>
      </c>
      <c r="AFO188">
        <f t="shared" si="100"/>
        <v>9680</v>
      </c>
      <c r="AFP188">
        <f t="shared" si="100"/>
        <v>9698</v>
      </c>
      <c r="AFQ188">
        <f t="shared" si="100"/>
        <v>9822</v>
      </c>
      <c r="AFR188">
        <f t="shared" si="100"/>
        <v>9725</v>
      </c>
      <c r="AFS188">
        <f t="shared" si="100"/>
        <v>9844</v>
      </c>
      <c r="AFT188">
        <f t="shared" si="100"/>
        <v>8113</v>
      </c>
      <c r="AFU188">
        <f t="shared" si="100"/>
        <v>9698</v>
      </c>
      <c r="AFV188">
        <f t="shared" si="100"/>
        <v>9698</v>
      </c>
      <c r="AFW188">
        <f t="shared" si="100"/>
        <v>9968</v>
      </c>
      <c r="AFX188">
        <f t="shared" si="100"/>
        <v>9968</v>
      </c>
      <c r="AFY188">
        <f t="shared" si="100"/>
        <v>9968</v>
      </c>
      <c r="AFZ188">
        <f t="shared" si="100"/>
        <v>9698</v>
      </c>
      <c r="AGA188">
        <f t="shared" si="100"/>
        <v>9968</v>
      </c>
      <c r="AGB188">
        <f t="shared" si="100"/>
        <v>9968</v>
      </c>
      <c r="AGC188">
        <f t="shared" si="100"/>
        <v>8079</v>
      </c>
      <c r="AGD188">
        <f t="shared" si="100"/>
        <v>9714</v>
      </c>
      <c r="AGE188">
        <f t="shared" si="100"/>
        <v>9968</v>
      </c>
      <c r="AGF188">
        <f t="shared" si="100"/>
        <v>9761</v>
      </c>
      <c r="AGG188">
        <f t="shared" si="100"/>
        <v>9852</v>
      </c>
      <c r="AGH188">
        <f t="shared" si="100"/>
        <v>9824</v>
      </c>
      <c r="AGI188">
        <f t="shared" si="100"/>
        <v>2067</v>
      </c>
      <c r="AGJ188">
        <f t="shared" si="100"/>
        <v>9512</v>
      </c>
      <c r="AGK188">
        <f t="shared" si="100"/>
        <v>9512</v>
      </c>
      <c r="AGL188">
        <f t="shared" si="100"/>
        <v>9512</v>
      </c>
      <c r="AGM188">
        <f t="shared" si="100"/>
        <v>9512</v>
      </c>
      <c r="AGN188">
        <f t="shared" si="100"/>
        <v>9512</v>
      </c>
      <c r="AGO188">
        <f t="shared" si="100"/>
        <v>9512</v>
      </c>
      <c r="AGP188">
        <f t="shared" si="100"/>
        <v>9512</v>
      </c>
      <c r="AGQ188">
        <f t="shared" si="100"/>
        <v>9512</v>
      </c>
      <c r="AGR188">
        <f t="shared" si="100"/>
        <v>9512</v>
      </c>
      <c r="AGS188">
        <f t="shared" si="100"/>
        <v>9512</v>
      </c>
      <c r="AGT188">
        <f t="shared" si="100"/>
        <v>9512</v>
      </c>
      <c r="AGU188">
        <f t="shared" si="100"/>
        <v>9512</v>
      </c>
      <c r="AGV188">
        <f t="shared" si="100"/>
        <v>9512</v>
      </c>
      <c r="AGW188">
        <f t="shared" si="100"/>
        <v>9512</v>
      </c>
      <c r="AGX188">
        <f t="shared" si="100"/>
        <v>9512</v>
      </c>
      <c r="AGY188">
        <f t="shared" si="100"/>
        <v>9512</v>
      </c>
      <c r="AGZ188">
        <f t="shared" si="100"/>
        <v>9512</v>
      </c>
      <c r="AHA188">
        <f t="shared" ref="AHA188:AJQ188" si="101">ROUNDDOWN(((1/AHA139)*(AHA136*AHA137*AHA138*AHA140*AHA141*AHA142*AHA160)*(AHA55*AHA40*AHA44*AHA63)+AHA67*AHA143*AHA144)*AHA35/365,0)</f>
        <v>9512</v>
      </c>
      <c r="AHB188">
        <f t="shared" si="101"/>
        <v>9512</v>
      </c>
      <c r="AHC188">
        <f t="shared" si="101"/>
        <v>9512</v>
      </c>
      <c r="AHD188">
        <f t="shared" si="101"/>
        <v>9512</v>
      </c>
      <c r="AHE188">
        <f t="shared" si="101"/>
        <v>9512</v>
      </c>
      <c r="AHF188">
        <f t="shared" si="101"/>
        <v>9512</v>
      </c>
      <c r="AHG188">
        <f t="shared" si="101"/>
        <v>9512</v>
      </c>
      <c r="AHH188">
        <f t="shared" si="101"/>
        <v>9512</v>
      </c>
      <c r="AHI188">
        <f t="shared" si="101"/>
        <v>9512</v>
      </c>
      <c r="AHJ188">
        <f t="shared" si="101"/>
        <v>9512</v>
      </c>
      <c r="AHK188">
        <f t="shared" si="101"/>
        <v>9512</v>
      </c>
      <c r="AHL188">
        <f t="shared" si="101"/>
        <v>9512</v>
      </c>
      <c r="AHM188">
        <f t="shared" si="101"/>
        <v>9512</v>
      </c>
      <c r="AHN188">
        <f t="shared" si="101"/>
        <v>9512</v>
      </c>
      <c r="AHO188">
        <f t="shared" si="101"/>
        <v>9512</v>
      </c>
      <c r="AHP188">
        <f t="shared" si="101"/>
        <v>9512</v>
      </c>
      <c r="AHQ188">
        <f t="shared" si="101"/>
        <v>9777</v>
      </c>
      <c r="AHR188">
        <f t="shared" si="101"/>
        <v>9777</v>
      </c>
      <c r="AHS188">
        <f t="shared" si="101"/>
        <v>9777</v>
      </c>
      <c r="AHT188">
        <f t="shared" si="101"/>
        <v>9777</v>
      </c>
      <c r="AHU188">
        <f t="shared" si="101"/>
        <v>9777</v>
      </c>
      <c r="AHV188">
        <f t="shared" si="101"/>
        <v>9777</v>
      </c>
      <c r="AHW188">
        <f t="shared" si="101"/>
        <v>9777</v>
      </c>
      <c r="AHX188">
        <f t="shared" si="101"/>
        <v>9512</v>
      </c>
      <c r="AHY188">
        <f t="shared" si="101"/>
        <v>9512</v>
      </c>
      <c r="AHZ188">
        <f t="shared" si="101"/>
        <v>9512</v>
      </c>
      <c r="AIA188">
        <f t="shared" si="101"/>
        <v>9512</v>
      </c>
      <c r="AIB188">
        <f t="shared" si="101"/>
        <v>9777</v>
      </c>
      <c r="AIC188">
        <f t="shared" si="101"/>
        <v>9777</v>
      </c>
      <c r="AID188">
        <f t="shared" si="101"/>
        <v>9777</v>
      </c>
      <c r="AIE188">
        <f t="shared" si="101"/>
        <v>9777</v>
      </c>
      <c r="AIF188">
        <f t="shared" si="101"/>
        <v>9777</v>
      </c>
      <c r="AIG188">
        <f t="shared" si="101"/>
        <v>9777</v>
      </c>
      <c r="AIH188">
        <f t="shared" si="101"/>
        <v>7589</v>
      </c>
      <c r="AII188">
        <f t="shared" si="101"/>
        <v>9621</v>
      </c>
      <c r="AIJ188">
        <f t="shared" si="101"/>
        <v>9777</v>
      </c>
      <c r="AIK188">
        <f t="shared" si="101"/>
        <v>9512</v>
      </c>
      <c r="AIL188">
        <f t="shared" si="101"/>
        <v>9512</v>
      </c>
      <c r="AIM188">
        <f t="shared" si="101"/>
        <v>9512</v>
      </c>
      <c r="AIN188">
        <f t="shared" si="101"/>
        <v>9512</v>
      </c>
      <c r="AIO188">
        <f t="shared" si="101"/>
        <v>9512</v>
      </c>
      <c r="AIP188">
        <f t="shared" si="101"/>
        <v>9512</v>
      </c>
      <c r="AIQ188">
        <f t="shared" si="101"/>
        <v>9512</v>
      </c>
      <c r="AIR188">
        <f t="shared" si="101"/>
        <v>9512</v>
      </c>
      <c r="AIS188">
        <f t="shared" si="101"/>
        <v>9512</v>
      </c>
      <c r="AIT188">
        <f t="shared" si="101"/>
        <v>9777</v>
      </c>
      <c r="AIU188">
        <f t="shared" si="101"/>
        <v>9777</v>
      </c>
      <c r="AIV188">
        <f t="shared" si="101"/>
        <v>9512</v>
      </c>
      <c r="AIW188">
        <f t="shared" si="101"/>
        <v>9512</v>
      </c>
      <c r="AIX188">
        <f t="shared" si="101"/>
        <v>9494</v>
      </c>
      <c r="AIY188">
        <f t="shared" si="101"/>
        <v>9512</v>
      </c>
      <c r="AIZ188">
        <f t="shared" si="101"/>
        <v>9634</v>
      </c>
      <c r="AJA188">
        <f t="shared" si="101"/>
        <v>9538</v>
      </c>
      <c r="AJB188">
        <f t="shared" si="101"/>
        <v>9656</v>
      </c>
      <c r="AJC188">
        <f t="shared" si="101"/>
        <v>7118</v>
      </c>
      <c r="AJD188">
        <f t="shared" si="101"/>
        <v>9512</v>
      </c>
      <c r="AJE188">
        <f t="shared" si="101"/>
        <v>9512</v>
      </c>
      <c r="AJF188">
        <f t="shared" si="101"/>
        <v>9777</v>
      </c>
      <c r="AJG188">
        <f t="shared" si="101"/>
        <v>9777</v>
      </c>
      <c r="AJH188">
        <f t="shared" si="101"/>
        <v>9777</v>
      </c>
      <c r="AJI188">
        <f t="shared" si="101"/>
        <v>9512</v>
      </c>
      <c r="AJJ188">
        <f t="shared" si="101"/>
        <v>9777</v>
      </c>
      <c r="AJK188">
        <f t="shared" si="101"/>
        <v>9777</v>
      </c>
      <c r="AJL188">
        <f t="shared" si="101"/>
        <v>7924</v>
      </c>
      <c r="AJM188">
        <f t="shared" si="101"/>
        <v>9528</v>
      </c>
      <c r="AJN188">
        <f t="shared" si="101"/>
        <v>9777</v>
      </c>
      <c r="AJO188">
        <f t="shared" si="101"/>
        <v>9574</v>
      </c>
      <c r="AJP188">
        <f t="shared" si="101"/>
        <v>9664</v>
      </c>
      <c r="AJQ188">
        <f t="shared" si="101"/>
        <v>9636</v>
      </c>
      <c r="AJR188">
        <f t="shared" ref="AJR188:AKG188" si="102">AJR109+AJR107</f>
        <v>6271.5395029502042</v>
      </c>
      <c r="AJS188">
        <f t="shared" si="102"/>
        <v>21695.884914311195</v>
      </c>
      <c r="AJT188">
        <f t="shared" si="102"/>
        <v>33870.205360017833</v>
      </c>
      <c r="AJU188">
        <f t="shared" si="102"/>
        <v>41529.065715662233</v>
      </c>
      <c r="AJV188">
        <f t="shared" si="102"/>
        <v>52601.609151994562</v>
      </c>
      <c r="AJW188">
        <f t="shared" si="102"/>
        <v>54538.825591401255</v>
      </c>
      <c r="AJX188">
        <f t="shared" si="102"/>
        <v>57165.891999514242</v>
      </c>
      <c r="AJY188">
        <f t="shared" si="102"/>
        <v>55315.397012307469</v>
      </c>
      <c r="AJZ188">
        <f t="shared" si="102"/>
        <v>53604.243810371976</v>
      </c>
      <c r="AKA188">
        <f t="shared" si="102"/>
        <v>6425.4052174655035</v>
      </c>
      <c r="AKB188">
        <f t="shared" si="102"/>
        <v>19276.21565239651</v>
      </c>
      <c r="AKC188">
        <f t="shared" si="102"/>
        <v>32127.026087327493</v>
      </c>
      <c r="AKD188">
        <f t="shared" si="102"/>
        <v>32127.026087327493</v>
      </c>
      <c r="AKE188">
        <f t="shared" si="102"/>
        <v>32127.026087327493</v>
      </c>
      <c r="AKF188">
        <f t="shared" si="102"/>
        <v>32127.026087327493</v>
      </c>
      <c r="AKG188">
        <f t="shared" si="102"/>
        <v>28768.474342400001</v>
      </c>
      <c r="AKJ188">
        <f>AKJ40*AKJ35*AKJ59*AKJ49*(AKJ71*AKJ148+AKJ150)</f>
        <v>87155.213648400008</v>
      </c>
      <c r="AKK188">
        <f>AKK40*AKK35*AKK59*AKK49*(AKK71*AKK148+AKK150)</f>
        <v>92431.969326720005</v>
      </c>
      <c r="AKL188">
        <f>AKL40*AKL35*AKL59*AKL49*(AKL71*AKL148+AKL150)</f>
        <v>91743.390049190406</v>
      </c>
      <c r="AKM188">
        <f>AKM40*AKM35*AKM59*AKM49*(AKM71*AKM148+AKM150)</f>
        <v>85652.763875712</v>
      </c>
      <c r="AKN188">
        <f>(AKN77+AKN80)*AKN38*AKN59</f>
        <v>71510.82567360907</v>
      </c>
      <c r="AKO188">
        <f>(AKO77+AKO80)*AKO38*AKO59</f>
        <v>97059.248494695465</v>
      </c>
      <c r="AKP188">
        <f>(AKP77+AKP80)*AKP38*AKP59</f>
        <v>86289.374067713274</v>
      </c>
      <c r="AKQ188">
        <f>(AKQ77+AKQ80)*AKQ38*AKQ59</f>
        <v>102106.72885058769</v>
      </c>
      <c r="AKR188">
        <f>(AKR77+AKR80)*AKR38*AKR59</f>
        <v>101566.57096280198</v>
      </c>
      <c r="AKS188">
        <f>PRODUCT(AKS48:AKS76)</f>
        <v>67543.715815625488</v>
      </c>
      <c r="AKT188">
        <f>PRODUCT(AKT48:AKT76)</f>
        <v>66052.583940007011</v>
      </c>
      <c r="AKU188">
        <f>AKU90/365*AKU38</f>
        <v>15302.341350499559</v>
      </c>
      <c r="AKV188">
        <f>AKV90/365*AKV38</f>
        <v>43809.433904321842</v>
      </c>
      <c r="AKW188">
        <f>AKW90/365*AKW38</f>
        <v>40253.961872979227</v>
      </c>
    </row>
    <row r="189" spans="1:985" ht="14.4" customHeight="1" x14ac:dyDescent="0.55000000000000004">
      <c r="A189" t="s">
        <v>53</v>
      </c>
      <c r="B189" t="s">
        <v>647</v>
      </c>
      <c r="C189" s="1" t="s">
        <v>958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f t="shared" ref="CA189:DF189" si="103">ROUND(((1/CA139)*(CA136*CA137*CA138*CA140*CA141)*CA142*CA40*CA44*CA63*0.1+CA68*CA143*CA144)*CA35/365,0)</f>
        <v>294</v>
      </c>
      <c r="CB189">
        <f t="shared" si="103"/>
        <v>168</v>
      </c>
      <c r="CC189">
        <f t="shared" si="103"/>
        <v>168</v>
      </c>
      <c r="CD189">
        <f t="shared" si="103"/>
        <v>168</v>
      </c>
      <c r="CE189">
        <f t="shared" si="103"/>
        <v>168</v>
      </c>
      <c r="CF189">
        <f t="shared" si="103"/>
        <v>168</v>
      </c>
      <c r="CG189">
        <f t="shared" si="103"/>
        <v>168</v>
      </c>
      <c r="CH189">
        <f t="shared" si="103"/>
        <v>168</v>
      </c>
      <c r="CI189">
        <f t="shared" si="103"/>
        <v>168</v>
      </c>
      <c r="CJ189">
        <f t="shared" si="103"/>
        <v>168</v>
      </c>
      <c r="CK189">
        <f t="shared" si="103"/>
        <v>168</v>
      </c>
      <c r="CL189">
        <f t="shared" si="103"/>
        <v>168</v>
      </c>
      <c r="CM189">
        <f t="shared" si="103"/>
        <v>168</v>
      </c>
      <c r="CN189">
        <f t="shared" si="103"/>
        <v>168</v>
      </c>
      <c r="CO189">
        <f t="shared" si="103"/>
        <v>168</v>
      </c>
      <c r="CP189">
        <f t="shared" si="103"/>
        <v>168</v>
      </c>
      <c r="CQ189">
        <f t="shared" si="103"/>
        <v>168</v>
      </c>
      <c r="CR189">
        <f t="shared" si="103"/>
        <v>168</v>
      </c>
      <c r="CS189">
        <f t="shared" si="103"/>
        <v>168</v>
      </c>
      <c r="CT189">
        <f t="shared" si="103"/>
        <v>168</v>
      </c>
      <c r="CU189">
        <f t="shared" si="103"/>
        <v>168</v>
      </c>
      <c r="CV189">
        <f t="shared" si="103"/>
        <v>168</v>
      </c>
      <c r="CW189">
        <f t="shared" si="103"/>
        <v>168</v>
      </c>
      <c r="CX189">
        <f t="shared" si="103"/>
        <v>168</v>
      </c>
      <c r="CY189">
        <f t="shared" si="103"/>
        <v>168</v>
      </c>
      <c r="CZ189">
        <f t="shared" si="103"/>
        <v>168</v>
      </c>
      <c r="DA189">
        <f t="shared" si="103"/>
        <v>168</v>
      </c>
      <c r="DB189">
        <f t="shared" si="103"/>
        <v>168</v>
      </c>
      <c r="DC189">
        <f t="shared" si="103"/>
        <v>168</v>
      </c>
      <c r="DD189">
        <f t="shared" si="103"/>
        <v>168</v>
      </c>
      <c r="DE189">
        <f t="shared" si="103"/>
        <v>168</v>
      </c>
      <c r="DF189">
        <f t="shared" si="103"/>
        <v>168</v>
      </c>
      <c r="DG189">
        <f t="shared" ref="DG189:EL189" si="104">ROUND(((1/DG139)*(DG136*DG137*DG138*DG140*DG141)*DG142*DG40*DG44*DG63*0.1+DG68*DG143*DG144)*DG35/365,0)</f>
        <v>168</v>
      </c>
      <c r="DH189">
        <f t="shared" si="104"/>
        <v>168</v>
      </c>
      <c r="DI189">
        <f t="shared" si="104"/>
        <v>168</v>
      </c>
      <c r="DJ189">
        <f t="shared" si="104"/>
        <v>168</v>
      </c>
      <c r="DK189">
        <f t="shared" si="104"/>
        <v>168</v>
      </c>
      <c r="DL189">
        <f t="shared" si="104"/>
        <v>168</v>
      </c>
      <c r="DM189">
        <f t="shared" si="104"/>
        <v>168</v>
      </c>
      <c r="DN189">
        <f t="shared" si="104"/>
        <v>168</v>
      </c>
      <c r="DO189">
        <f t="shared" si="104"/>
        <v>168</v>
      </c>
      <c r="DP189">
        <f t="shared" si="104"/>
        <v>168</v>
      </c>
      <c r="DQ189">
        <f t="shared" si="104"/>
        <v>168</v>
      </c>
      <c r="DR189">
        <f t="shared" si="104"/>
        <v>168</v>
      </c>
      <c r="DS189">
        <f t="shared" si="104"/>
        <v>168</v>
      </c>
      <c r="DT189">
        <f t="shared" si="104"/>
        <v>168</v>
      </c>
      <c r="DU189">
        <f t="shared" si="104"/>
        <v>168</v>
      </c>
      <c r="DV189">
        <f t="shared" si="104"/>
        <v>168</v>
      </c>
      <c r="DW189">
        <f t="shared" si="104"/>
        <v>168</v>
      </c>
      <c r="DX189">
        <f t="shared" si="104"/>
        <v>168</v>
      </c>
      <c r="DY189">
        <f t="shared" si="104"/>
        <v>168</v>
      </c>
      <c r="DZ189">
        <f t="shared" si="104"/>
        <v>168</v>
      </c>
      <c r="EA189">
        <f t="shared" si="104"/>
        <v>168</v>
      </c>
      <c r="EB189">
        <f t="shared" si="104"/>
        <v>236</v>
      </c>
      <c r="EC189">
        <f t="shared" si="104"/>
        <v>963</v>
      </c>
      <c r="ED189">
        <f t="shared" si="104"/>
        <v>963</v>
      </c>
      <c r="EE189">
        <f t="shared" si="104"/>
        <v>963</v>
      </c>
      <c r="EF189">
        <f t="shared" si="104"/>
        <v>963</v>
      </c>
      <c r="EG189">
        <f t="shared" si="104"/>
        <v>963</v>
      </c>
      <c r="EH189">
        <f t="shared" si="104"/>
        <v>963</v>
      </c>
      <c r="EI189">
        <f t="shared" si="104"/>
        <v>963</v>
      </c>
      <c r="EJ189">
        <f t="shared" si="104"/>
        <v>963</v>
      </c>
      <c r="EK189">
        <f t="shared" si="104"/>
        <v>963</v>
      </c>
      <c r="EL189">
        <f t="shared" si="104"/>
        <v>963</v>
      </c>
      <c r="EM189">
        <f t="shared" ref="EM189:FR189" si="105">ROUND(((1/EM139)*(EM136*EM137*EM138*EM140*EM141)*EM142*EM40*EM44*EM63*0.1+EM68*EM143*EM144)*EM35/365,0)</f>
        <v>963</v>
      </c>
      <c r="EN189">
        <f t="shared" si="105"/>
        <v>963</v>
      </c>
      <c r="EO189">
        <f t="shared" si="105"/>
        <v>963</v>
      </c>
      <c r="EP189">
        <f t="shared" si="105"/>
        <v>963</v>
      </c>
      <c r="EQ189">
        <f t="shared" si="105"/>
        <v>963</v>
      </c>
      <c r="ER189">
        <f t="shared" si="105"/>
        <v>963</v>
      </c>
      <c r="ES189">
        <f t="shared" si="105"/>
        <v>963</v>
      </c>
      <c r="ET189">
        <f t="shared" si="105"/>
        <v>963</v>
      </c>
      <c r="EU189">
        <f t="shared" si="105"/>
        <v>963</v>
      </c>
      <c r="EV189">
        <f t="shared" si="105"/>
        <v>963</v>
      </c>
      <c r="EW189">
        <f t="shared" si="105"/>
        <v>963</v>
      </c>
      <c r="EX189">
        <f t="shared" si="105"/>
        <v>963</v>
      </c>
      <c r="EY189">
        <f t="shared" si="105"/>
        <v>963</v>
      </c>
      <c r="EZ189">
        <f t="shared" si="105"/>
        <v>963</v>
      </c>
      <c r="FA189">
        <f t="shared" si="105"/>
        <v>963</v>
      </c>
      <c r="FB189">
        <f t="shared" si="105"/>
        <v>963</v>
      </c>
      <c r="FC189">
        <f t="shared" si="105"/>
        <v>963</v>
      </c>
      <c r="FD189">
        <f t="shared" si="105"/>
        <v>963</v>
      </c>
      <c r="FE189">
        <f t="shared" si="105"/>
        <v>963</v>
      </c>
      <c r="FF189">
        <f t="shared" si="105"/>
        <v>963</v>
      </c>
      <c r="FG189">
        <f t="shared" si="105"/>
        <v>963</v>
      </c>
      <c r="FH189">
        <f t="shared" si="105"/>
        <v>963</v>
      </c>
      <c r="FI189">
        <f t="shared" si="105"/>
        <v>963</v>
      </c>
      <c r="FJ189">
        <f t="shared" si="105"/>
        <v>963</v>
      </c>
      <c r="FK189">
        <f t="shared" si="105"/>
        <v>963</v>
      </c>
      <c r="FL189">
        <f t="shared" si="105"/>
        <v>963</v>
      </c>
      <c r="FM189">
        <f t="shared" si="105"/>
        <v>963</v>
      </c>
      <c r="FN189">
        <f t="shared" si="105"/>
        <v>963</v>
      </c>
      <c r="FO189">
        <f t="shared" si="105"/>
        <v>963</v>
      </c>
      <c r="FP189">
        <f t="shared" si="105"/>
        <v>963</v>
      </c>
      <c r="FQ189">
        <f t="shared" si="105"/>
        <v>963</v>
      </c>
      <c r="FR189">
        <f t="shared" si="105"/>
        <v>963</v>
      </c>
      <c r="FS189">
        <f t="shared" ref="FS189:GB189" si="106">ROUND(((1/FS139)*(FS136*FS137*FS138*FS140*FS141)*FS142*FS40*FS44*FS63*0.1+FS68*FS143*FS144)*FS35/365,0)</f>
        <v>963</v>
      </c>
      <c r="FT189">
        <f t="shared" si="106"/>
        <v>963</v>
      </c>
      <c r="FU189">
        <f t="shared" si="106"/>
        <v>963</v>
      </c>
      <c r="FV189">
        <f t="shared" si="106"/>
        <v>963</v>
      </c>
      <c r="FW189">
        <f t="shared" si="106"/>
        <v>963</v>
      </c>
      <c r="FX189">
        <f t="shared" si="106"/>
        <v>963</v>
      </c>
      <c r="FY189">
        <f t="shared" si="106"/>
        <v>963</v>
      </c>
      <c r="FZ189">
        <f t="shared" si="106"/>
        <v>963</v>
      </c>
      <c r="GA189">
        <f t="shared" si="106"/>
        <v>963</v>
      </c>
      <c r="GB189">
        <f t="shared" si="106"/>
        <v>963</v>
      </c>
      <c r="GC189">
        <v>261</v>
      </c>
      <c r="GD189">
        <v>1060</v>
      </c>
      <c r="GE189">
        <v>1060</v>
      </c>
      <c r="GF189">
        <v>1060</v>
      </c>
      <c r="GG189">
        <v>1060</v>
      </c>
      <c r="GH189">
        <v>1060</v>
      </c>
      <c r="GI189">
        <v>1060</v>
      </c>
      <c r="GJ189">
        <v>1060</v>
      </c>
      <c r="GK189">
        <v>1060</v>
      </c>
      <c r="GL189">
        <v>1060</v>
      </c>
      <c r="GM189">
        <v>1060</v>
      </c>
      <c r="GN189">
        <v>1060</v>
      </c>
      <c r="GO189">
        <v>1060</v>
      </c>
      <c r="GP189">
        <v>1060</v>
      </c>
      <c r="GQ189">
        <v>1060</v>
      </c>
      <c r="GR189">
        <v>1060</v>
      </c>
      <c r="GS189">
        <v>1060</v>
      </c>
      <c r="GT189">
        <v>1060</v>
      </c>
      <c r="GU189">
        <v>1060</v>
      </c>
      <c r="GV189">
        <v>1060</v>
      </c>
      <c r="GW189">
        <v>1060</v>
      </c>
      <c r="GX189">
        <v>1060</v>
      </c>
      <c r="GY189">
        <v>1060</v>
      </c>
      <c r="GZ189">
        <v>1060</v>
      </c>
      <c r="HA189">
        <v>1060</v>
      </c>
      <c r="HB189">
        <v>1060</v>
      </c>
      <c r="HC189">
        <v>1060</v>
      </c>
      <c r="HD189">
        <v>1060</v>
      </c>
      <c r="HE189">
        <v>1060</v>
      </c>
      <c r="HF189">
        <v>1060</v>
      </c>
      <c r="HG189">
        <v>1060</v>
      </c>
      <c r="HH189">
        <v>1060</v>
      </c>
      <c r="HI189">
        <v>1060</v>
      </c>
      <c r="HJ189">
        <v>1060</v>
      </c>
      <c r="HK189">
        <v>1060</v>
      </c>
      <c r="HL189">
        <v>1060</v>
      </c>
      <c r="HM189">
        <v>1060</v>
      </c>
      <c r="HN189">
        <v>1060</v>
      </c>
      <c r="HO189">
        <v>1060</v>
      </c>
      <c r="HP189">
        <v>1060</v>
      </c>
      <c r="HQ189">
        <v>1060</v>
      </c>
      <c r="HR189">
        <v>1060</v>
      </c>
      <c r="HS189">
        <v>1060</v>
      </c>
      <c r="HT189">
        <v>1060</v>
      </c>
      <c r="HU189">
        <v>1060</v>
      </c>
      <c r="HV189">
        <v>1060</v>
      </c>
      <c r="HW189">
        <v>1060</v>
      </c>
      <c r="HX189">
        <v>1060</v>
      </c>
      <c r="HY189">
        <v>1060</v>
      </c>
      <c r="HZ189">
        <v>1060</v>
      </c>
      <c r="IA189">
        <v>1060</v>
      </c>
      <c r="IB189">
        <v>1060</v>
      </c>
      <c r="IC189">
        <v>1060</v>
      </c>
      <c r="ID189">
        <v>981</v>
      </c>
      <c r="IE189">
        <v>981</v>
      </c>
      <c r="IF189">
        <v>981</v>
      </c>
      <c r="IG189">
        <v>981</v>
      </c>
      <c r="IH189">
        <v>981</v>
      </c>
      <c r="II189">
        <v>981</v>
      </c>
      <c r="IJ189">
        <v>981</v>
      </c>
      <c r="IK189">
        <v>981</v>
      </c>
      <c r="IL189">
        <v>981</v>
      </c>
      <c r="IM189">
        <v>981</v>
      </c>
      <c r="IN189">
        <v>981</v>
      </c>
      <c r="IO189">
        <v>981</v>
      </c>
      <c r="IP189">
        <v>981</v>
      </c>
      <c r="IQ189">
        <v>981</v>
      </c>
      <c r="IR189">
        <v>981</v>
      </c>
      <c r="IS189">
        <v>981</v>
      </c>
      <c r="IT189">
        <v>981</v>
      </c>
      <c r="IU189">
        <v>981</v>
      </c>
      <c r="IV189">
        <v>981</v>
      </c>
      <c r="IW189">
        <v>714</v>
      </c>
      <c r="IX189">
        <f t="shared" ref="IX189:KC189" si="107">ROUNDUP(((1/IX139)*(IX136*IX137*IX138*IX140*IX141)*IX142*IX40*IX44*IX63*0.1+IX68*IX143*IX144*IX162)*IX35/365,0)</f>
        <v>286</v>
      </c>
      <c r="IY189">
        <f t="shared" si="107"/>
        <v>1316</v>
      </c>
      <c r="IZ189">
        <f t="shared" si="107"/>
        <v>1316</v>
      </c>
      <c r="JA189">
        <f t="shared" si="107"/>
        <v>1316</v>
      </c>
      <c r="JB189">
        <f t="shared" si="107"/>
        <v>1316</v>
      </c>
      <c r="JC189">
        <f t="shared" si="107"/>
        <v>1316</v>
      </c>
      <c r="JD189">
        <f t="shared" si="107"/>
        <v>1316</v>
      </c>
      <c r="JE189">
        <f t="shared" si="107"/>
        <v>1316</v>
      </c>
      <c r="JF189">
        <f t="shared" si="107"/>
        <v>1316</v>
      </c>
      <c r="JG189">
        <f t="shared" si="107"/>
        <v>1316</v>
      </c>
      <c r="JH189">
        <f t="shared" si="107"/>
        <v>1316</v>
      </c>
      <c r="JI189">
        <f t="shared" si="107"/>
        <v>1316</v>
      </c>
      <c r="JJ189">
        <f t="shared" si="107"/>
        <v>1316</v>
      </c>
      <c r="JK189">
        <f t="shared" si="107"/>
        <v>1316</v>
      </c>
      <c r="JL189">
        <f t="shared" si="107"/>
        <v>1316</v>
      </c>
      <c r="JM189">
        <f t="shared" si="107"/>
        <v>1316</v>
      </c>
      <c r="JN189">
        <f t="shared" si="107"/>
        <v>1316</v>
      </c>
      <c r="JO189">
        <f t="shared" si="107"/>
        <v>1316</v>
      </c>
      <c r="JP189">
        <f t="shared" si="107"/>
        <v>1316</v>
      </c>
      <c r="JQ189">
        <f t="shared" si="107"/>
        <v>1316</v>
      </c>
      <c r="JR189">
        <f t="shared" si="107"/>
        <v>1316</v>
      </c>
      <c r="JS189">
        <f t="shared" si="107"/>
        <v>1316</v>
      </c>
      <c r="JT189">
        <f t="shared" si="107"/>
        <v>1316</v>
      </c>
      <c r="JU189">
        <f t="shared" si="107"/>
        <v>1316</v>
      </c>
      <c r="JV189">
        <f t="shared" si="107"/>
        <v>1316</v>
      </c>
      <c r="JW189">
        <f t="shared" si="107"/>
        <v>1316</v>
      </c>
      <c r="JX189">
        <f t="shared" si="107"/>
        <v>1316</v>
      </c>
      <c r="JY189">
        <f t="shared" si="107"/>
        <v>1316</v>
      </c>
      <c r="JZ189">
        <f t="shared" si="107"/>
        <v>1316</v>
      </c>
      <c r="KA189">
        <f t="shared" si="107"/>
        <v>1316</v>
      </c>
      <c r="KB189">
        <f t="shared" si="107"/>
        <v>1316</v>
      </c>
      <c r="KC189">
        <f t="shared" si="107"/>
        <v>1316</v>
      </c>
      <c r="KD189">
        <f t="shared" ref="KD189:LI189" si="108">ROUNDUP(((1/KD139)*(KD136*KD137*KD138*KD140*KD141)*KD142*KD40*KD44*KD63*0.1+KD68*KD143*KD144*KD162)*KD35/365,0)</f>
        <v>1316</v>
      </c>
      <c r="KE189">
        <f t="shared" si="108"/>
        <v>1316</v>
      </c>
      <c r="KF189">
        <f t="shared" si="108"/>
        <v>1316</v>
      </c>
      <c r="KG189">
        <f t="shared" si="108"/>
        <v>1316</v>
      </c>
      <c r="KH189">
        <f t="shared" si="108"/>
        <v>1316</v>
      </c>
      <c r="KI189">
        <f t="shared" si="108"/>
        <v>1316</v>
      </c>
      <c r="KJ189">
        <f t="shared" si="108"/>
        <v>1316</v>
      </c>
      <c r="KK189">
        <f t="shared" si="108"/>
        <v>1316</v>
      </c>
      <c r="KL189">
        <f t="shared" si="108"/>
        <v>1316</v>
      </c>
      <c r="KM189">
        <f t="shared" si="108"/>
        <v>1316</v>
      </c>
      <c r="KN189">
        <f t="shared" si="108"/>
        <v>1316</v>
      </c>
      <c r="KO189">
        <f t="shared" si="108"/>
        <v>1316</v>
      </c>
      <c r="KP189">
        <f t="shared" si="108"/>
        <v>1316</v>
      </c>
      <c r="KQ189">
        <f t="shared" si="108"/>
        <v>1316</v>
      </c>
      <c r="KR189">
        <f t="shared" si="108"/>
        <v>1316</v>
      </c>
      <c r="KS189">
        <f t="shared" si="108"/>
        <v>1316</v>
      </c>
      <c r="KT189">
        <f t="shared" si="108"/>
        <v>1316</v>
      </c>
      <c r="KU189">
        <f t="shared" si="108"/>
        <v>1316</v>
      </c>
      <c r="KV189">
        <f t="shared" si="108"/>
        <v>1316</v>
      </c>
      <c r="KW189">
        <f t="shared" si="108"/>
        <v>1316</v>
      </c>
      <c r="KX189">
        <f t="shared" si="108"/>
        <v>1316</v>
      </c>
      <c r="KY189">
        <f t="shared" si="108"/>
        <v>1316</v>
      </c>
      <c r="KZ189">
        <f t="shared" si="108"/>
        <v>1316</v>
      </c>
      <c r="LA189">
        <f t="shared" si="108"/>
        <v>1316</v>
      </c>
      <c r="LB189">
        <f t="shared" si="108"/>
        <v>1316</v>
      </c>
      <c r="LC189">
        <f t="shared" si="108"/>
        <v>1316</v>
      </c>
      <c r="LD189">
        <f t="shared" si="108"/>
        <v>1316</v>
      </c>
      <c r="LE189">
        <f t="shared" si="108"/>
        <v>1316</v>
      </c>
      <c r="LF189">
        <f t="shared" si="108"/>
        <v>1316</v>
      </c>
      <c r="LG189">
        <f t="shared" si="108"/>
        <v>1316</v>
      </c>
      <c r="LH189">
        <f t="shared" si="108"/>
        <v>1316</v>
      </c>
      <c r="LI189">
        <f t="shared" si="108"/>
        <v>1316</v>
      </c>
      <c r="LJ189">
        <f t="shared" ref="LJ189:MF189" si="109">ROUNDUP(((1/LJ139)*(LJ136*LJ137*LJ138*LJ140*LJ141)*LJ142*LJ40*LJ44*LJ63*0.1+LJ68*LJ143*LJ144*LJ162)*LJ35/365,0)</f>
        <v>1316</v>
      </c>
      <c r="LK189">
        <f t="shared" si="109"/>
        <v>1316</v>
      </c>
      <c r="LL189">
        <f t="shared" si="109"/>
        <v>1316</v>
      </c>
      <c r="LM189">
        <f t="shared" si="109"/>
        <v>1316</v>
      </c>
      <c r="LN189">
        <f t="shared" si="109"/>
        <v>1316</v>
      </c>
      <c r="LO189">
        <f t="shared" si="109"/>
        <v>1316</v>
      </c>
      <c r="LP189">
        <f t="shared" si="109"/>
        <v>1316</v>
      </c>
      <c r="LQ189">
        <f t="shared" si="109"/>
        <v>1316</v>
      </c>
      <c r="LR189">
        <f t="shared" si="109"/>
        <v>958</v>
      </c>
      <c r="LS189">
        <f t="shared" si="109"/>
        <v>1204</v>
      </c>
      <c r="LT189">
        <f t="shared" si="109"/>
        <v>1204</v>
      </c>
      <c r="LU189">
        <f t="shared" si="109"/>
        <v>1204</v>
      </c>
      <c r="LV189">
        <f t="shared" si="109"/>
        <v>1204</v>
      </c>
      <c r="LW189">
        <f t="shared" si="109"/>
        <v>1204</v>
      </c>
      <c r="LX189">
        <f t="shared" si="109"/>
        <v>1204</v>
      </c>
      <c r="LY189">
        <f t="shared" si="109"/>
        <v>1204</v>
      </c>
      <c r="LZ189">
        <f t="shared" si="109"/>
        <v>1204</v>
      </c>
      <c r="MA189">
        <f t="shared" si="109"/>
        <v>1204</v>
      </c>
      <c r="MB189">
        <f t="shared" si="109"/>
        <v>1204</v>
      </c>
      <c r="MC189">
        <f t="shared" si="109"/>
        <v>1204</v>
      </c>
      <c r="MD189">
        <f t="shared" si="109"/>
        <v>1204</v>
      </c>
      <c r="ME189">
        <f t="shared" si="109"/>
        <v>1204</v>
      </c>
      <c r="MF189">
        <f t="shared" si="109"/>
        <v>1204</v>
      </c>
      <c r="MG189">
        <f t="shared" ref="MG189:OR189" si="110">ROUND(((1/MG139)*(MG136*MG137*MG138*MG140*MG141)*MG142*MG40*MG44*MG63*0.1+MG68*MG143*MG144)*MG35/365,0)</f>
        <v>273</v>
      </c>
      <c r="MH189">
        <f t="shared" si="110"/>
        <v>1257</v>
      </c>
      <c r="MI189">
        <f t="shared" si="110"/>
        <v>1257</v>
      </c>
      <c r="MJ189">
        <f t="shared" si="110"/>
        <v>1257</v>
      </c>
      <c r="MK189">
        <f t="shared" si="110"/>
        <v>1257</v>
      </c>
      <c r="ML189">
        <f t="shared" si="110"/>
        <v>1257</v>
      </c>
      <c r="MM189">
        <f t="shared" si="110"/>
        <v>1257</v>
      </c>
      <c r="MN189">
        <f t="shared" si="110"/>
        <v>1257</v>
      </c>
      <c r="MO189">
        <f t="shared" si="110"/>
        <v>1257</v>
      </c>
      <c r="MP189">
        <f t="shared" si="110"/>
        <v>1257</v>
      </c>
      <c r="MQ189">
        <f t="shared" si="110"/>
        <v>1257</v>
      </c>
      <c r="MR189">
        <f t="shared" si="110"/>
        <v>1257</v>
      </c>
      <c r="MS189">
        <f t="shared" si="110"/>
        <v>1257</v>
      </c>
      <c r="MT189">
        <f t="shared" si="110"/>
        <v>1257</v>
      </c>
      <c r="MU189">
        <f t="shared" si="110"/>
        <v>1257</v>
      </c>
      <c r="MV189">
        <f t="shared" si="110"/>
        <v>1257</v>
      </c>
      <c r="MW189">
        <f t="shared" si="110"/>
        <v>1257</v>
      </c>
      <c r="MX189">
        <f t="shared" si="110"/>
        <v>1257</v>
      </c>
      <c r="MY189">
        <f t="shared" si="110"/>
        <v>1257</v>
      </c>
      <c r="MZ189">
        <f t="shared" si="110"/>
        <v>1257</v>
      </c>
      <c r="NA189">
        <f t="shared" si="110"/>
        <v>1257</v>
      </c>
      <c r="NB189">
        <f t="shared" si="110"/>
        <v>1257</v>
      </c>
      <c r="NC189">
        <f t="shared" si="110"/>
        <v>1257</v>
      </c>
      <c r="ND189">
        <f t="shared" si="110"/>
        <v>1257</v>
      </c>
      <c r="NE189">
        <f t="shared" si="110"/>
        <v>1257</v>
      </c>
      <c r="NF189">
        <f t="shared" si="110"/>
        <v>1257</v>
      </c>
      <c r="NG189">
        <f t="shared" si="110"/>
        <v>1257</v>
      </c>
      <c r="NH189">
        <f t="shared" si="110"/>
        <v>1257</v>
      </c>
      <c r="NI189">
        <f t="shared" si="110"/>
        <v>1257</v>
      </c>
      <c r="NJ189">
        <f t="shared" si="110"/>
        <v>1257</v>
      </c>
      <c r="NK189">
        <f t="shared" si="110"/>
        <v>1257</v>
      </c>
      <c r="NL189">
        <f t="shared" si="110"/>
        <v>1257</v>
      </c>
      <c r="NM189">
        <f t="shared" si="110"/>
        <v>1257</v>
      </c>
      <c r="NN189">
        <f t="shared" si="110"/>
        <v>1257</v>
      </c>
      <c r="NO189">
        <f t="shared" si="110"/>
        <v>1257</v>
      </c>
      <c r="NP189">
        <f t="shared" si="110"/>
        <v>1257</v>
      </c>
      <c r="NQ189">
        <f t="shared" si="110"/>
        <v>1257</v>
      </c>
      <c r="NR189">
        <f t="shared" si="110"/>
        <v>1257</v>
      </c>
      <c r="NS189">
        <f t="shared" si="110"/>
        <v>1257</v>
      </c>
      <c r="NT189">
        <f t="shared" si="110"/>
        <v>1257</v>
      </c>
      <c r="NU189">
        <f t="shared" si="110"/>
        <v>1257</v>
      </c>
      <c r="NV189">
        <f t="shared" si="110"/>
        <v>1257</v>
      </c>
      <c r="NW189">
        <f t="shared" si="110"/>
        <v>1257</v>
      </c>
      <c r="NX189">
        <f t="shared" si="110"/>
        <v>1257</v>
      </c>
      <c r="NY189">
        <f t="shared" si="110"/>
        <v>1257</v>
      </c>
      <c r="NZ189">
        <f t="shared" si="110"/>
        <v>1257</v>
      </c>
      <c r="OA189">
        <f t="shared" si="110"/>
        <v>1257</v>
      </c>
      <c r="OB189">
        <f t="shared" si="110"/>
        <v>1257</v>
      </c>
      <c r="OC189">
        <f t="shared" si="110"/>
        <v>1257</v>
      </c>
      <c r="OD189">
        <f t="shared" si="110"/>
        <v>1257</v>
      </c>
      <c r="OE189">
        <f t="shared" si="110"/>
        <v>1257</v>
      </c>
      <c r="OF189">
        <f t="shared" si="110"/>
        <v>1257</v>
      </c>
      <c r="OG189">
        <f t="shared" si="110"/>
        <v>1257</v>
      </c>
      <c r="OH189">
        <f t="shared" si="110"/>
        <v>1257</v>
      </c>
      <c r="OI189">
        <f t="shared" si="110"/>
        <v>1257</v>
      </c>
      <c r="OJ189">
        <f t="shared" si="110"/>
        <v>1257</v>
      </c>
      <c r="OK189">
        <f t="shared" si="110"/>
        <v>1257</v>
      </c>
      <c r="OL189">
        <f t="shared" si="110"/>
        <v>1257</v>
      </c>
      <c r="OM189">
        <f t="shared" si="110"/>
        <v>1257</v>
      </c>
      <c r="ON189">
        <f t="shared" si="110"/>
        <v>1257</v>
      </c>
      <c r="OO189">
        <f t="shared" si="110"/>
        <v>1257</v>
      </c>
      <c r="OP189">
        <f t="shared" si="110"/>
        <v>1257</v>
      </c>
      <c r="OQ189">
        <f t="shared" si="110"/>
        <v>1257</v>
      </c>
      <c r="OR189">
        <f t="shared" si="110"/>
        <v>1257</v>
      </c>
      <c r="OS189">
        <f t="shared" ref="OS189:RD189" si="111">ROUND(((1/OS139)*(OS136*OS137*OS138*OS140*OS141)*OS142*OS40*OS44*OS63*0.1+OS68*OS143*OS144)*OS35/365,0)</f>
        <v>1257</v>
      </c>
      <c r="OT189">
        <f t="shared" si="111"/>
        <v>1257</v>
      </c>
      <c r="OU189">
        <f t="shared" si="111"/>
        <v>1257</v>
      </c>
      <c r="OV189">
        <f t="shared" si="111"/>
        <v>1257</v>
      </c>
      <c r="OW189">
        <f t="shared" si="111"/>
        <v>1257</v>
      </c>
      <c r="OX189">
        <f t="shared" si="111"/>
        <v>1257</v>
      </c>
      <c r="OY189">
        <f t="shared" si="111"/>
        <v>1257</v>
      </c>
      <c r="OZ189">
        <f t="shared" si="111"/>
        <v>1257</v>
      </c>
      <c r="PA189">
        <f t="shared" si="111"/>
        <v>915</v>
      </c>
      <c r="PB189">
        <f t="shared" si="111"/>
        <v>1257</v>
      </c>
      <c r="PC189">
        <f t="shared" si="111"/>
        <v>1257</v>
      </c>
      <c r="PD189">
        <f t="shared" si="111"/>
        <v>1257</v>
      </c>
      <c r="PE189">
        <f t="shared" si="111"/>
        <v>1257</v>
      </c>
      <c r="PF189">
        <f t="shared" si="111"/>
        <v>1257</v>
      </c>
      <c r="PG189">
        <f t="shared" si="111"/>
        <v>1257</v>
      </c>
      <c r="PH189">
        <f t="shared" si="111"/>
        <v>1257</v>
      </c>
      <c r="PI189">
        <f t="shared" si="111"/>
        <v>1257</v>
      </c>
      <c r="PJ189">
        <f t="shared" si="111"/>
        <v>1257</v>
      </c>
      <c r="PK189">
        <f t="shared" si="111"/>
        <v>1257</v>
      </c>
      <c r="PL189">
        <f t="shared" si="111"/>
        <v>1257</v>
      </c>
      <c r="PM189">
        <f t="shared" si="111"/>
        <v>1257</v>
      </c>
      <c r="PN189">
        <f t="shared" si="111"/>
        <v>1257</v>
      </c>
      <c r="PO189">
        <f t="shared" si="111"/>
        <v>1257</v>
      </c>
      <c r="PP189">
        <f t="shared" si="111"/>
        <v>287</v>
      </c>
      <c r="PQ189">
        <f t="shared" si="111"/>
        <v>1321</v>
      </c>
      <c r="PR189">
        <f t="shared" si="111"/>
        <v>1321</v>
      </c>
      <c r="PS189">
        <f t="shared" si="111"/>
        <v>1321</v>
      </c>
      <c r="PT189">
        <f t="shared" si="111"/>
        <v>1321</v>
      </c>
      <c r="PU189">
        <f t="shared" si="111"/>
        <v>1321</v>
      </c>
      <c r="PV189">
        <f t="shared" si="111"/>
        <v>1321</v>
      </c>
      <c r="PW189">
        <f t="shared" si="111"/>
        <v>1321</v>
      </c>
      <c r="PX189">
        <f t="shared" si="111"/>
        <v>1321</v>
      </c>
      <c r="PY189">
        <f t="shared" si="111"/>
        <v>1321</v>
      </c>
      <c r="PZ189">
        <f t="shared" si="111"/>
        <v>1321</v>
      </c>
      <c r="QA189">
        <f t="shared" si="111"/>
        <v>1321</v>
      </c>
      <c r="QB189">
        <f t="shared" si="111"/>
        <v>1321</v>
      </c>
      <c r="QC189">
        <f t="shared" si="111"/>
        <v>1321</v>
      </c>
      <c r="QD189">
        <f t="shared" si="111"/>
        <v>1321</v>
      </c>
      <c r="QE189">
        <f t="shared" si="111"/>
        <v>1321</v>
      </c>
      <c r="QF189">
        <f t="shared" si="111"/>
        <v>1321</v>
      </c>
      <c r="QG189">
        <f t="shared" si="111"/>
        <v>1321</v>
      </c>
      <c r="QH189">
        <f t="shared" si="111"/>
        <v>1321</v>
      </c>
      <c r="QI189">
        <f t="shared" si="111"/>
        <v>1321</v>
      </c>
      <c r="QJ189">
        <f t="shared" si="111"/>
        <v>1321</v>
      </c>
      <c r="QK189">
        <f t="shared" si="111"/>
        <v>1321</v>
      </c>
      <c r="QL189">
        <f t="shared" si="111"/>
        <v>1321</v>
      </c>
      <c r="QM189">
        <f t="shared" si="111"/>
        <v>1321</v>
      </c>
      <c r="QN189">
        <f t="shared" si="111"/>
        <v>1321</v>
      </c>
      <c r="QO189">
        <f t="shared" si="111"/>
        <v>1321</v>
      </c>
      <c r="QP189">
        <f t="shared" si="111"/>
        <v>1321</v>
      </c>
      <c r="QQ189">
        <f t="shared" si="111"/>
        <v>1321</v>
      </c>
      <c r="QR189">
        <f t="shared" si="111"/>
        <v>1321</v>
      </c>
      <c r="QS189">
        <f t="shared" si="111"/>
        <v>1321</v>
      </c>
      <c r="QT189">
        <f t="shared" si="111"/>
        <v>1321</v>
      </c>
      <c r="QU189">
        <f t="shared" si="111"/>
        <v>1321</v>
      </c>
      <c r="QV189">
        <f t="shared" si="111"/>
        <v>1321</v>
      </c>
      <c r="QW189">
        <f t="shared" si="111"/>
        <v>1321</v>
      </c>
      <c r="QX189">
        <f t="shared" si="111"/>
        <v>1321</v>
      </c>
      <c r="QY189">
        <f t="shared" si="111"/>
        <v>1321</v>
      </c>
      <c r="QZ189">
        <f t="shared" si="111"/>
        <v>1321</v>
      </c>
      <c r="RA189">
        <f t="shared" si="111"/>
        <v>1321</v>
      </c>
      <c r="RB189">
        <f t="shared" si="111"/>
        <v>1321</v>
      </c>
      <c r="RC189">
        <f t="shared" si="111"/>
        <v>1321</v>
      </c>
      <c r="RD189">
        <f t="shared" si="111"/>
        <v>1321</v>
      </c>
      <c r="RE189">
        <f t="shared" ref="RE189:TP189" si="112">ROUND(((1/RE139)*(RE136*RE137*RE138*RE140*RE141)*RE142*RE40*RE44*RE63*0.1+RE68*RE143*RE144)*RE35/365,0)</f>
        <v>1321</v>
      </c>
      <c r="RF189">
        <f t="shared" si="112"/>
        <v>1321</v>
      </c>
      <c r="RG189">
        <f t="shared" si="112"/>
        <v>1321</v>
      </c>
      <c r="RH189">
        <f t="shared" si="112"/>
        <v>1321</v>
      </c>
      <c r="RI189">
        <f t="shared" si="112"/>
        <v>1321</v>
      </c>
      <c r="RJ189">
        <f t="shared" si="112"/>
        <v>1321</v>
      </c>
      <c r="RK189">
        <f t="shared" si="112"/>
        <v>1321</v>
      </c>
      <c r="RL189">
        <f t="shared" si="112"/>
        <v>1321</v>
      </c>
      <c r="RM189">
        <f t="shared" si="112"/>
        <v>1321</v>
      </c>
      <c r="RN189">
        <f t="shared" si="112"/>
        <v>1321</v>
      </c>
      <c r="RO189">
        <f t="shared" si="112"/>
        <v>1321</v>
      </c>
      <c r="RP189">
        <f t="shared" si="112"/>
        <v>1321</v>
      </c>
      <c r="RQ189">
        <f t="shared" si="112"/>
        <v>1321</v>
      </c>
      <c r="RR189">
        <f t="shared" si="112"/>
        <v>1321</v>
      </c>
      <c r="RS189">
        <f t="shared" si="112"/>
        <v>1321</v>
      </c>
      <c r="RT189">
        <f t="shared" si="112"/>
        <v>1321</v>
      </c>
      <c r="RU189">
        <f t="shared" si="112"/>
        <v>1321</v>
      </c>
      <c r="RV189">
        <f t="shared" si="112"/>
        <v>1321</v>
      </c>
      <c r="RW189">
        <f t="shared" si="112"/>
        <v>1321</v>
      </c>
      <c r="RX189">
        <f t="shared" si="112"/>
        <v>1321</v>
      </c>
      <c r="RY189">
        <f t="shared" si="112"/>
        <v>1321</v>
      </c>
      <c r="RZ189">
        <f t="shared" si="112"/>
        <v>1321</v>
      </c>
      <c r="SA189">
        <f t="shared" si="112"/>
        <v>1321</v>
      </c>
      <c r="SB189">
        <f t="shared" si="112"/>
        <v>1321</v>
      </c>
      <c r="SC189">
        <f t="shared" si="112"/>
        <v>1321</v>
      </c>
      <c r="SD189">
        <f t="shared" si="112"/>
        <v>1321</v>
      </c>
      <c r="SE189">
        <f t="shared" si="112"/>
        <v>1321</v>
      </c>
      <c r="SF189">
        <f t="shared" si="112"/>
        <v>1321</v>
      </c>
      <c r="SG189">
        <f t="shared" si="112"/>
        <v>1321</v>
      </c>
      <c r="SH189">
        <f t="shared" si="112"/>
        <v>1321</v>
      </c>
      <c r="SI189">
        <f t="shared" si="112"/>
        <v>1321</v>
      </c>
      <c r="SJ189">
        <f t="shared" si="112"/>
        <v>962</v>
      </c>
      <c r="SK189">
        <f t="shared" si="112"/>
        <v>1321</v>
      </c>
      <c r="SL189">
        <f t="shared" si="112"/>
        <v>1321</v>
      </c>
      <c r="SM189">
        <f t="shared" si="112"/>
        <v>1321</v>
      </c>
      <c r="SN189">
        <f t="shared" si="112"/>
        <v>1321</v>
      </c>
      <c r="SO189">
        <f t="shared" si="112"/>
        <v>1321</v>
      </c>
      <c r="SP189">
        <f t="shared" si="112"/>
        <v>1321</v>
      </c>
      <c r="SQ189">
        <f t="shared" si="112"/>
        <v>1321</v>
      </c>
      <c r="SR189">
        <f t="shared" si="112"/>
        <v>1321</v>
      </c>
      <c r="SS189">
        <f t="shared" si="112"/>
        <v>1321</v>
      </c>
      <c r="ST189">
        <f t="shared" si="112"/>
        <v>1321</v>
      </c>
      <c r="SU189">
        <f t="shared" si="112"/>
        <v>1321</v>
      </c>
      <c r="SV189">
        <f t="shared" si="112"/>
        <v>1321</v>
      </c>
      <c r="SW189">
        <f t="shared" si="112"/>
        <v>1321</v>
      </c>
      <c r="SX189">
        <f t="shared" si="112"/>
        <v>1321</v>
      </c>
      <c r="SY189">
        <f t="shared" si="112"/>
        <v>287</v>
      </c>
      <c r="SZ189">
        <f t="shared" si="112"/>
        <v>1319</v>
      </c>
      <c r="TA189">
        <f t="shared" si="112"/>
        <v>1319</v>
      </c>
      <c r="TB189">
        <f t="shared" si="112"/>
        <v>1319</v>
      </c>
      <c r="TC189">
        <f t="shared" si="112"/>
        <v>1319</v>
      </c>
      <c r="TD189">
        <f t="shared" si="112"/>
        <v>1319</v>
      </c>
      <c r="TE189">
        <f t="shared" si="112"/>
        <v>1319</v>
      </c>
      <c r="TF189">
        <f t="shared" si="112"/>
        <v>1319</v>
      </c>
      <c r="TG189">
        <f t="shared" si="112"/>
        <v>1319</v>
      </c>
      <c r="TH189">
        <f t="shared" si="112"/>
        <v>1319</v>
      </c>
      <c r="TI189">
        <f t="shared" si="112"/>
        <v>1319</v>
      </c>
      <c r="TJ189">
        <f t="shared" si="112"/>
        <v>1319</v>
      </c>
      <c r="TK189">
        <f t="shared" si="112"/>
        <v>1319</v>
      </c>
      <c r="TL189">
        <f t="shared" si="112"/>
        <v>1319</v>
      </c>
      <c r="TM189">
        <f t="shared" si="112"/>
        <v>1319</v>
      </c>
      <c r="TN189">
        <f t="shared" si="112"/>
        <v>1319</v>
      </c>
      <c r="TO189">
        <f t="shared" si="112"/>
        <v>1319</v>
      </c>
      <c r="TP189">
        <f t="shared" si="112"/>
        <v>1319</v>
      </c>
      <c r="TQ189">
        <f t="shared" ref="TQ189:WB189" si="113">ROUND(((1/TQ139)*(TQ136*TQ137*TQ138*TQ140*TQ141)*TQ142*TQ40*TQ44*TQ63*0.1+TQ68*TQ143*TQ144)*TQ35/365,0)</f>
        <v>1319</v>
      </c>
      <c r="TR189">
        <f t="shared" si="113"/>
        <v>1319</v>
      </c>
      <c r="TS189">
        <f t="shared" si="113"/>
        <v>1319</v>
      </c>
      <c r="TT189">
        <f t="shared" si="113"/>
        <v>1319</v>
      </c>
      <c r="TU189">
        <f t="shared" si="113"/>
        <v>1319</v>
      </c>
      <c r="TV189">
        <f t="shared" si="113"/>
        <v>1319</v>
      </c>
      <c r="TW189">
        <f t="shared" si="113"/>
        <v>1319</v>
      </c>
      <c r="TX189">
        <f t="shared" si="113"/>
        <v>1319</v>
      </c>
      <c r="TY189">
        <f t="shared" si="113"/>
        <v>1319</v>
      </c>
      <c r="TZ189">
        <f t="shared" si="113"/>
        <v>1319</v>
      </c>
      <c r="UA189">
        <f t="shared" si="113"/>
        <v>1319</v>
      </c>
      <c r="UB189">
        <f t="shared" si="113"/>
        <v>1319</v>
      </c>
      <c r="UC189">
        <f t="shared" si="113"/>
        <v>1319</v>
      </c>
      <c r="UD189">
        <f t="shared" si="113"/>
        <v>1319</v>
      </c>
      <c r="UE189">
        <f t="shared" si="113"/>
        <v>1319</v>
      </c>
      <c r="UF189">
        <f t="shared" si="113"/>
        <v>1319</v>
      </c>
      <c r="UG189">
        <f t="shared" si="113"/>
        <v>1319</v>
      </c>
      <c r="UH189">
        <f t="shared" si="113"/>
        <v>1319</v>
      </c>
      <c r="UI189">
        <f t="shared" si="113"/>
        <v>1319</v>
      </c>
      <c r="UJ189">
        <f t="shared" si="113"/>
        <v>1319</v>
      </c>
      <c r="UK189">
        <f t="shared" si="113"/>
        <v>1319</v>
      </c>
      <c r="UL189">
        <f t="shared" si="113"/>
        <v>1319</v>
      </c>
      <c r="UM189">
        <f t="shared" si="113"/>
        <v>1319</v>
      </c>
      <c r="UN189">
        <f t="shared" si="113"/>
        <v>1319</v>
      </c>
      <c r="UO189">
        <f t="shared" si="113"/>
        <v>1319</v>
      </c>
      <c r="UP189">
        <f t="shared" si="113"/>
        <v>1319</v>
      </c>
      <c r="UQ189">
        <f t="shared" si="113"/>
        <v>1319</v>
      </c>
      <c r="UR189">
        <f t="shared" si="113"/>
        <v>1319</v>
      </c>
      <c r="US189">
        <f t="shared" si="113"/>
        <v>1319</v>
      </c>
      <c r="UT189">
        <f t="shared" si="113"/>
        <v>1319</v>
      </c>
      <c r="UU189">
        <f t="shared" si="113"/>
        <v>1319</v>
      </c>
      <c r="UV189">
        <f t="shared" si="113"/>
        <v>1319</v>
      </c>
      <c r="UW189">
        <f t="shared" si="113"/>
        <v>1319</v>
      </c>
      <c r="UX189">
        <f t="shared" si="113"/>
        <v>1319</v>
      </c>
      <c r="UY189">
        <f t="shared" si="113"/>
        <v>1319</v>
      </c>
      <c r="UZ189">
        <f t="shared" si="113"/>
        <v>1319</v>
      </c>
      <c r="VA189">
        <f t="shared" si="113"/>
        <v>1319</v>
      </c>
      <c r="VB189">
        <f t="shared" si="113"/>
        <v>1319</v>
      </c>
      <c r="VC189">
        <f t="shared" si="113"/>
        <v>1319</v>
      </c>
      <c r="VD189">
        <f t="shared" si="113"/>
        <v>1319</v>
      </c>
      <c r="VE189">
        <f t="shared" si="113"/>
        <v>1319</v>
      </c>
      <c r="VF189">
        <f t="shared" si="113"/>
        <v>1319</v>
      </c>
      <c r="VG189">
        <f t="shared" si="113"/>
        <v>1319</v>
      </c>
      <c r="VH189">
        <f t="shared" si="113"/>
        <v>1319</v>
      </c>
      <c r="VI189">
        <f t="shared" si="113"/>
        <v>1319</v>
      </c>
      <c r="VJ189">
        <f t="shared" si="113"/>
        <v>1319</v>
      </c>
      <c r="VK189">
        <f t="shared" si="113"/>
        <v>1319</v>
      </c>
      <c r="VL189">
        <f t="shared" si="113"/>
        <v>1319</v>
      </c>
      <c r="VM189">
        <f t="shared" si="113"/>
        <v>1319</v>
      </c>
      <c r="VN189">
        <f t="shared" si="113"/>
        <v>1319</v>
      </c>
      <c r="VO189">
        <f t="shared" si="113"/>
        <v>1319</v>
      </c>
      <c r="VP189">
        <f t="shared" si="113"/>
        <v>1319</v>
      </c>
      <c r="VQ189">
        <f t="shared" si="113"/>
        <v>1319</v>
      </c>
      <c r="VR189">
        <f t="shared" si="113"/>
        <v>1319</v>
      </c>
      <c r="VS189">
        <f t="shared" si="113"/>
        <v>961</v>
      </c>
      <c r="VT189">
        <f t="shared" si="113"/>
        <v>1319</v>
      </c>
      <c r="VU189">
        <f t="shared" si="113"/>
        <v>1319</v>
      </c>
      <c r="VV189">
        <f t="shared" si="113"/>
        <v>1319</v>
      </c>
      <c r="VW189">
        <f t="shared" si="113"/>
        <v>1319</v>
      </c>
      <c r="VX189">
        <f t="shared" si="113"/>
        <v>1319</v>
      </c>
      <c r="VY189">
        <f t="shared" si="113"/>
        <v>1319</v>
      </c>
      <c r="VZ189">
        <f t="shared" si="113"/>
        <v>1319</v>
      </c>
      <c r="WA189">
        <f t="shared" si="113"/>
        <v>1319</v>
      </c>
      <c r="WB189">
        <f t="shared" si="113"/>
        <v>1319</v>
      </c>
      <c r="WC189">
        <f t="shared" ref="WC189:YN189" si="114">ROUND(((1/WC139)*(WC136*WC137*WC138*WC140*WC141)*WC142*WC40*WC44*WC63*0.1+WC68*WC143*WC144)*WC35/365,0)</f>
        <v>1319</v>
      </c>
      <c r="WD189">
        <f t="shared" si="114"/>
        <v>1319</v>
      </c>
      <c r="WE189">
        <f t="shared" si="114"/>
        <v>1319</v>
      </c>
      <c r="WF189">
        <f t="shared" si="114"/>
        <v>1319</v>
      </c>
      <c r="WG189">
        <f t="shared" si="114"/>
        <v>1319</v>
      </c>
      <c r="WH189">
        <f t="shared" si="114"/>
        <v>185</v>
      </c>
      <c r="WI189">
        <f t="shared" si="114"/>
        <v>851</v>
      </c>
      <c r="WJ189">
        <f t="shared" si="114"/>
        <v>851</v>
      </c>
      <c r="WK189">
        <f t="shared" si="114"/>
        <v>851</v>
      </c>
      <c r="WL189">
        <f t="shared" si="114"/>
        <v>851</v>
      </c>
      <c r="WM189">
        <f t="shared" si="114"/>
        <v>851</v>
      </c>
      <c r="WN189">
        <f t="shared" si="114"/>
        <v>851</v>
      </c>
      <c r="WO189">
        <f t="shared" si="114"/>
        <v>851</v>
      </c>
      <c r="WP189">
        <f t="shared" si="114"/>
        <v>851</v>
      </c>
      <c r="WQ189">
        <f t="shared" si="114"/>
        <v>851</v>
      </c>
      <c r="WR189">
        <f t="shared" si="114"/>
        <v>851</v>
      </c>
      <c r="WS189">
        <f t="shared" si="114"/>
        <v>851</v>
      </c>
      <c r="WT189">
        <f t="shared" si="114"/>
        <v>851</v>
      </c>
      <c r="WU189">
        <f t="shared" si="114"/>
        <v>851</v>
      </c>
      <c r="WV189">
        <f t="shared" si="114"/>
        <v>851</v>
      </c>
      <c r="WW189">
        <f t="shared" si="114"/>
        <v>851</v>
      </c>
      <c r="WX189">
        <f t="shared" si="114"/>
        <v>851</v>
      </c>
      <c r="WY189">
        <f t="shared" si="114"/>
        <v>851</v>
      </c>
      <c r="WZ189">
        <f t="shared" si="114"/>
        <v>851</v>
      </c>
      <c r="XA189">
        <f t="shared" si="114"/>
        <v>851</v>
      </c>
      <c r="XB189">
        <f t="shared" si="114"/>
        <v>851</v>
      </c>
      <c r="XC189">
        <f t="shared" si="114"/>
        <v>851</v>
      </c>
      <c r="XD189">
        <f t="shared" si="114"/>
        <v>851</v>
      </c>
      <c r="XE189">
        <f t="shared" si="114"/>
        <v>851</v>
      </c>
      <c r="XF189">
        <f t="shared" si="114"/>
        <v>851</v>
      </c>
      <c r="XG189">
        <f t="shared" si="114"/>
        <v>851</v>
      </c>
      <c r="XH189">
        <f t="shared" si="114"/>
        <v>851</v>
      </c>
      <c r="XI189">
        <f t="shared" si="114"/>
        <v>851</v>
      </c>
      <c r="XJ189">
        <f t="shared" si="114"/>
        <v>851</v>
      </c>
      <c r="XK189">
        <f t="shared" si="114"/>
        <v>851</v>
      </c>
      <c r="XL189">
        <f t="shared" si="114"/>
        <v>851</v>
      </c>
      <c r="XM189">
        <f t="shared" si="114"/>
        <v>851</v>
      </c>
      <c r="XN189">
        <f t="shared" si="114"/>
        <v>851</v>
      </c>
      <c r="XO189">
        <f t="shared" si="114"/>
        <v>851</v>
      </c>
      <c r="XP189">
        <f t="shared" si="114"/>
        <v>851</v>
      </c>
      <c r="XQ189">
        <f t="shared" si="114"/>
        <v>851</v>
      </c>
      <c r="XR189">
        <f t="shared" si="114"/>
        <v>851</v>
      </c>
      <c r="XS189">
        <f t="shared" si="114"/>
        <v>851</v>
      </c>
      <c r="XT189">
        <f t="shared" si="114"/>
        <v>851</v>
      </c>
      <c r="XU189">
        <f t="shared" si="114"/>
        <v>851</v>
      </c>
      <c r="XV189">
        <f t="shared" si="114"/>
        <v>851</v>
      </c>
      <c r="XW189">
        <f t="shared" si="114"/>
        <v>851</v>
      </c>
      <c r="XX189">
        <f t="shared" si="114"/>
        <v>851</v>
      </c>
      <c r="XY189">
        <f t="shared" si="114"/>
        <v>851</v>
      </c>
      <c r="XZ189">
        <f t="shared" si="114"/>
        <v>851</v>
      </c>
      <c r="YA189">
        <f t="shared" si="114"/>
        <v>851</v>
      </c>
      <c r="YB189">
        <f t="shared" si="114"/>
        <v>851</v>
      </c>
      <c r="YC189">
        <f t="shared" si="114"/>
        <v>851</v>
      </c>
      <c r="YD189">
        <f t="shared" si="114"/>
        <v>851</v>
      </c>
      <c r="YE189">
        <f t="shared" si="114"/>
        <v>851</v>
      </c>
      <c r="YF189">
        <f t="shared" si="114"/>
        <v>851</v>
      </c>
      <c r="YG189">
        <f t="shared" si="114"/>
        <v>851</v>
      </c>
      <c r="YH189">
        <f t="shared" si="114"/>
        <v>851</v>
      </c>
      <c r="YI189">
        <f t="shared" si="114"/>
        <v>851</v>
      </c>
      <c r="YJ189">
        <f t="shared" si="114"/>
        <v>851</v>
      </c>
      <c r="YK189">
        <f t="shared" si="114"/>
        <v>851</v>
      </c>
      <c r="YL189">
        <f t="shared" si="114"/>
        <v>851</v>
      </c>
      <c r="YM189">
        <f t="shared" si="114"/>
        <v>851</v>
      </c>
      <c r="YN189">
        <f t="shared" si="114"/>
        <v>851</v>
      </c>
      <c r="YO189">
        <f t="shared" ref="YO189:ZP189" si="115">ROUND(((1/YO139)*(YO136*YO137*YO138*YO140*YO141)*YO142*YO40*YO44*YO63*0.1+YO68*YO143*YO144)*YO35/365,0)</f>
        <v>851</v>
      </c>
      <c r="YP189">
        <f t="shared" si="115"/>
        <v>851</v>
      </c>
      <c r="YQ189">
        <f t="shared" si="115"/>
        <v>851</v>
      </c>
      <c r="YR189">
        <f t="shared" si="115"/>
        <v>851</v>
      </c>
      <c r="YS189">
        <f t="shared" si="115"/>
        <v>851</v>
      </c>
      <c r="YT189">
        <f t="shared" si="115"/>
        <v>851</v>
      </c>
      <c r="YU189">
        <f t="shared" si="115"/>
        <v>851</v>
      </c>
      <c r="YV189">
        <f t="shared" si="115"/>
        <v>851</v>
      </c>
      <c r="YW189">
        <f t="shared" si="115"/>
        <v>851</v>
      </c>
      <c r="YX189">
        <f t="shared" si="115"/>
        <v>851</v>
      </c>
      <c r="YY189">
        <f t="shared" si="115"/>
        <v>851</v>
      </c>
      <c r="YZ189">
        <f t="shared" si="115"/>
        <v>851</v>
      </c>
      <c r="ZA189">
        <f t="shared" si="115"/>
        <v>851</v>
      </c>
      <c r="ZB189">
        <f t="shared" si="115"/>
        <v>620</v>
      </c>
      <c r="ZC189">
        <f t="shared" si="115"/>
        <v>851</v>
      </c>
      <c r="ZD189">
        <f t="shared" si="115"/>
        <v>851</v>
      </c>
      <c r="ZE189">
        <f t="shared" si="115"/>
        <v>851</v>
      </c>
      <c r="ZF189">
        <f t="shared" si="115"/>
        <v>851</v>
      </c>
      <c r="ZG189">
        <f t="shared" si="115"/>
        <v>851</v>
      </c>
      <c r="ZH189">
        <f t="shared" si="115"/>
        <v>851</v>
      </c>
      <c r="ZI189">
        <f t="shared" si="115"/>
        <v>851</v>
      </c>
      <c r="ZJ189">
        <f t="shared" si="115"/>
        <v>851</v>
      </c>
      <c r="ZK189">
        <f t="shared" si="115"/>
        <v>851</v>
      </c>
      <c r="ZL189">
        <f t="shared" si="115"/>
        <v>851</v>
      </c>
      <c r="ZM189">
        <f t="shared" si="115"/>
        <v>851</v>
      </c>
      <c r="ZN189">
        <f t="shared" si="115"/>
        <v>851</v>
      </c>
      <c r="ZO189">
        <f t="shared" si="115"/>
        <v>851</v>
      </c>
      <c r="ZP189">
        <f t="shared" si="115"/>
        <v>851</v>
      </c>
      <c r="ZQ189">
        <f t="shared" ref="ZQ189:ACB189" si="116">ROUNDUP(((1/ZQ139)*(ZQ136*ZQ137*ZQ138*ZQ140*ZQ141)*ZQ142*ZQ40*ZQ44*ZQ63*0.1+ZQ68*ZQ143*ZQ144)*ZQ35/365,0)</f>
        <v>242</v>
      </c>
      <c r="ZR189">
        <f t="shared" si="116"/>
        <v>1113</v>
      </c>
      <c r="ZS189">
        <f t="shared" si="116"/>
        <v>1113</v>
      </c>
      <c r="ZT189">
        <f t="shared" si="116"/>
        <v>1113</v>
      </c>
      <c r="ZU189">
        <f t="shared" si="116"/>
        <v>1113</v>
      </c>
      <c r="ZV189">
        <f t="shared" si="116"/>
        <v>1113</v>
      </c>
      <c r="ZW189">
        <f t="shared" si="116"/>
        <v>1113</v>
      </c>
      <c r="ZX189">
        <f t="shared" si="116"/>
        <v>1113</v>
      </c>
      <c r="ZY189">
        <f t="shared" si="116"/>
        <v>1113</v>
      </c>
      <c r="ZZ189">
        <f t="shared" si="116"/>
        <v>1113</v>
      </c>
      <c r="AAA189">
        <f t="shared" si="116"/>
        <v>1113</v>
      </c>
      <c r="AAB189">
        <f t="shared" si="116"/>
        <v>1113</v>
      </c>
      <c r="AAC189">
        <f t="shared" si="116"/>
        <v>1113</v>
      </c>
      <c r="AAD189">
        <f t="shared" si="116"/>
        <v>1113</v>
      </c>
      <c r="AAE189">
        <f t="shared" si="116"/>
        <v>1113</v>
      </c>
      <c r="AAF189">
        <f t="shared" si="116"/>
        <v>1113</v>
      </c>
      <c r="AAG189">
        <f t="shared" si="116"/>
        <v>1113</v>
      </c>
      <c r="AAH189">
        <f t="shared" si="116"/>
        <v>1113</v>
      </c>
      <c r="AAI189">
        <f t="shared" si="116"/>
        <v>1113</v>
      </c>
      <c r="AAJ189">
        <f t="shared" si="116"/>
        <v>1113</v>
      </c>
      <c r="AAK189">
        <f t="shared" si="116"/>
        <v>1113</v>
      </c>
      <c r="AAL189">
        <f t="shared" si="116"/>
        <v>1113</v>
      </c>
      <c r="AAM189">
        <f t="shared" si="116"/>
        <v>1113</v>
      </c>
      <c r="AAN189">
        <f t="shared" si="116"/>
        <v>1113</v>
      </c>
      <c r="AAO189">
        <f t="shared" si="116"/>
        <v>1113</v>
      </c>
      <c r="AAP189">
        <f t="shared" si="116"/>
        <v>1113</v>
      </c>
      <c r="AAQ189">
        <f t="shared" si="116"/>
        <v>1113</v>
      </c>
      <c r="AAR189">
        <f t="shared" si="116"/>
        <v>1113</v>
      </c>
      <c r="AAS189">
        <f t="shared" si="116"/>
        <v>1113</v>
      </c>
      <c r="AAT189">
        <f t="shared" si="116"/>
        <v>1113</v>
      </c>
      <c r="AAU189">
        <f t="shared" si="116"/>
        <v>1113</v>
      </c>
      <c r="AAV189">
        <f t="shared" si="116"/>
        <v>1113</v>
      </c>
      <c r="AAW189">
        <f t="shared" si="116"/>
        <v>1113</v>
      </c>
      <c r="AAX189">
        <f t="shared" si="116"/>
        <v>1113</v>
      </c>
      <c r="AAY189">
        <f t="shared" si="116"/>
        <v>1113</v>
      </c>
      <c r="AAZ189">
        <f t="shared" si="116"/>
        <v>1113</v>
      </c>
      <c r="ABA189">
        <f t="shared" si="116"/>
        <v>1113</v>
      </c>
      <c r="ABB189">
        <f t="shared" si="116"/>
        <v>1113</v>
      </c>
      <c r="ABC189">
        <f t="shared" si="116"/>
        <v>1113</v>
      </c>
      <c r="ABD189">
        <f t="shared" si="116"/>
        <v>1113</v>
      </c>
      <c r="ABE189">
        <f t="shared" si="116"/>
        <v>1113</v>
      </c>
      <c r="ABF189">
        <f t="shared" si="116"/>
        <v>1113</v>
      </c>
      <c r="ABG189">
        <f t="shared" si="116"/>
        <v>1113</v>
      </c>
      <c r="ABH189">
        <f t="shared" si="116"/>
        <v>1113</v>
      </c>
      <c r="ABI189">
        <f t="shared" si="116"/>
        <v>1113</v>
      </c>
      <c r="ABJ189">
        <f t="shared" si="116"/>
        <v>1113</v>
      </c>
      <c r="ABK189">
        <f t="shared" si="116"/>
        <v>1113</v>
      </c>
      <c r="ABL189">
        <f t="shared" si="116"/>
        <v>1113</v>
      </c>
      <c r="ABM189">
        <f t="shared" si="116"/>
        <v>1113</v>
      </c>
      <c r="ABN189">
        <f t="shared" si="116"/>
        <v>1113</v>
      </c>
      <c r="ABO189">
        <f t="shared" si="116"/>
        <v>1113</v>
      </c>
      <c r="ABP189">
        <f t="shared" si="116"/>
        <v>1113</v>
      </c>
      <c r="ABQ189">
        <f t="shared" si="116"/>
        <v>1113</v>
      </c>
      <c r="ABR189">
        <f t="shared" si="116"/>
        <v>1113</v>
      </c>
      <c r="ABS189">
        <f t="shared" si="116"/>
        <v>1113</v>
      </c>
      <c r="ABT189">
        <f t="shared" si="116"/>
        <v>1113</v>
      </c>
      <c r="ABU189">
        <f t="shared" si="116"/>
        <v>1113</v>
      </c>
      <c r="ABV189">
        <f t="shared" si="116"/>
        <v>1113</v>
      </c>
      <c r="ABW189">
        <f t="shared" si="116"/>
        <v>1113</v>
      </c>
      <c r="ABX189">
        <f t="shared" si="116"/>
        <v>1113</v>
      </c>
      <c r="ABY189">
        <f t="shared" si="116"/>
        <v>1113</v>
      </c>
      <c r="ABZ189">
        <f t="shared" si="116"/>
        <v>1113</v>
      </c>
      <c r="ACA189">
        <f t="shared" si="116"/>
        <v>1113</v>
      </c>
      <c r="ACB189">
        <f t="shared" si="116"/>
        <v>1113</v>
      </c>
      <c r="ACC189">
        <f t="shared" ref="ACC189:AEN189" si="117">ROUNDUP(((1/ACC139)*(ACC136*ACC137*ACC138*ACC140*ACC141)*ACC142*ACC40*ACC44*ACC63*0.1+ACC68*ACC143*ACC144)*ACC35/365,0)</f>
        <v>1113</v>
      </c>
      <c r="ACD189">
        <f t="shared" si="117"/>
        <v>1113</v>
      </c>
      <c r="ACE189">
        <f t="shared" si="117"/>
        <v>1113</v>
      </c>
      <c r="ACF189">
        <f t="shared" si="117"/>
        <v>1113</v>
      </c>
      <c r="ACG189">
        <f t="shared" si="117"/>
        <v>1113</v>
      </c>
      <c r="ACH189">
        <f t="shared" si="117"/>
        <v>1113</v>
      </c>
      <c r="ACI189">
        <f t="shared" si="117"/>
        <v>1113</v>
      </c>
      <c r="ACJ189">
        <f t="shared" si="117"/>
        <v>1113</v>
      </c>
      <c r="ACK189">
        <f t="shared" si="117"/>
        <v>811</v>
      </c>
      <c r="ACL189">
        <f t="shared" si="117"/>
        <v>1113</v>
      </c>
      <c r="ACM189">
        <f t="shared" si="117"/>
        <v>1113</v>
      </c>
      <c r="ACN189">
        <f t="shared" si="117"/>
        <v>1113</v>
      </c>
      <c r="ACO189">
        <f t="shared" si="117"/>
        <v>1113</v>
      </c>
      <c r="ACP189">
        <f t="shared" si="117"/>
        <v>1113</v>
      </c>
      <c r="ACQ189">
        <f t="shared" si="117"/>
        <v>1113</v>
      </c>
      <c r="ACR189">
        <f t="shared" si="117"/>
        <v>1113</v>
      </c>
      <c r="ACS189">
        <f t="shared" si="117"/>
        <v>1113</v>
      </c>
      <c r="ACT189">
        <f t="shared" si="117"/>
        <v>1113</v>
      </c>
      <c r="ACU189">
        <f t="shared" si="117"/>
        <v>1113</v>
      </c>
      <c r="ACV189">
        <f t="shared" si="117"/>
        <v>1113</v>
      </c>
      <c r="ACW189">
        <f t="shared" si="117"/>
        <v>1113</v>
      </c>
      <c r="ACX189">
        <f t="shared" si="117"/>
        <v>1113</v>
      </c>
      <c r="ACY189">
        <f t="shared" si="117"/>
        <v>1113</v>
      </c>
      <c r="ACZ189">
        <f t="shared" si="117"/>
        <v>990</v>
      </c>
      <c r="ADA189">
        <f t="shared" si="117"/>
        <v>1113</v>
      </c>
      <c r="ADB189">
        <f t="shared" si="117"/>
        <v>1113</v>
      </c>
      <c r="ADC189">
        <f t="shared" si="117"/>
        <v>1113</v>
      </c>
      <c r="ADD189">
        <f t="shared" si="117"/>
        <v>1113</v>
      </c>
      <c r="ADE189">
        <f t="shared" si="117"/>
        <v>1113</v>
      </c>
      <c r="ADF189">
        <f t="shared" si="117"/>
        <v>1113</v>
      </c>
      <c r="ADG189">
        <f t="shared" si="117"/>
        <v>1113</v>
      </c>
      <c r="ADH189">
        <f t="shared" si="117"/>
        <v>1113</v>
      </c>
      <c r="ADI189">
        <f t="shared" si="117"/>
        <v>1113</v>
      </c>
      <c r="ADJ189">
        <f t="shared" si="117"/>
        <v>1113</v>
      </c>
      <c r="ADK189">
        <f t="shared" si="117"/>
        <v>1113</v>
      </c>
      <c r="ADL189">
        <f t="shared" si="117"/>
        <v>1113</v>
      </c>
      <c r="ADM189">
        <f t="shared" si="117"/>
        <v>1113</v>
      </c>
      <c r="ADN189">
        <f t="shared" si="117"/>
        <v>1113</v>
      </c>
      <c r="ADO189">
        <f t="shared" si="117"/>
        <v>1113</v>
      </c>
      <c r="ADP189">
        <f t="shared" si="117"/>
        <v>1113</v>
      </c>
      <c r="ADQ189">
        <f t="shared" si="117"/>
        <v>1113</v>
      </c>
      <c r="ADR189">
        <f t="shared" si="117"/>
        <v>1113</v>
      </c>
      <c r="ADS189">
        <f t="shared" si="117"/>
        <v>1113</v>
      </c>
      <c r="ADT189">
        <f t="shared" si="117"/>
        <v>1113</v>
      </c>
      <c r="ADU189">
        <f t="shared" si="117"/>
        <v>1113</v>
      </c>
      <c r="ADV189">
        <f t="shared" si="117"/>
        <v>1113</v>
      </c>
      <c r="ADW189">
        <f t="shared" si="117"/>
        <v>1113</v>
      </c>
      <c r="ADX189">
        <f t="shared" si="117"/>
        <v>1113</v>
      </c>
      <c r="ADY189">
        <f t="shared" si="117"/>
        <v>1113</v>
      </c>
      <c r="ADZ189">
        <f t="shared" si="117"/>
        <v>1113</v>
      </c>
      <c r="AEA189">
        <f t="shared" si="117"/>
        <v>1113</v>
      </c>
      <c r="AEB189">
        <f t="shared" si="117"/>
        <v>1113</v>
      </c>
      <c r="AEC189">
        <f t="shared" si="117"/>
        <v>1113</v>
      </c>
      <c r="AED189">
        <f t="shared" si="117"/>
        <v>1113</v>
      </c>
      <c r="AEE189">
        <f t="shared" si="117"/>
        <v>1113</v>
      </c>
      <c r="AEF189">
        <f t="shared" si="117"/>
        <v>1113</v>
      </c>
      <c r="AEG189">
        <f t="shared" si="117"/>
        <v>1113</v>
      </c>
      <c r="AEH189">
        <f t="shared" si="117"/>
        <v>1113</v>
      </c>
      <c r="AEI189">
        <f t="shared" si="117"/>
        <v>1113</v>
      </c>
      <c r="AEJ189">
        <f t="shared" si="117"/>
        <v>1113</v>
      </c>
      <c r="AEK189">
        <f t="shared" si="117"/>
        <v>1113</v>
      </c>
      <c r="AEL189">
        <f t="shared" si="117"/>
        <v>1113</v>
      </c>
      <c r="AEM189">
        <f t="shared" si="117"/>
        <v>1113</v>
      </c>
      <c r="AEN189">
        <f t="shared" si="117"/>
        <v>1113</v>
      </c>
      <c r="AEO189">
        <f t="shared" ref="AEO189:AGZ189" si="118">ROUNDUP(((1/AEO139)*(AEO136*AEO137*AEO138*AEO140*AEO141)*AEO142*AEO40*AEO44*AEO63*0.1+AEO68*AEO143*AEO144)*AEO35/365,0)</f>
        <v>1113</v>
      </c>
      <c r="AEP189">
        <f t="shared" si="118"/>
        <v>1113</v>
      </c>
      <c r="AEQ189">
        <f t="shared" si="118"/>
        <v>1113</v>
      </c>
      <c r="AER189">
        <f t="shared" si="118"/>
        <v>1113</v>
      </c>
      <c r="AES189">
        <f t="shared" si="118"/>
        <v>1113</v>
      </c>
      <c r="AET189">
        <f t="shared" si="118"/>
        <v>1113</v>
      </c>
      <c r="AEU189">
        <f t="shared" si="118"/>
        <v>1113</v>
      </c>
      <c r="AEV189">
        <f t="shared" si="118"/>
        <v>1113</v>
      </c>
      <c r="AEW189">
        <f t="shared" si="118"/>
        <v>1113</v>
      </c>
      <c r="AEX189">
        <f t="shared" si="118"/>
        <v>1113</v>
      </c>
      <c r="AEY189">
        <f t="shared" si="118"/>
        <v>1113</v>
      </c>
      <c r="AEZ189">
        <f t="shared" si="118"/>
        <v>1113</v>
      </c>
      <c r="AFA189">
        <f t="shared" si="118"/>
        <v>1113</v>
      </c>
      <c r="AFB189">
        <f t="shared" si="118"/>
        <v>1113</v>
      </c>
      <c r="AFC189">
        <f t="shared" si="118"/>
        <v>1113</v>
      </c>
      <c r="AFD189">
        <f t="shared" si="118"/>
        <v>1113</v>
      </c>
      <c r="AFE189">
        <f t="shared" si="118"/>
        <v>1113</v>
      </c>
      <c r="AFF189">
        <f t="shared" si="118"/>
        <v>1113</v>
      </c>
      <c r="AFG189">
        <f t="shared" si="118"/>
        <v>1113</v>
      </c>
      <c r="AFH189">
        <f t="shared" si="118"/>
        <v>1113</v>
      </c>
      <c r="AFI189">
        <f t="shared" si="118"/>
        <v>1113</v>
      </c>
      <c r="AFJ189">
        <f t="shared" si="118"/>
        <v>1113</v>
      </c>
      <c r="AFK189">
        <f t="shared" si="118"/>
        <v>1113</v>
      </c>
      <c r="AFL189">
        <f t="shared" si="118"/>
        <v>1113</v>
      </c>
      <c r="AFM189">
        <f t="shared" si="118"/>
        <v>1113</v>
      </c>
      <c r="AFN189">
        <f t="shared" si="118"/>
        <v>1113</v>
      </c>
      <c r="AFO189">
        <f t="shared" si="118"/>
        <v>1113</v>
      </c>
      <c r="AFP189">
        <f t="shared" si="118"/>
        <v>1113</v>
      </c>
      <c r="AFQ189">
        <f t="shared" si="118"/>
        <v>1113</v>
      </c>
      <c r="AFR189">
        <f t="shared" si="118"/>
        <v>1113</v>
      </c>
      <c r="AFS189">
        <f t="shared" si="118"/>
        <v>1113</v>
      </c>
      <c r="AFT189">
        <f t="shared" si="118"/>
        <v>1071</v>
      </c>
      <c r="AFU189">
        <f t="shared" si="118"/>
        <v>1113</v>
      </c>
      <c r="AFV189">
        <f t="shared" si="118"/>
        <v>1113</v>
      </c>
      <c r="AFW189">
        <f t="shared" si="118"/>
        <v>1113</v>
      </c>
      <c r="AFX189">
        <f t="shared" si="118"/>
        <v>1113</v>
      </c>
      <c r="AFY189">
        <f t="shared" si="118"/>
        <v>1113</v>
      </c>
      <c r="AFZ189">
        <f t="shared" si="118"/>
        <v>1113</v>
      </c>
      <c r="AGA189">
        <f t="shared" si="118"/>
        <v>1113</v>
      </c>
      <c r="AGB189">
        <f t="shared" si="118"/>
        <v>1113</v>
      </c>
      <c r="AGC189">
        <f t="shared" si="118"/>
        <v>1113</v>
      </c>
      <c r="AGD189">
        <f t="shared" si="118"/>
        <v>1113</v>
      </c>
      <c r="AGE189">
        <f t="shared" si="118"/>
        <v>1113</v>
      </c>
      <c r="AGF189">
        <f t="shared" si="118"/>
        <v>1113</v>
      </c>
      <c r="AGG189">
        <f t="shared" si="118"/>
        <v>1113</v>
      </c>
      <c r="AGH189">
        <f t="shared" si="118"/>
        <v>1113</v>
      </c>
      <c r="AGI189">
        <f t="shared" si="118"/>
        <v>238</v>
      </c>
      <c r="AGJ189">
        <f t="shared" si="118"/>
        <v>1092</v>
      </c>
      <c r="AGK189">
        <f t="shared" si="118"/>
        <v>1092</v>
      </c>
      <c r="AGL189">
        <f t="shared" si="118"/>
        <v>1092</v>
      </c>
      <c r="AGM189">
        <f t="shared" si="118"/>
        <v>1092</v>
      </c>
      <c r="AGN189">
        <f t="shared" si="118"/>
        <v>1092</v>
      </c>
      <c r="AGO189">
        <f t="shared" si="118"/>
        <v>1092</v>
      </c>
      <c r="AGP189">
        <f t="shared" si="118"/>
        <v>1092</v>
      </c>
      <c r="AGQ189">
        <f t="shared" si="118"/>
        <v>1092</v>
      </c>
      <c r="AGR189">
        <f t="shared" si="118"/>
        <v>1092</v>
      </c>
      <c r="AGS189">
        <f t="shared" si="118"/>
        <v>1092</v>
      </c>
      <c r="AGT189">
        <f t="shared" si="118"/>
        <v>1092</v>
      </c>
      <c r="AGU189">
        <f t="shared" si="118"/>
        <v>1092</v>
      </c>
      <c r="AGV189">
        <f t="shared" si="118"/>
        <v>1092</v>
      </c>
      <c r="AGW189">
        <f t="shared" si="118"/>
        <v>1092</v>
      </c>
      <c r="AGX189">
        <f t="shared" si="118"/>
        <v>1092</v>
      </c>
      <c r="AGY189">
        <f t="shared" si="118"/>
        <v>1092</v>
      </c>
      <c r="AGZ189">
        <f t="shared" si="118"/>
        <v>1092</v>
      </c>
      <c r="AHA189">
        <f t="shared" ref="AHA189:AJQ189" si="119">ROUNDUP(((1/AHA139)*(AHA136*AHA137*AHA138*AHA140*AHA141)*AHA142*AHA40*AHA44*AHA63*0.1+AHA68*AHA143*AHA144)*AHA35/365,0)</f>
        <v>1092</v>
      </c>
      <c r="AHB189">
        <f t="shared" si="119"/>
        <v>1092</v>
      </c>
      <c r="AHC189">
        <f t="shared" si="119"/>
        <v>1092</v>
      </c>
      <c r="AHD189">
        <f t="shared" si="119"/>
        <v>1092</v>
      </c>
      <c r="AHE189">
        <f t="shared" si="119"/>
        <v>1092</v>
      </c>
      <c r="AHF189">
        <f t="shared" si="119"/>
        <v>1092</v>
      </c>
      <c r="AHG189">
        <f t="shared" si="119"/>
        <v>1092</v>
      </c>
      <c r="AHH189">
        <f t="shared" si="119"/>
        <v>1092</v>
      </c>
      <c r="AHI189">
        <f t="shared" si="119"/>
        <v>1092</v>
      </c>
      <c r="AHJ189">
        <f t="shared" si="119"/>
        <v>1092</v>
      </c>
      <c r="AHK189">
        <f t="shared" si="119"/>
        <v>1092</v>
      </c>
      <c r="AHL189">
        <f t="shared" si="119"/>
        <v>1092</v>
      </c>
      <c r="AHM189">
        <f t="shared" si="119"/>
        <v>1092</v>
      </c>
      <c r="AHN189">
        <f t="shared" si="119"/>
        <v>1092</v>
      </c>
      <c r="AHO189">
        <f t="shared" si="119"/>
        <v>1092</v>
      </c>
      <c r="AHP189">
        <f t="shared" si="119"/>
        <v>1092</v>
      </c>
      <c r="AHQ189">
        <f t="shared" si="119"/>
        <v>1092</v>
      </c>
      <c r="AHR189">
        <f t="shared" si="119"/>
        <v>1092</v>
      </c>
      <c r="AHS189">
        <f t="shared" si="119"/>
        <v>1092</v>
      </c>
      <c r="AHT189">
        <f t="shared" si="119"/>
        <v>1092</v>
      </c>
      <c r="AHU189">
        <f t="shared" si="119"/>
        <v>1092</v>
      </c>
      <c r="AHV189">
        <f t="shared" si="119"/>
        <v>1092</v>
      </c>
      <c r="AHW189">
        <f t="shared" si="119"/>
        <v>1092</v>
      </c>
      <c r="AHX189">
        <f t="shared" si="119"/>
        <v>1092</v>
      </c>
      <c r="AHY189">
        <f t="shared" si="119"/>
        <v>1092</v>
      </c>
      <c r="AHZ189">
        <f t="shared" si="119"/>
        <v>1092</v>
      </c>
      <c r="AIA189">
        <f t="shared" si="119"/>
        <v>1092</v>
      </c>
      <c r="AIB189">
        <f t="shared" si="119"/>
        <v>1092</v>
      </c>
      <c r="AIC189">
        <f t="shared" si="119"/>
        <v>1092</v>
      </c>
      <c r="AID189">
        <f t="shared" si="119"/>
        <v>1092</v>
      </c>
      <c r="AIE189">
        <f t="shared" si="119"/>
        <v>1092</v>
      </c>
      <c r="AIF189">
        <f t="shared" si="119"/>
        <v>1092</v>
      </c>
      <c r="AIG189">
        <f t="shared" si="119"/>
        <v>1092</v>
      </c>
      <c r="AIH189">
        <f t="shared" si="119"/>
        <v>1092</v>
      </c>
      <c r="AII189">
        <f t="shared" si="119"/>
        <v>1092</v>
      </c>
      <c r="AIJ189">
        <f t="shared" si="119"/>
        <v>1092</v>
      </c>
      <c r="AIK189">
        <f t="shared" si="119"/>
        <v>1092</v>
      </c>
      <c r="AIL189">
        <f t="shared" si="119"/>
        <v>1092</v>
      </c>
      <c r="AIM189">
        <f t="shared" si="119"/>
        <v>1092</v>
      </c>
      <c r="AIN189">
        <f t="shared" si="119"/>
        <v>1092</v>
      </c>
      <c r="AIO189">
        <f t="shared" si="119"/>
        <v>1092</v>
      </c>
      <c r="AIP189">
        <f t="shared" si="119"/>
        <v>1092</v>
      </c>
      <c r="AIQ189">
        <f t="shared" si="119"/>
        <v>1092</v>
      </c>
      <c r="AIR189">
        <f t="shared" si="119"/>
        <v>1092</v>
      </c>
      <c r="AIS189">
        <f t="shared" si="119"/>
        <v>1092</v>
      </c>
      <c r="AIT189">
        <f t="shared" si="119"/>
        <v>1092</v>
      </c>
      <c r="AIU189">
        <f t="shared" si="119"/>
        <v>1092</v>
      </c>
      <c r="AIV189">
        <f t="shared" si="119"/>
        <v>1092</v>
      </c>
      <c r="AIW189">
        <f t="shared" si="119"/>
        <v>1092</v>
      </c>
      <c r="AIX189">
        <f t="shared" si="119"/>
        <v>1092</v>
      </c>
      <c r="AIY189">
        <f t="shared" si="119"/>
        <v>1092</v>
      </c>
      <c r="AIZ189">
        <f t="shared" si="119"/>
        <v>1092</v>
      </c>
      <c r="AJA189">
        <f t="shared" si="119"/>
        <v>1092</v>
      </c>
      <c r="AJB189">
        <f t="shared" si="119"/>
        <v>1092</v>
      </c>
      <c r="AJC189">
        <f t="shared" si="119"/>
        <v>795</v>
      </c>
      <c r="AJD189">
        <f t="shared" si="119"/>
        <v>1092</v>
      </c>
      <c r="AJE189">
        <f t="shared" si="119"/>
        <v>1092</v>
      </c>
      <c r="AJF189">
        <f t="shared" si="119"/>
        <v>1092</v>
      </c>
      <c r="AJG189">
        <f t="shared" si="119"/>
        <v>1092</v>
      </c>
      <c r="AJH189">
        <f t="shared" si="119"/>
        <v>1092</v>
      </c>
      <c r="AJI189">
        <f t="shared" si="119"/>
        <v>1092</v>
      </c>
      <c r="AJJ189">
        <f t="shared" si="119"/>
        <v>1092</v>
      </c>
      <c r="AJK189">
        <f t="shared" si="119"/>
        <v>1092</v>
      </c>
      <c r="AJL189">
        <f t="shared" si="119"/>
        <v>1092</v>
      </c>
      <c r="AJM189">
        <f t="shared" si="119"/>
        <v>1092</v>
      </c>
      <c r="AJN189">
        <f t="shared" si="119"/>
        <v>1092</v>
      </c>
      <c r="AJO189">
        <f t="shared" si="119"/>
        <v>1092</v>
      </c>
      <c r="AJP189">
        <f t="shared" si="119"/>
        <v>1092</v>
      </c>
      <c r="AJQ189">
        <f t="shared" si="119"/>
        <v>1092</v>
      </c>
      <c r="AJR189">
        <f t="shared" ref="AJR189:AJZ189" si="120">(AJR113*AJR42*AJR136+AJR113*AJR43)</f>
        <v>2136.2467698397741</v>
      </c>
      <c r="AJS189">
        <f t="shared" si="120"/>
        <v>2543.1509164759218</v>
      </c>
      <c r="AJT189">
        <f t="shared" si="120"/>
        <v>3857.4654743068327</v>
      </c>
      <c r="AJU189">
        <f t="shared" si="120"/>
        <v>4538.6248636822884</v>
      </c>
      <c r="AJV189">
        <f t="shared" si="120"/>
        <v>5397.3416684354042</v>
      </c>
      <c r="AJW189">
        <f t="shared" si="120"/>
        <v>4997.6023714108487</v>
      </c>
      <c r="AJX189">
        <f t="shared" si="120"/>
        <v>5472.7989308579836</v>
      </c>
      <c r="AJY189">
        <f t="shared" si="120"/>
        <v>5090.5300220589525</v>
      </c>
      <c r="AJZ189">
        <f t="shared" si="120"/>
        <v>4479.3425105336046</v>
      </c>
      <c r="AKA189">
        <v>310</v>
      </c>
      <c r="AKB189">
        <v>930</v>
      </c>
      <c r="AKC189">
        <v>1550</v>
      </c>
      <c r="AKD189">
        <v>1550</v>
      </c>
      <c r="AKE189">
        <v>1550</v>
      </c>
      <c r="AKF189">
        <v>1550</v>
      </c>
      <c r="AKG189">
        <v>1550</v>
      </c>
      <c r="AKJ189">
        <f>AKJ40*AKJ35*AKJ59*AKJ58*(AKJ71*AKJ148+AKJ150)</f>
        <v>6493.0634168058004</v>
      </c>
      <c r="AKK189">
        <f>AKK40*AKK35*AKK59*AKK58*(AKK71*AKK148+AKK150)</f>
        <v>6655.1017915238399</v>
      </c>
      <c r="AKL189">
        <f>AKL40*AKL35*AKL59*AKL58*(AKL71*AKL148+AKL150)</f>
        <v>6743.1391686154948</v>
      </c>
      <c r="AKM189">
        <f>AKM40*AKM35*AKM59*AKM58*(AKM71*AKM148+AKM150)</f>
        <v>5267.6449783562875</v>
      </c>
      <c r="AKN189">
        <f>(AKN91+AKN93+AKN96)*AKN38*AKN59</f>
        <v>17850.506188453197</v>
      </c>
      <c r="AKO189">
        <f>(AKO91+AKO93+AKO96)*AKO38*AKO59</f>
        <v>28724.171114146531</v>
      </c>
      <c r="AKP189">
        <f>(AKP91+AKP93+AKP96)*AKP38*AKP59</f>
        <v>18914.817975450525</v>
      </c>
      <c r="AKQ189">
        <f>(AKQ91+AKQ93+AKQ96)*AKQ38*AKQ59</f>
        <v>23159.413061183572</v>
      </c>
      <c r="AKR189">
        <f>(AKR91+AKR93+AKR96)*AKR38*AKR59</f>
        <v>28376.645104786425</v>
      </c>
      <c r="AKS189">
        <v>0</v>
      </c>
      <c r="AKT189">
        <v>0</v>
      </c>
      <c r="AKU189">
        <f>AKU105/365*AKU38</f>
        <v>3839.1320957676216</v>
      </c>
      <c r="AKV189">
        <f>AKV105/365*AKV38</f>
        <v>10991.14180942</v>
      </c>
      <c r="AKW189">
        <f>AKW105/365*AKW38</f>
        <v>10099.126236215843</v>
      </c>
    </row>
    <row r="190" spans="1:985" ht="14.4" customHeight="1" x14ac:dyDescent="0.55000000000000004">
      <c r="A190" t="s">
        <v>50</v>
      </c>
      <c r="B190" t="s">
        <v>647</v>
      </c>
      <c r="C190" s="1" t="s">
        <v>963</v>
      </c>
      <c r="D190">
        <f t="shared" ref="D190:AI190" si="121">D188-D112</f>
        <v>30433.009235716945</v>
      </c>
      <c r="E190">
        <f t="shared" si="121"/>
        <v>14992.947912040763</v>
      </c>
      <c r="F190">
        <f t="shared" si="121"/>
        <v>14465.876425590106</v>
      </c>
      <c r="G190">
        <f t="shared" si="121"/>
        <v>15235.313980851855</v>
      </c>
      <c r="H190">
        <f t="shared" si="121"/>
        <v>65923.931932690888</v>
      </c>
      <c r="I190">
        <f t="shared" si="121"/>
        <v>65187.646871233483</v>
      </c>
      <c r="J190">
        <f t="shared" si="121"/>
        <v>64611.707089158619</v>
      </c>
      <c r="K190">
        <f t="shared" si="121"/>
        <v>63396.46712191304</v>
      </c>
      <c r="L190">
        <f t="shared" si="121"/>
        <v>60691.301052160605</v>
      </c>
      <c r="M190">
        <f t="shared" si="121"/>
        <v>59679.1</v>
      </c>
      <c r="N190">
        <f t="shared" si="121"/>
        <v>62812.880000000005</v>
      </c>
      <c r="O190">
        <f t="shared" si="121"/>
        <v>55716.47</v>
      </c>
      <c r="P190">
        <f t="shared" si="121"/>
        <v>56674</v>
      </c>
      <c r="Q190">
        <f t="shared" si="121"/>
        <v>60609.9</v>
      </c>
      <c r="R190">
        <f t="shared" si="121"/>
        <v>61151.77</v>
      </c>
      <c r="S190">
        <f t="shared" si="121"/>
        <v>58558.899999999994</v>
      </c>
      <c r="T190">
        <f t="shared" si="121"/>
        <v>49928.379720452554</v>
      </c>
      <c r="U190">
        <f t="shared" si="121"/>
        <v>55115.642134724447</v>
      </c>
      <c r="V190">
        <f t="shared" si="121"/>
        <v>55112.462424923971</v>
      </c>
      <c r="W190">
        <f t="shared" si="121"/>
        <v>58433.027134390439</v>
      </c>
      <c r="X190">
        <f t="shared" si="121"/>
        <v>61985.750167748563</v>
      </c>
      <c r="Y190">
        <f t="shared" si="121"/>
        <v>52611.776431969862</v>
      </c>
      <c r="Z190">
        <f t="shared" si="121"/>
        <v>57716.687729807993</v>
      </c>
      <c r="AA190">
        <f t="shared" si="121"/>
        <v>25745.332444068808</v>
      </c>
      <c r="AB190">
        <f t="shared" si="121"/>
        <v>62122.70008815865</v>
      </c>
      <c r="AC190">
        <f t="shared" si="121"/>
        <v>57023.08881843814</v>
      </c>
      <c r="AD190">
        <f t="shared" si="121"/>
        <v>55909.635238665018</v>
      </c>
      <c r="AE190">
        <f t="shared" si="121"/>
        <v>50986.165699526726</v>
      </c>
      <c r="AF190">
        <f t="shared" si="121"/>
        <v>48099.583156833178</v>
      </c>
      <c r="AG190">
        <f t="shared" si="121"/>
        <v>46885.278538051192</v>
      </c>
      <c r="AH190">
        <f t="shared" si="121"/>
        <v>47330.988535788209</v>
      </c>
      <c r="AI190">
        <f t="shared" si="121"/>
        <v>49544.263900031299</v>
      </c>
      <c r="AJ190">
        <f t="shared" ref="AJ190:BO190" si="122">AJ188-AJ112</f>
        <v>78727.26132783269</v>
      </c>
      <c r="AK190">
        <f t="shared" si="122"/>
        <v>91458.973689675666</v>
      </c>
      <c r="AL190">
        <f t="shared" si="122"/>
        <v>83252.897921890268</v>
      </c>
      <c r="AM190">
        <f t="shared" si="122"/>
        <v>89017.587923405677</v>
      </c>
      <c r="AN190">
        <f t="shared" si="122"/>
        <v>96838.680648745139</v>
      </c>
      <c r="AO190">
        <f t="shared" si="122"/>
        <v>76302.398999485682</v>
      </c>
      <c r="AP190">
        <f t="shared" si="122"/>
        <v>78186.341155722854</v>
      </c>
      <c r="AQ190">
        <f t="shared" si="122"/>
        <v>91162.009017680495</v>
      </c>
      <c r="AR190">
        <f t="shared" si="122"/>
        <v>40943.643457903636</v>
      </c>
      <c r="AS190">
        <f t="shared" si="122"/>
        <v>56070.25299969659</v>
      </c>
      <c r="AT190">
        <f t="shared" si="122"/>
        <v>53664.589392981761</v>
      </c>
      <c r="AU190">
        <f t="shared" si="122"/>
        <v>53914.061522142561</v>
      </c>
      <c r="AV190">
        <f t="shared" si="122"/>
        <v>54801.51964043067</v>
      </c>
      <c r="AW190">
        <f t="shared" si="122"/>
        <v>50809.307449748805</v>
      </c>
      <c r="AX190">
        <f t="shared" si="122"/>
        <v>54359.732943425639</v>
      </c>
      <c r="AY190">
        <f t="shared" si="122"/>
        <v>51228.181531065311</v>
      </c>
      <c r="AZ190">
        <f t="shared" si="122"/>
        <v>51780.764644845876</v>
      </c>
      <c r="BA190">
        <f t="shared" si="122"/>
        <v>61560.734012305191</v>
      </c>
      <c r="BB190">
        <f t="shared" si="122"/>
        <v>41716.056409620403</v>
      </c>
      <c r="BC190">
        <f t="shared" si="122"/>
        <v>44908.996517964399</v>
      </c>
      <c r="BD190">
        <f t="shared" si="122"/>
        <v>43978.205729697191</v>
      </c>
      <c r="BE190">
        <f t="shared" si="122"/>
        <v>24316.173428879603</v>
      </c>
      <c r="BF190">
        <f t="shared" si="122"/>
        <v>32018.054284463193</v>
      </c>
      <c r="BG190">
        <f t="shared" si="122"/>
        <v>36261.895645649667</v>
      </c>
      <c r="BH190">
        <f t="shared" si="122"/>
        <v>64380.84875336149</v>
      </c>
      <c r="BI190">
        <f t="shared" si="122"/>
        <v>64315.181864277547</v>
      </c>
      <c r="BJ190">
        <f t="shared" si="122"/>
        <v>66298.582823443896</v>
      </c>
      <c r="BK190">
        <f t="shared" si="122"/>
        <v>61453.39796891404</v>
      </c>
      <c r="BL190">
        <f t="shared" si="122"/>
        <v>54404.30917869565</v>
      </c>
      <c r="BM190">
        <f t="shared" si="122"/>
        <v>74622.795862474522</v>
      </c>
      <c r="BN190">
        <f t="shared" si="122"/>
        <v>46884.924640093246</v>
      </c>
      <c r="BO190">
        <f t="shared" si="122"/>
        <v>94348.128076007459</v>
      </c>
      <c r="BP190">
        <f t="shared" ref="BP190:BZ190" si="123">BP188-BP112</f>
        <v>64166.530024844214</v>
      </c>
      <c r="BQ190">
        <f t="shared" si="123"/>
        <v>42328.839371568101</v>
      </c>
      <c r="BR190">
        <f t="shared" si="123"/>
        <v>65642.929394553183</v>
      </c>
      <c r="BS190">
        <f t="shared" si="123"/>
        <v>62456.200333168694</v>
      </c>
      <c r="BT190">
        <f t="shared" si="123"/>
        <v>63173.877524908137</v>
      </c>
      <c r="BU190">
        <f t="shared" si="123"/>
        <v>57472.828114365955</v>
      </c>
      <c r="BV190">
        <f t="shared" si="123"/>
        <v>57429.428843519971</v>
      </c>
      <c r="BW190">
        <f t="shared" si="123"/>
        <v>72786.718855930332</v>
      </c>
      <c r="BX190">
        <f t="shared" si="123"/>
        <v>43345.681819322686</v>
      </c>
      <c r="BY190">
        <f t="shared" si="123"/>
        <v>91391.026980645882</v>
      </c>
      <c r="BZ190">
        <f t="shared" si="123"/>
        <v>62749.95474300666</v>
      </c>
      <c r="CA190">
        <f t="shared" ref="CA190:DF190" si="124">CA188-CA112-CA189</f>
        <v>2343</v>
      </c>
      <c r="CB190">
        <f t="shared" si="124"/>
        <v>1517</v>
      </c>
      <c r="CC190">
        <f t="shared" si="124"/>
        <v>1517</v>
      </c>
      <c r="CD190">
        <f t="shared" si="124"/>
        <v>1517</v>
      </c>
      <c r="CE190">
        <f t="shared" si="124"/>
        <v>1517</v>
      </c>
      <c r="CF190">
        <f t="shared" si="124"/>
        <v>1517</v>
      </c>
      <c r="CG190">
        <f t="shared" si="124"/>
        <v>1517</v>
      </c>
      <c r="CH190">
        <f t="shared" si="124"/>
        <v>1517</v>
      </c>
      <c r="CI190">
        <f t="shared" si="124"/>
        <v>1517</v>
      </c>
      <c r="CJ190">
        <f t="shared" si="124"/>
        <v>1517</v>
      </c>
      <c r="CK190">
        <f t="shared" si="124"/>
        <v>1480</v>
      </c>
      <c r="CL190">
        <f t="shared" si="124"/>
        <v>1480</v>
      </c>
      <c r="CM190">
        <f t="shared" si="124"/>
        <v>1480</v>
      </c>
      <c r="CN190">
        <f t="shared" si="124"/>
        <v>1480</v>
      </c>
      <c r="CO190">
        <f t="shared" si="124"/>
        <v>1480</v>
      </c>
      <c r="CP190">
        <f t="shared" si="124"/>
        <v>1480</v>
      </c>
      <c r="CQ190">
        <f t="shared" si="124"/>
        <v>1480</v>
      </c>
      <c r="CR190">
        <f t="shared" si="124"/>
        <v>1480</v>
      </c>
      <c r="CS190">
        <f t="shared" si="124"/>
        <v>1480</v>
      </c>
      <c r="CT190">
        <f t="shared" si="124"/>
        <v>1480</v>
      </c>
      <c r="CU190">
        <f t="shared" si="124"/>
        <v>1480</v>
      </c>
      <c r="CV190">
        <f t="shared" si="124"/>
        <v>1480</v>
      </c>
      <c r="CW190">
        <f t="shared" si="124"/>
        <v>1480</v>
      </c>
      <c r="CX190">
        <f t="shared" si="124"/>
        <v>1480</v>
      </c>
      <c r="CY190">
        <f t="shared" si="124"/>
        <v>1480</v>
      </c>
      <c r="CZ190">
        <f t="shared" si="124"/>
        <v>1480</v>
      </c>
      <c r="DA190">
        <f t="shared" si="124"/>
        <v>1480</v>
      </c>
      <c r="DB190">
        <f t="shared" si="124"/>
        <v>1517</v>
      </c>
      <c r="DC190">
        <f t="shared" si="124"/>
        <v>1517</v>
      </c>
      <c r="DD190">
        <f t="shared" si="124"/>
        <v>1517</v>
      </c>
      <c r="DE190">
        <f t="shared" si="124"/>
        <v>1517</v>
      </c>
      <c r="DF190">
        <f t="shared" si="124"/>
        <v>1480</v>
      </c>
      <c r="DG190">
        <f t="shared" ref="DG190:EL190" si="125">DG188-DG112-DG189</f>
        <v>1480</v>
      </c>
      <c r="DH190">
        <f t="shared" si="125"/>
        <v>1480</v>
      </c>
      <c r="DI190">
        <f t="shared" si="125"/>
        <v>1480</v>
      </c>
      <c r="DJ190">
        <f t="shared" si="125"/>
        <v>1480</v>
      </c>
      <c r="DK190">
        <f t="shared" si="125"/>
        <v>1480</v>
      </c>
      <c r="DL190">
        <f t="shared" si="125"/>
        <v>1480</v>
      </c>
      <c r="DM190">
        <f t="shared" si="125"/>
        <v>1480</v>
      </c>
      <c r="DN190">
        <f t="shared" si="125"/>
        <v>1480</v>
      </c>
      <c r="DO190">
        <f t="shared" si="125"/>
        <v>1480</v>
      </c>
      <c r="DP190">
        <f t="shared" si="125"/>
        <v>1480</v>
      </c>
      <c r="DQ190">
        <f t="shared" si="125"/>
        <v>1480</v>
      </c>
      <c r="DR190">
        <f t="shared" si="125"/>
        <v>1480</v>
      </c>
      <c r="DS190">
        <f t="shared" si="125"/>
        <v>1480</v>
      </c>
      <c r="DT190">
        <f t="shared" si="125"/>
        <v>1480</v>
      </c>
      <c r="DU190">
        <f t="shared" si="125"/>
        <v>1517</v>
      </c>
      <c r="DV190">
        <f t="shared" si="125"/>
        <v>1517</v>
      </c>
      <c r="DW190">
        <f t="shared" si="125"/>
        <v>1517</v>
      </c>
      <c r="DX190">
        <f t="shared" si="125"/>
        <v>1517</v>
      </c>
      <c r="DY190">
        <f t="shared" si="125"/>
        <v>1517</v>
      </c>
      <c r="DZ190">
        <f t="shared" si="125"/>
        <v>1347</v>
      </c>
      <c r="EA190">
        <f t="shared" si="125"/>
        <v>1509</v>
      </c>
      <c r="EB190">
        <f t="shared" si="125"/>
        <v>1681</v>
      </c>
      <c r="EC190">
        <f t="shared" si="125"/>
        <v>7625</v>
      </c>
      <c r="ED190">
        <f t="shared" si="125"/>
        <v>7625</v>
      </c>
      <c r="EE190">
        <f t="shared" si="125"/>
        <v>7625</v>
      </c>
      <c r="EF190">
        <f t="shared" si="125"/>
        <v>7625</v>
      </c>
      <c r="EG190">
        <f t="shared" si="125"/>
        <v>7625</v>
      </c>
      <c r="EH190">
        <f t="shared" si="125"/>
        <v>7625</v>
      </c>
      <c r="EI190">
        <f t="shared" si="125"/>
        <v>7625</v>
      </c>
      <c r="EJ190">
        <f t="shared" si="125"/>
        <v>7625</v>
      </c>
      <c r="EK190">
        <f t="shared" si="125"/>
        <v>7625</v>
      </c>
      <c r="EL190">
        <f t="shared" si="125"/>
        <v>7401</v>
      </c>
      <c r="EM190">
        <f t="shared" ref="EM190:FR190" si="126">EM188-EM112-EM189</f>
        <v>7401</v>
      </c>
      <c r="EN190">
        <f t="shared" si="126"/>
        <v>7401</v>
      </c>
      <c r="EO190">
        <f t="shared" si="126"/>
        <v>7401</v>
      </c>
      <c r="EP190">
        <f t="shared" si="126"/>
        <v>7401</v>
      </c>
      <c r="EQ190">
        <f t="shared" si="126"/>
        <v>7401</v>
      </c>
      <c r="ER190">
        <f t="shared" si="126"/>
        <v>7401</v>
      </c>
      <c r="ES190">
        <f t="shared" si="126"/>
        <v>7401</v>
      </c>
      <c r="ET190">
        <f t="shared" si="126"/>
        <v>7401</v>
      </c>
      <c r="EU190">
        <f t="shared" si="126"/>
        <v>7401</v>
      </c>
      <c r="EV190">
        <f t="shared" si="126"/>
        <v>7401</v>
      </c>
      <c r="EW190">
        <f t="shared" si="126"/>
        <v>7401</v>
      </c>
      <c r="EX190">
        <f t="shared" si="126"/>
        <v>7401</v>
      </c>
      <c r="EY190">
        <f t="shared" si="126"/>
        <v>7401</v>
      </c>
      <c r="EZ190">
        <f t="shared" si="126"/>
        <v>7401</v>
      </c>
      <c r="FA190">
        <f t="shared" si="126"/>
        <v>7401</v>
      </c>
      <c r="FB190">
        <f t="shared" si="126"/>
        <v>7401</v>
      </c>
      <c r="FC190">
        <f t="shared" si="126"/>
        <v>7625</v>
      </c>
      <c r="FD190">
        <f t="shared" si="126"/>
        <v>7625</v>
      </c>
      <c r="FE190">
        <f t="shared" si="126"/>
        <v>7625</v>
      </c>
      <c r="FF190">
        <f t="shared" si="126"/>
        <v>7625</v>
      </c>
      <c r="FG190">
        <f t="shared" si="126"/>
        <v>7401</v>
      </c>
      <c r="FH190">
        <f t="shared" si="126"/>
        <v>7401</v>
      </c>
      <c r="FI190">
        <f t="shared" si="126"/>
        <v>7401</v>
      </c>
      <c r="FJ190">
        <f t="shared" si="126"/>
        <v>7401</v>
      </c>
      <c r="FK190">
        <f t="shared" si="126"/>
        <v>7401</v>
      </c>
      <c r="FL190">
        <f t="shared" si="126"/>
        <v>7401</v>
      </c>
      <c r="FM190">
        <f t="shared" si="126"/>
        <v>7401</v>
      </c>
      <c r="FN190">
        <f t="shared" si="126"/>
        <v>7401</v>
      </c>
      <c r="FO190">
        <f t="shared" si="126"/>
        <v>7401</v>
      </c>
      <c r="FP190">
        <f t="shared" si="126"/>
        <v>7401</v>
      </c>
      <c r="FQ190">
        <f t="shared" si="126"/>
        <v>7401</v>
      </c>
      <c r="FR190">
        <f t="shared" si="126"/>
        <v>7401</v>
      </c>
      <c r="FS190">
        <f t="shared" ref="FS190:GX190" si="127">FS188-FS112-FS189</f>
        <v>7401</v>
      </c>
      <c r="FT190">
        <f t="shared" si="127"/>
        <v>7401</v>
      </c>
      <c r="FU190">
        <f t="shared" si="127"/>
        <v>7401</v>
      </c>
      <c r="FV190">
        <f t="shared" si="127"/>
        <v>7401</v>
      </c>
      <c r="FW190">
        <f t="shared" si="127"/>
        <v>7401</v>
      </c>
      <c r="FX190">
        <f t="shared" si="127"/>
        <v>7625</v>
      </c>
      <c r="FY190">
        <f t="shared" si="127"/>
        <v>7401</v>
      </c>
      <c r="FZ190">
        <f t="shared" si="127"/>
        <v>7401</v>
      </c>
      <c r="GA190">
        <f t="shared" si="127"/>
        <v>6606</v>
      </c>
      <c r="GB190">
        <f t="shared" si="127"/>
        <v>7534</v>
      </c>
      <c r="GC190">
        <v>1970</v>
      </c>
      <c r="GD190">
        <v>8941</v>
      </c>
      <c r="GE190">
        <v>8941</v>
      </c>
      <c r="GF190">
        <v>8941</v>
      </c>
      <c r="GG190">
        <v>8941</v>
      </c>
      <c r="GH190">
        <v>8941</v>
      </c>
      <c r="GI190">
        <v>8941</v>
      </c>
      <c r="GJ190">
        <v>8941</v>
      </c>
      <c r="GK190">
        <v>8941</v>
      </c>
      <c r="GL190">
        <v>8941</v>
      </c>
      <c r="GM190">
        <v>8615</v>
      </c>
      <c r="GN190">
        <v>8615</v>
      </c>
      <c r="GO190">
        <v>8615</v>
      </c>
      <c r="GP190">
        <v>8615</v>
      </c>
      <c r="GQ190">
        <v>8615</v>
      </c>
      <c r="GR190">
        <v>8615</v>
      </c>
      <c r="GS190">
        <v>8615</v>
      </c>
      <c r="GT190">
        <v>8615</v>
      </c>
      <c r="GU190">
        <v>8615</v>
      </c>
      <c r="GV190">
        <v>8615</v>
      </c>
      <c r="GW190">
        <v>8615</v>
      </c>
      <c r="GX190">
        <v>8615</v>
      </c>
      <c r="GY190">
        <v>8615</v>
      </c>
      <c r="GZ190">
        <v>8615</v>
      </c>
      <c r="HA190">
        <v>8615</v>
      </c>
      <c r="HB190">
        <v>8615</v>
      </c>
      <c r="HC190">
        <v>8615</v>
      </c>
      <c r="HD190">
        <v>8615</v>
      </c>
      <c r="HE190">
        <v>8615</v>
      </c>
      <c r="HF190">
        <v>8615</v>
      </c>
      <c r="HG190">
        <v>8615</v>
      </c>
      <c r="HH190">
        <v>8615</v>
      </c>
      <c r="HI190">
        <v>8615</v>
      </c>
      <c r="HJ190">
        <v>8615</v>
      </c>
      <c r="HK190">
        <v>8941</v>
      </c>
      <c r="HL190">
        <v>8615</v>
      </c>
      <c r="HM190">
        <v>8615</v>
      </c>
      <c r="HN190">
        <v>8615</v>
      </c>
      <c r="HO190">
        <v>8615</v>
      </c>
      <c r="HP190">
        <v>8615</v>
      </c>
      <c r="HQ190">
        <v>8615</v>
      </c>
      <c r="HR190">
        <v>8615</v>
      </c>
      <c r="HS190">
        <v>8615</v>
      </c>
      <c r="HT190">
        <v>8615</v>
      </c>
      <c r="HU190">
        <v>8615</v>
      </c>
      <c r="HV190">
        <v>8941</v>
      </c>
      <c r="HW190">
        <v>8941</v>
      </c>
      <c r="HX190">
        <v>8941</v>
      </c>
      <c r="HY190">
        <v>8941</v>
      </c>
      <c r="HZ190">
        <v>8941</v>
      </c>
      <c r="IA190">
        <v>8941</v>
      </c>
      <c r="IB190">
        <v>7668</v>
      </c>
      <c r="IC190">
        <v>8748</v>
      </c>
      <c r="ID190">
        <v>8268</v>
      </c>
      <c r="IE190">
        <v>7966</v>
      </c>
      <c r="IF190">
        <v>7966</v>
      </c>
      <c r="IG190">
        <v>7966</v>
      </c>
      <c r="IH190">
        <v>7966</v>
      </c>
      <c r="II190">
        <v>7966</v>
      </c>
      <c r="IJ190">
        <v>7966</v>
      </c>
      <c r="IK190">
        <v>7966</v>
      </c>
      <c r="IL190">
        <v>7966</v>
      </c>
      <c r="IM190">
        <v>7966</v>
      </c>
      <c r="IN190">
        <v>8268</v>
      </c>
      <c r="IO190">
        <v>8268</v>
      </c>
      <c r="IP190">
        <v>8268</v>
      </c>
      <c r="IQ190">
        <v>7966</v>
      </c>
      <c r="IR190">
        <v>8086</v>
      </c>
      <c r="IS190">
        <v>7966</v>
      </c>
      <c r="IT190">
        <v>8105</v>
      </c>
      <c r="IU190">
        <v>8007</v>
      </c>
      <c r="IV190">
        <v>8105</v>
      </c>
      <c r="IW190">
        <v>5899</v>
      </c>
      <c r="IX190">
        <f t="shared" ref="IX190:LI190" si="128">IX188-IX112-IX189</f>
        <v>1979</v>
      </c>
      <c r="IY190">
        <f t="shared" si="128"/>
        <v>9107</v>
      </c>
      <c r="IZ190">
        <f t="shared" si="128"/>
        <v>9107</v>
      </c>
      <c r="JA190">
        <f t="shared" si="128"/>
        <v>9107</v>
      </c>
      <c r="JB190">
        <f t="shared" si="128"/>
        <v>9107</v>
      </c>
      <c r="JC190">
        <f t="shared" si="128"/>
        <v>9107</v>
      </c>
      <c r="JD190">
        <f t="shared" si="128"/>
        <v>9107</v>
      </c>
      <c r="JE190">
        <f t="shared" si="128"/>
        <v>9107</v>
      </c>
      <c r="JF190">
        <f t="shared" si="128"/>
        <v>9107</v>
      </c>
      <c r="JG190">
        <f t="shared" si="128"/>
        <v>9107</v>
      </c>
      <c r="JH190">
        <f t="shared" si="128"/>
        <v>8711</v>
      </c>
      <c r="JI190">
        <f t="shared" si="128"/>
        <v>8711</v>
      </c>
      <c r="JJ190">
        <f t="shared" si="128"/>
        <v>8711</v>
      </c>
      <c r="JK190">
        <f t="shared" si="128"/>
        <v>8711</v>
      </c>
      <c r="JL190">
        <f t="shared" si="128"/>
        <v>8711</v>
      </c>
      <c r="JM190">
        <f t="shared" si="128"/>
        <v>8711</v>
      </c>
      <c r="JN190">
        <f t="shared" si="128"/>
        <v>8711</v>
      </c>
      <c r="JO190">
        <f t="shared" si="128"/>
        <v>8711</v>
      </c>
      <c r="JP190">
        <f t="shared" si="128"/>
        <v>8711</v>
      </c>
      <c r="JQ190">
        <f t="shared" si="128"/>
        <v>8711</v>
      </c>
      <c r="JR190">
        <f t="shared" si="128"/>
        <v>8711</v>
      </c>
      <c r="JS190">
        <f t="shared" si="128"/>
        <v>8711</v>
      </c>
      <c r="JT190">
        <f t="shared" si="128"/>
        <v>8711</v>
      </c>
      <c r="JU190">
        <f t="shared" si="128"/>
        <v>8711</v>
      </c>
      <c r="JV190">
        <f t="shared" si="128"/>
        <v>8711</v>
      </c>
      <c r="JW190">
        <f t="shared" si="128"/>
        <v>8711</v>
      </c>
      <c r="JX190">
        <f t="shared" si="128"/>
        <v>8711</v>
      </c>
      <c r="JY190">
        <f t="shared" si="128"/>
        <v>8711</v>
      </c>
      <c r="JZ190">
        <f t="shared" si="128"/>
        <v>8711</v>
      </c>
      <c r="KA190">
        <f t="shared" si="128"/>
        <v>8711</v>
      </c>
      <c r="KB190">
        <f t="shared" si="128"/>
        <v>8711</v>
      </c>
      <c r="KC190">
        <f t="shared" si="128"/>
        <v>8711</v>
      </c>
      <c r="KD190">
        <f t="shared" si="128"/>
        <v>8711</v>
      </c>
      <c r="KE190">
        <f t="shared" si="128"/>
        <v>8711</v>
      </c>
      <c r="KF190">
        <f t="shared" si="128"/>
        <v>8711</v>
      </c>
      <c r="KG190">
        <f t="shared" si="128"/>
        <v>9107</v>
      </c>
      <c r="KH190">
        <f t="shared" si="128"/>
        <v>9107</v>
      </c>
      <c r="KI190">
        <f t="shared" si="128"/>
        <v>9107</v>
      </c>
      <c r="KJ190">
        <f t="shared" si="128"/>
        <v>9107</v>
      </c>
      <c r="KK190">
        <f t="shared" si="128"/>
        <v>9107</v>
      </c>
      <c r="KL190">
        <f t="shared" si="128"/>
        <v>9107</v>
      </c>
      <c r="KM190">
        <f t="shared" si="128"/>
        <v>8711</v>
      </c>
      <c r="KN190">
        <f t="shared" si="128"/>
        <v>8711</v>
      </c>
      <c r="KO190">
        <f t="shared" si="128"/>
        <v>8711</v>
      </c>
      <c r="KP190">
        <f t="shared" si="128"/>
        <v>8711</v>
      </c>
      <c r="KQ190">
        <f t="shared" si="128"/>
        <v>8711</v>
      </c>
      <c r="KR190">
        <f t="shared" si="128"/>
        <v>9107</v>
      </c>
      <c r="KS190">
        <f t="shared" si="128"/>
        <v>9107</v>
      </c>
      <c r="KT190">
        <f t="shared" si="128"/>
        <v>9107</v>
      </c>
      <c r="KU190">
        <f t="shared" si="128"/>
        <v>9107</v>
      </c>
      <c r="KV190">
        <f t="shared" si="128"/>
        <v>9107</v>
      </c>
      <c r="KW190">
        <f t="shared" si="128"/>
        <v>7448</v>
      </c>
      <c r="KX190">
        <f t="shared" si="128"/>
        <v>8788</v>
      </c>
      <c r="KY190">
        <f t="shared" si="128"/>
        <v>9107</v>
      </c>
      <c r="KZ190">
        <f t="shared" si="128"/>
        <v>8711</v>
      </c>
      <c r="LA190">
        <f t="shared" si="128"/>
        <v>8711</v>
      </c>
      <c r="LB190">
        <f t="shared" si="128"/>
        <v>8711</v>
      </c>
      <c r="LC190">
        <f t="shared" si="128"/>
        <v>8711</v>
      </c>
      <c r="LD190">
        <f t="shared" si="128"/>
        <v>8711</v>
      </c>
      <c r="LE190">
        <f t="shared" si="128"/>
        <v>8711</v>
      </c>
      <c r="LF190">
        <f t="shared" si="128"/>
        <v>8711</v>
      </c>
      <c r="LG190">
        <f t="shared" si="128"/>
        <v>8711</v>
      </c>
      <c r="LH190">
        <f t="shared" si="128"/>
        <v>8711</v>
      </c>
      <c r="LI190">
        <f t="shared" si="128"/>
        <v>8711</v>
      </c>
      <c r="LJ190">
        <f t="shared" ref="LJ190:NU190" si="129">LJ188-LJ112-LJ189</f>
        <v>9107</v>
      </c>
      <c r="LK190">
        <f t="shared" si="129"/>
        <v>9107</v>
      </c>
      <c r="LL190">
        <f t="shared" si="129"/>
        <v>8711</v>
      </c>
      <c r="LM190">
        <f t="shared" si="129"/>
        <v>8759</v>
      </c>
      <c r="LN190">
        <f t="shared" si="129"/>
        <v>8711</v>
      </c>
      <c r="LO190">
        <f t="shared" si="129"/>
        <v>8711</v>
      </c>
      <c r="LP190">
        <f t="shared" si="129"/>
        <v>8725</v>
      </c>
      <c r="LQ190">
        <f t="shared" si="129"/>
        <v>9107</v>
      </c>
      <c r="LR190">
        <f t="shared" si="129"/>
        <v>6631</v>
      </c>
      <c r="LS190">
        <f t="shared" si="129"/>
        <v>8334</v>
      </c>
      <c r="LT190">
        <f t="shared" si="129"/>
        <v>7972</v>
      </c>
      <c r="LU190">
        <f t="shared" si="129"/>
        <v>7972</v>
      </c>
      <c r="LV190">
        <f t="shared" si="129"/>
        <v>8334</v>
      </c>
      <c r="LW190">
        <f t="shared" si="129"/>
        <v>8334</v>
      </c>
      <c r="LX190">
        <f t="shared" si="129"/>
        <v>7972</v>
      </c>
      <c r="LY190">
        <f t="shared" si="129"/>
        <v>7972</v>
      </c>
      <c r="LZ190">
        <f t="shared" si="129"/>
        <v>8334</v>
      </c>
      <c r="MA190">
        <f t="shared" si="129"/>
        <v>6995</v>
      </c>
      <c r="MB190">
        <f t="shared" si="129"/>
        <v>7993</v>
      </c>
      <c r="MC190">
        <f t="shared" si="129"/>
        <v>8334</v>
      </c>
      <c r="MD190">
        <f t="shared" si="129"/>
        <v>8056</v>
      </c>
      <c r="ME190">
        <f t="shared" si="129"/>
        <v>8046</v>
      </c>
      <c r="MF190">
        <f t="shared" si="129"/>
        <v>8334</v>
      </c>
      <c r="MG190">
        <f t="shared" si="129"/>
        <v>2140</v>
      </c>
      <c r="MH190">
        <f t="shared" si="129"/>
        <v>9846</v>
      </c>
      <c r="MI190">
        <f t="shared" si="129"/>
        <v>9846</v>
      </c>
      <c r="MJ190">
        <f t="shared" si="129"/>
        <v>9846</v>
      </c>
      <c r="MK190">
        <f t="shared" si="129"/>
        <v>9846</v>
      </c>
      <c r="ML190">
        <f t="shared" si="129"/>
        <v>9846</v>
      </c>
      <c r="MM190">
        <f t="shared" si="129"/>
        <v>9846</v>
      </c>
      <c r="MN190">
        <f t="shared" si="129"/>
        <v>9846</v>
      </c>
      <c r="MO190">
        <f t="shared" si="129"/>
        <v>9846</v>
      </c>
      <c r="MP190">
        <f t="shared" si="129"/>
        <v>9846</v>
      </c>
      <c r="MQ190">
        <f t="shared" si="129"/>
        <v>9462</v>
      </c>
      <c r="MR190">
        <f t="shared" si="129"/>
        <v>9462</v>
      </c>
      <c r="MS190">
        <f t="shared" si="129"/>
        <v>9462</v>
      </c>
      <c r="MT190">
        <f t="shared" si="129"/>
        <v>9462</v>
      </c>
      <c r="MU190">
        <f t="shared" si="129"/>
        <v>9462</v>
      </c>
      <c r="MV190">
        <f t="shared" si="129"/>
        <v>9462</v>
      </c>
      <c r="MW190">
        <f t="shared" si="129"/>
        <v>9462</v>
      </c>
      <c r="MX190">
        <f t="shared" si="129"/>
        <v>9462</v>
      </c>
      <c r="MY190">
        <f t="shared" si="129"/>
        <v>9462</v>
      </c>
      <c r="MZ190">
        <f t="shared" si="129"/>
        <v>9462</v>
      </c>
      <c r="NA190">
        <f t="shared" si="129"/>
        <v>9462</v>
      </c>
      <c r="NB190">
        <f t="shared" si="129"/>
        <v>9462</v>
      </c>
      <c r="NC190">
        <f t="shared" si="129"/>
        <v>9462</v>
      </c>
      <c r="ND190">
        <f t="shared" si="129"/>
        <v>9462</v>
      </c>
      <c r="NE190">
        <f t="shared" si="129"/>
        <v>9462</v>
      </c>
      <c r="NF190">
        <f t="shared" si="129"/>
        <v>9462</v>
      </c>
      <c r="NG190">
        <f t="shared" si="129"/>
        <v>9462</v>
      </c>
      <c r="NH190">
        <f t="shared" si="129"/>
        <v>9462</v>
      </c>
      <c r="NI190">
        <f t="shared" si="129"/>
        <v>9462</v>
      </c>
      <c r="NJ190">
        <f t="shared" si="129"/>
        <v>9462</v>
      </c>
      <c r="NK190">
        <f t="shared" si="129"/>
        <v>9462</v>
      </c>
      <c r="NL190">
        <f t="shared" si="129"/>
        <v>9462</v>
      </c>
      <c r="NM190">
        <f t="shared" si="129"/>
        <v>9462</v>
      </c>
      <c r="NN190">
        <f t="shared" si="129"/>
        <v>9462</v>
      </c>
      <c r="NO190">
        <f t="shared" si="129"/>
        <v>9846</v>
      </c>
      <c r="NP190">
        <f t="shared" si="129"/>
        <v>9462</v>
      </c>
      <c r="NQ190">
        <f t="shared" si="129"/>
        <v>9462</v>
      </c>
      <c r="NR190">
        <f t="shared" si="129"/>
        <v>9462</v>
      </c>
      <c r="NS190">
        <f t="shared" si="129"/>
        <v>9462</v>
      </c>
      <c r="NT190">
        <f t="shared" si="129"/>
        <v>9462</v>
      </c>
      <c r="NU190">
        <f t="shared" si="129"/>
        <v>9462</v>
      </c>
      <c r="NV190">
        <f t="shared" ref="NV190:QG190" si="130">NV188-NV112-NV189</f>
        <v>9462</v>
      </c>
      <c r="NW190">
        <f t="shared" si="130"/>
        <v>9462</v>
      </c>
      <c r="NX190">
        <f t="shared" si="130"/>
        <v>9462</v>
      </c>
      <c r="NY190">
        <f t="shared" si="130"/>
        <v>9462</v>
      </c>
      <c r="NZ190">
        <f t="shared" si="130"/>
        <v>9462</v>
      </c>
      <c r="OA190">
        <f t="shared" si="130"/>
        <v>9846</v>
      </c>
      <c r="OB190">
        <f t="shared" si="130"/>
        <v>9846</v>
      </c>
      <c r="OC190">
        <f t="shared" si="130"/>
        <v>9846</v>
      </c>
      <c r="OD190">
        <f t="shared" si="130"/>
        <v>9462</v>
      </c>
      <c r="OE190">
        <f t="shared" si="130"/>
        <v>9462</v>
      </c>
      <c r="OF190">
        <f t="shared" si="130"/>
        <v>8348</v>
      </c>
      <c r="OG190">
        <f t="shared" si="130"/>
        <v>9619</v>
      </c>
      <c r="OH190">
        <f t="shared" si="130"/>
        <v>9462</v>
      </c>
      <c r="OI190">
        <f t="shared" si="130"/>
        <v>9462</v>
      </c>
      <c r="OJ190">
        <f t="shared" si="130"/>
        <v>9462</v>
      </c>
      <c r="OK190">
        <f t="shared" si="130"/>
        <v>9462</v>
      </c>
      <c r="OL190">
        <f t="shared" si="130"/>
        <v>9462</v>
      </c>
      <c r="OM190">
        <f t="shared" si="130"/>
        <v>9462</v>
      </c>
      <c r="ON190">
        <f t="shared" si="130"/>
        <v>9462</v>
      </c>
      <c r="OO190">
        <f t="shared" si="130"/>
        <v>9462</v>
      </c>
      <c r="OP190">
        <f t="shared" si="130"/>
        <v>9462</v>
      </c>
      <c r="OQ190">
        <f t="shared" si="130"/>
        <v>9462</v>
      </c>
      <c r="OR190">
        <f t="shared" si="130"/>
        <v>9462</v>
      </c>
      <c r="OS190">
        <f t="shared" si="130"/>
        <v>9846</v>
      </c>
      <c r="OT190">
        <f t="shared" si="130"/>
        <v>9846</v>
      </c>
      <c r="OU190">
        <f t="shared" si="130"/>
        <v>9462</v>
      </c>
      <c r="OV190">
        <f t="shared" si="130"/>
        <v>9448</v>
      </c>
      <c r="OW190">
        <f t="shared" si="130"/>
        <v>9462</v>
      </c>
      <c r="OX190">
        <f t="shared" si="130"/>
        <v>9462</v>
      </c>
      <c r="OY190">
        <f t="shared" si="130"/>
        <v>9476</v>
      </c>
      <c r="OZ190">
        <f t="shared" si="130"/>
        <v>9638</v>
      </c>
      <c r="PA190">
        <f t="shared" si="130"/>
        <v>7014</v>
      </c>
      <c r="PB190">
        <f t="shared" si="130"/>
        <v>9846</v>
      </c>
      <c r="PC190">
        <f t="shared" si="130"/>
        <v>9462</v>
      </c>
      <c r="PD190">
        <f t="shared" si="130"/>
        <v>9846</v>
      </c>
      <c r="PE190">
        <f t="shared" si="130"/>
        <v>9462</v>
      </c>
      <c r="PF190">
        <f t="shared" si="130"/>
        <v>9462</v>
      </c>
      <c r="PG190">
        <f t="shared" si="130"/>
        <v>9462</v>
      </c>
      <c r="PH190">
        <f t="shared" si="130"/>
        <v>9462</v>
      </c>
      <c r="PI190">
        <f t="shared" si="130"/>
        <v>9462</v>
      </c>
      <c r="PJ190">
        <f t="shared" si="130"/>
        <v>8574</v>
      </c>
      <c r="PK190">
        <f t="shared" si="130"/>
        <v>9484</v>
      </c>
      <c r="PL190">
        <f t="shared" si="130"/>
        <v>9777</v>
      </c>
      <c r="PM190">
        <f t="shared" si="130"/>
        <v>9462</v>
      </c>
      <c r="PN190">
        <f t="shared" si="130"/>
        <v>9541</v>
      </c>
      <c r="PO190">
        <f t="shared" si="130"/>
        <v>9701</v>
      </c>
      <c r="PP190">
        <f t="shared" si="130"/>
        <v>2170</v>
      </c>
      <c r="PQ190">
        <f t="shared" si="130"/>
        <v>9985</v>
      </c>
      <c r="PR190">
        <f t="shared" si="130"/>
        <v>9985</v>
      </c>
      <c r="PS190">
        <f t="shared" si="130"/>
        <v>9985</v>
      </c>
      <c r="PT190">
        <f t="shared" si="130"/>
        <v>9985</v>
      </c>
      <c r="PU190">
        <f t="shared" si="130"/>
        <v>9985</v>
      </c>
      <c r="PV190">
        <f t="shared" si="130"/>
        <v>9985</v>
      </c>
      <c r="PW190">
        <f t="shared" si="130"/>
        <v>9985</v>
      </c>
      <c r="PX190">
        <f t="shared" si="130"/>
        <v>9985</v>
      </c>
      <c r="PY190">
        <f t="shared" si="130"/>
        <v>9985</v>
      </c>
      <c r="PZ190">
        <f t="shared" si="130"/>
        <v>9578</v>
      </c>
      <c r="QA190">
        <f t="shared" si="130"/>
        <v>9578</v>
      </c>
      <c r="QB190">
        <f t="shared" si="130"/>
        <v>9578</v>
      </c>
      <c r="QC190">
        <f t="shared" si="130"/>
        <v>9578</v>
      </c>
      <c r="QD190">
        <f t="shared" si="130"/>
        <v>9578</v>
      </c>
      <c r="QE190">
        <f t="shared" si="130"/>
        <v>9578</v>
      </c>
      <c r="QF190">
        <f t="shared" si="130"/>
        <v>9578</v>
      </c>
      <c r="QG190">
        <f t="shared" si="130"/>
        <v>9578</v>
      </c>
      <c r="QH190">
        <f t="shared" ref="QH190:SS190" si="131">QH188-QH112-QH189</f>
        <v>9578</v>
      </c>
      <c r="QI190">
        <f t="shared" si="131"/>
        <v>9578</v>
      </c>
      <c r="QJ190">
        <f t="shared" si="131"/>
        <v>9578</v>
      </c>
      <c r="QK190">
        <f t="shared" si="131"/>
        <v>9578</v>
      </c>
      <c r="QL190">
        <f t="shared" si="131"/>
        <v>9578</v>
      </c>
      <c r="QM190">
        <f t="shared" si="131"/>
        <v>9578</v>
      </c>
      <c r="QN190">
        <f t="shared" si="131"/>
        <v>9578</v>
      </c>
      <c r="QO190">
        <f t="shared" si="131"/>
        <v>9578</v>
      </c>
      <c r="QP190">
        <f t="shared" si="131"/>
        <v>9578</v>
      </c>
      <c r="QQ190">
        <f t="shared" si="131"/>
        <v>9578</v>
      </c>
      <c r="QR190">
        <f t="shared" si="131"/>
        <v>9578</v>
      </c>
      <c r="QS190">
        <f t="shared" si="131"/>
        <v>9578</v>
      </c>
      <c r="QT190">
        <f t="shared" si="131"/>
        <v>9578</v>
      </c>
      <c r="QU190">
        <f t="shared" si="131"/>
        <v>9578</v>
      </c>
      <c r="QV190">
        <f t="shared" si="131"/>
        <v>9578</v>
      </c>
      <c r="QW190">
        <f t="shared" si="131"/>
        <v>9578</v>
      </c>
      <c r="QX190">
        <f t="shared" si="131"/>
        <v>9985</v>
      </c>
      <c r="QY190">
        <f t="shared" si="131"/>
        <v>9578</v>
      </c>
      <c r="QZ190">
        <f t="shared" si="131"/>
        <v>9578</v>
      </c>
      <c r="RA190">
        <f t="shared" si="131"/>
        <v>9578</v>
      </c>
      <c r="RB190">
        <f t="shared" si="131"/>
        <v>9578</v>
      </c>
      <c r="RC190">
        <f t="shared" si="131"/>
        <v>9578</v>
      </c>
      <c r="RD190">
        <f t="shared" si="131"/>
        <v>9578</v>
      </c>
      <c r="RE190">
        <f t="shared" si="131"/>
        <v>9578</v>
      </c>
      <c r="RF190">
        <f t="shared" si="131"/>
        <v>9578</v>
      </c>
      <c r="RG190">
        <f t="shared" si="131"/>
        <v>9578</v>
      </c>
      <c r="RH190">
        <f t="shared" si="131"/>
        <v>9578</v>
      </c>
      <c r="RI190">
        <f t="shared" si="131"/>
        <v>9578</v>
      </c>
      <c r="RJ190">
        <f t="shared" si="131"/>
        <v>9985</v>
      </c>
      <c r="RK190">
        <f t="shared" si="131"/>
        <v>9985</v>
      </c>
      <c r="RL190">
        <f t="shared" si="131"/>
        <v>9985</v>
      </c>
      <c r="RM190">
        <f t="shared" si="131"/>
        <v>9578</v>
      </c>
      <c r="RN190">
        <f t="shared" si="131"/>
        <v>9578</v>
      </c>
      <c r="RO190">
        <f t="shared" si="131"/>
        <v>8398</v>
      </c>
      <c r="RP190">
        <f t="shared" si="131"/>
        <v>9745</v>
      </c>
      <c r="RQ190">
        <f t="shared" si="131"/>
        <v>9578</v>
      </c>
      <c r="RR190">
        <f t="shared" si="131"/>
        <v>9578</v>
      </c>
      <c r="RS190">
        <f t="shared" si="131"/>
        <v>9578</v>
      </c>
      <c r="RT190">
        <f t="shared" si="131"/>
        <v>9578</v>
      </c>
      <c r="RU190">
        <f t="shared" si="131"/>
        <v>9578</v>
      </c>
      <c r="RV190">
        <f t="shared" si="131"/>
        <v>9578</v>
      </c>
      <c r="RW190">
        <f t="shared" si="131"/>
        <v>9578</v>
      </c>
      <c r="RX190">
        <f t="shared" si="131"/>
        <v>9578</v>
      </c>
      <c r="RY190">
        <f t="shared" si="131"/>
        <v>9578</v>
      </c>
      <c r="RZ190">
        <f t="shared" si="131"/>
        <v>9578</v>
      </c>
      <c r="SA190">
        <f t="shared" si="131"/>
        <v>9578</v>
      </c>
      <c r="SB190">
        <f t="shared" si="131"/>
        <v>9985</v>
      </c>
      <c r="SC190">
        <f t="shared" si="131"/>
        <v>9985</v>
      </c>
      <c r="SD190">
        <f t="shared" si="131"/>
        <v>9578</v>
      </c>
      <c r="SE190">
        <f t="shared" si="131"/>
        <v>9564</v>
      </c>
      <c r="SF190">
        <f t="shared" si="131"/>
        <v>9578</v>
      </c>
      <c r="SG190">
        <f t="shared" si="131"/>
        <v>9578</v>
      </c>
      <c r="SH190">
        <f t="shared" si="131"/>
        <v>9592</v>
      </c>
      <c r="SI190">
        <f t="shared" si="131"/>
        <v>9765</v>
      </c>
      <c r="SJ190">
        <f t="shared" si="131"/>
        <v>7105</v>
      </c>
      <c r="SK190">
        <f t="shared" si="131"/>
        <v>9985</v>
      </c>
      <c r="SL190">
        <f t="shared" si="131"/>
        <v>9578</v>
      </c>
      <c r="SM190">
        <f t="shared" si="131"/>
        <v>9985</v>
      </c>
      <c r="SN190">
        <f t="shared" si="131"/>
        <v>9578</v>
      </c>
      <c r="SO190">
        <f t="shared" si="131"/>
        <v>9578</v>
      </c>
      <c r="SP190">
        <f t="shared" si="131"/>
        <v>9578</v>
      </c>
      <c r="SQ190">
        <f t="shared" si="131"/>
        <v>9578</v>
      </c>
      <c r="SR190">
        <f t="shared" si="131"/>
        <v>9578</v>
      </c>
      <c r="SS190">
        <f t="shared" si="131"/>
        <v>8637</v>
      </c>
      <c r="ST190">
        <f t="shared" ref="ST190:VE190" si="132">ST188-ST112-ST189</f>
        <v>9602</v>
      </c>
      <c r="SU190">
        <f t="shared" si="132"/>
        <v>9912</v>
      </c>
      <c r="SV190">
        <f t="shared" si="132"/>
        <v>9578</v>
      </c>
      <c r="SW190">
        <f t="shared" si="132"/>
        <v>9662</v>
      </c>
      <c r="SX190">
        <f t="shared" si="132"/>
        <v>9831</v>
      </c>
      <c r="SY190">
        <f t="shared" si="132"/>
        <v>2156</v>
      </c>
      <c r="SZ190">
        <f t="shared" si="132"/>
        <v>9919</v>
      </c>
      <c r="TA190">
        <f t="shared" si="132"/>
        <v>9919</v>
      </c>
      <c r="TB190">
        <f t="shared" si="132"/>
        <v>9919</v>
      </c>
      <c r="TC190">
        <f t="shared" si="132"/>
        <v>9919</v>
      </c>
      <c r="TD190">
        <f t="shared" si="132"/>
        <v>9919</v>
      </c>
      <c r="TE190">
        <f t="shared" si="132"/>
        <v>9919</v>
      </c>
      <c r="TF190">
        <f t="shared" si="132"/>
        <v>9919</v>
      </c>
      <c r="TG190">
        <f t="shared" si="132"/>
        <v>9919</v>
      </c>
      <c r="TH190">
        <f t="shared" si="132"/>
        <v>9919</v>
      </c>
      <c r="TI190">
        <f t="shared" si="132"/>
        <v>9515</v>
      </c>
      <c r="TJ190">
        <f t="shared" si="132"/>
        <v>9515</v>
      </c>
      <c r="TK190">
        <f t="shared" si="132"/>
        <v>9515</v>
      </c>
      <c r="TL190">
        <f t="shared" si="132"/>
        <v>9515</v>
      </c>
      <c r="TM190">
        <f t="shared" si="132"/>
        <v>9515</v>
      </c>
      <c r="TN190">
        <f t="shared" si="132"/>
        <v>9515</v>
      </c>
      <c r="TO190">
        <f t="shared" si="132"/>
        <v>9515</v>
      </c>
      <c r="TP190">
        <f t="shared" si="132"/>
        <v>9515</v>
      </c>
      <c r="TQ190">
        <f t="shared" si="132"/>
        <v>9515</v>
      </c>
      <c r="TR190">
        <f t="shared" si="132"/>
        <v>9515</v>
      </c>
      <c r="TS190">
        <f t="shared" si="132"/>
        <v>9515</v>
      </c>
      <c r="TT190">
        <f t="shared" si="132"/>
        <v>9515</v>
      </c>
      <c r="TU190">
        <f t="shared" si="132"/>
        <v>9515</v>
      </c>
      <c r="TV190">
        <f t="shared" si="132"/>
        <v>9515</v>
      </c>
      <c r="TW190">
        <f t="shared" si="132"/>
        <v>9515</v>
      </c>
      <c r="TX190">
        <f t="shared" si="132"/>
        <v>9515</v>
      </c>
      <c r="TY190">
        <f t="shared" si="132"/>
        <v>9515</v>
      </c>
      <c r="TZ190">
        <f t="shared" si="132"/>
        <v>9515</v>
      </c>
      <c r="UA190">
        <f t="shared" si="132"/>
        <v>9515</v>
      </c>
      <c r="UB190">
        <f t="shared" si="132"/>
        <v>9515</v>
      </c>
      <c r="UC190">
        <f t="shared" si="132"/>
        <v>9515</v>
      </c>
      <c r="UD190">
        <f t="shared" si="132"/>
        <v>9515</v>
      </c>
      <c r="UE190">
        <f t="shared" si="132"/>
        <v>9515</v>
      </c>
      <c r="UF190">
        <f t="shared" si="132"/>
        <v>9515</v>
      </c>
      <c r="UG190">
        <f t="shared" si="132"/>
        <v>9515</v>
      </c>
      <c r="UH190">
        <f t="shared" si="132"/>
        <v>9515</v>
      </c>
      <c r="UI190">
        <f t="shared" si="132"/>
        <v>9515</v>
      </c>
      <c r="UJ190">
        <f t="shared" si="132"/>
        <v>9515</v>
      </c>
      <c r="UK190">
        <f t="shared" si="132"/>
        <v>9515</v>
      </c>
      <c r="UL190">
        <f t="shared" si="132"/>
        <v>9515</v>
      </c>
      <c r="UM190">
        <f t="shared" si="132"/>
        <v>9515</v>
      </c>
      <c r="UN190">
        <f t="shared" si="132"/>
        <v>9515</v>
      </c>
      <c r="UO190">
        <f t="shared" si="132"/>
        <v>9515</v>
      </c>
      <c r="UP190">
        <f t="shared" si="132"/>
        <v>9515</v>
      </c>
      <c r="UQ190">
        <f t="shared" si="132"/>
        <v>9515</v>
      </c>
      <c r="UR190">
        <f t="shared" si="132"/>
        <v>9515</v>
      </c>
      <c r="US190">
        <f t="shared" si="132"/>
        <v>9919</v>
      </c>
      <c r="UT190">
        <f t="shared" si="132"/>
        <v>9919</v>
      </c>
      <c r="UU190">
        <f t="shared" si="132"/>
        <v>9919</v>
      </c>
      <c r="UV190">
        <f t="shared" si="132"/>
        <v>9515</v>
      </c>
      <c r="UW190">
        <f t="shared" si="132"/>
        <v>9515</v>
      </c>
      <c r="UX190">
        <f t="shared" si="132"/>
        <v>8227</v>
      </c>
      <c r="UY190">
        <f t="shared" si="132"/>
        <v>9594</v>
      </c>
      <c r="UZ190">
        <f t="shared" si="132"/>
        <v>9515</v>
      </c>
      <c r="VA190">
        <f t="shared" si="132"/>
        <v>9515</v>
      </c>
      <c r="VB190">
        <f t="shared" si="132"/>
        <v>9515</v>
      </c>
      <c r="VC190">
        <f t="shared" si="132"/>
        <v>9515</v>
      </c>
      <c r="VD190">
        <f t="shared" si="132"/>
        <v>9515</v>
      </c>
      <c r="VE190">
        <f t="shared" si="132"/>
        <v>9515</v>
      </c>
      <c r="VF190">
        <f t="shared" ref="VF190:XQ190" si="133">VF188-VF112-VF189</f>
        <v>9515</v>
      </c>
      <c r="VG190">
        <f t="shared" si="133"/>
        <v>9515</v>
      </c>
      <c r="VH190">
        <f t="shared" si="133"/>
        <v>9515</v>
      </c>
      <c r="VI190">
        <f t="shared" si="133"/>
        <v>9515</v>
      </c>
      <c r="VJ190">
        <f t="shared" si="133"/>
        <v>9515</v>
      </c>
      <c r="VK190">
        <f t="shared" si="133"/>
        <v>9919</v>
      </c>
      <c r="VL190">
        <f t="shared" si="133"/>
        <v>9919</v>
      </c>
      <c r="VM190">
        <f t="shared" si="133"/>
        <v>9515</v>
      </c>
      <c r="VN190">
        <f t="shared" si="133"/>
        <v>9390</v>
      </c>
      <c r="VO190">
        <f t="shared" si="133"/>
        <v>9515</v>
      </c>
      <c r="VP190">
        <f t="shared" si="133"/>
        <v>9515</v>
      </c>
      <c r="VQ190">
        <f t="shared" si="133"/>
        <v>9530</v>
      </c>
      <c r="VR190">
        <f t="shared" si="133"/>
        <v>9701</v>
      </c>
      <c r="VS190">
        <f t="shared" si="133"/>
        <v>7058</v>
      </c>
      <c r="VT190">
        <f t="shared" si="133"/>
        <v>9919</v>
      </c>
      <c r="VU190">
        <f t="shared" si="133"/>
        <v>9515</v>
      </c>
      <c r="VV190">
        <f t="shared" si="133"/>
        <v>9515</v>
      </c>
      <c r="VW190">
        <f t="shared" si="133"/>
        <v>9515</v>
      </c>
      <c r="VX190">
        <f t="shared" si="133"/>
        <v>9515</v>
      </c>
      <c r="VY190">
        <f t="shared" si="133"/>
        <v>9515</v>
      </c>
      <c r="VZ190">
        <f t="shared" si="133"/>
        <v>9515</v>
      </c>
      <c r="WA190">
        <f t="shared" si="133"/>
        <v>9515</v>
      </c>
      <c r="WB190">
        <f t="shared" si="133"/>
        <v>8427</v>
      </c>
      <c r="WC190">
        <f t="shared" si="133"/>
        <v>9539</v>
      </c>
      <c r="WD190">
        <f t="shared" si="133"/>
        <v>9847</v>
      </c>
      <c r="WE190">
        <f t="shared" si="133"/>
        <v>9515</v>
      </c>
      <c r="WF190">
        <f t="shared" si="133"/>
        <v>9599</v>
      </c>
      <c r="WG190">
        <f t="shared" si="133"/>
        <v>9767</v>
      </c>
      <c r="WH190">
        <f t="shared" si="133"/>
        <v>1738</v>
      </c>
      <c r="WI190">
        <f t="shared" si="133"/>
        <v>7999</v>
      </c>
      <c r="WJ190">
        <f t="shared" si="133"/>
        <v>7999</v>
      </c>
      <c r="WK190">
        <f t="shared" si="133"/>
        <v>7999</v>
      </c>
      <c r="WL190">
        <f t="shared" si="133"/>
        <v>7999</v>
      </c>
      <c r="WM190">
        <f t="shared" si="133"/>
        <v>7999</v>
      </c>
      <c r="WN190">
        <f t="shared" si="133"/>
        <v>7999</v>
      </c>
      <c r="WO190">
        <f t="shared" si="133"/>
        <v>7999</v>
      </c>
      <c r="WP190">
        <f t="shared" si="133"/>
        <v>7999</v>
      </c>
      <c r="WQ190">
        <f t="shared" si="133"/>
        <v>7999</v>
      </c>
      <c r="WR190">
        <f t="shared" si="133"/>
        <v>7999</v>
      </c>
      <c r="WS190">
        <f t="shared" si="133"/>
        <v>7999</v>
      </c>
      <c r="WT190">
        <f t="shared" si="133"/>
        <v>7999</v>
      </c>
      <c r="WU190">
        <f t="shared" si="133"/>
        <v>7999</v>
      </c>
      <c r="WV190">
        <f t="shared" si="133"/>
        <v>7999</v>
      </c>
      <c r="WW190">
        <f t="shared" si="133"/>
        <v>7999</v>
      </c>
      <c r="WX190">
        <f t="shared" si="133"/>
        <v>7999</v>
      </c>
      <c r="WY190">
        <f t="shared" si="133"/>
        <v>7999</v>
      </c>
      <c r="WZ190">
        <f t="shared" si="133"/>
        <v>7999</v>
      </c>
      <c r="XA190">
        <f t="shared" si="133"/>
        <v>7999</v>
      </c>
      <c r="XB190">
        <f t="shared" si="133"/>
        <v>7999</v>
      </c>
      <c r="XC190">
        <f t="shared" si="133"/>
        <v>7999</v>
      </c>
      <c r="XD190">
        <f t="shared" si="133"/>
        <v>7999</v>
      </c>
      <c r="XE190">
        <f t="shared" si="133"/>
        <v>7999</v>
      </c>
      <c r="XF190">
        <f t="shared" si="133"/>
        <v>7999</v>
      </c>
      <c r="XG190">
        <f t="shared" si="133"/>
        <v>7999</v>
      </c>
      <c r="XH190">
        <f t="shared" si="133"/>
        <v>7999</v>
      </c>
      <c r="XI190">
        <f t="shared" si="133"/>
        <v>7999</v>
      </c>
      <c r="XJ190">
        <f t="shared" si="133"/>
        <v>7999</v>
      </c>
      <c r="XK190">
        <f t="shared" si="133"/>
        <v>7999</v>
      </c>
      <c r="XL190">
        <f t="shared" si="133"/>
        <v>7999</v>
      </c>
      <c r="XM190">
        <f t="shared" si="133"/>
        <v>7999</v>
      </c>
      <c r="XN190">
        <f t="shared" si="133"/>
        <v>7999</v>
      </c>
      <c r="XO190">
        <f t="shared" si="133"/>
        <v>7999</v>
      </c>
      <c r="XP190">
        <f t="shared" si="133"/>
        <v>7999</v>
      </c>
      <c r="XQ190">
        <f t="shared" si="133"/>
        <v>7999</v>
      </c>
      <c r="XR190">
        <f t="shared" ref="XR190:AAC190" si="134">XR188-XR112-XR189</f>
        <v>7999</v>
      </c>
      <c r="XS190">
        <f t="shared" si="134"/>
        <v>7999</v>
      </c>
      <c r="XT190">
        <f t="shared" si="134"/>
        <v>7999</v>
      </c>
      <c r="XU190">
        <f t="shared" si="134"/>
        <v>7999</v>
      </c>
      <c r="XV190">
        <f t="shared" si="134"/>
        <v>7999</v>
      </c>
      <c r="XW190">
        <f t="shared" si="134"/>
        <v>7999</v>
      </c>
      <c r="XX190">
        <f t="shared" si="134"/>
        <v>7999</v>
      </c>
      <c r="XY190">
        <f t="shared" si="134"/>
        <v>7999</v>
      </c>
      <c r="XZ190">
        <f t="shared" si="134"/>
        <v>7999</v>
      </c>
      <c r="YA190">
        <f t="shared" si="134"/>
        <v>7999</v>
      </c>
      <c r="YB190">
        <f t="shared" si="134"/>
        <v>8251</v>
      </c>
      <c r="YC190">
        <f t="shared" si="134"/>
        <v>8251</v>
      </c>
      <c r="YD190">
        <f t="shared" si="134"/>
        <v>8251</v>
      </c>
      <c r="YE190">
        <f t="shared" si="134"/>
        <v>7999</v>
      </c>
      <c r="YF190">
        <f t="shared" si="134"/>
        <v>7999</v>
      </c>
      <c r="YG190">
        <f t="shared" si="134"/>
        <v>7192</v>
      </c>
      <c r="YH190">
        <f t="shared" si="134"/>
        <v>8048</v>
      </c>
      <c r="YI190">
        <f t="shared" si="134"/>
        <v>7999</v>
      </c>
      <c r="YJ190">
        <f t="shared" si="134"/>
        <v>7999</v>
      </c>
      <c r="YK190">
        <f t="shared" si="134"/>
        <v>7999</v>
      </c>
      <c r="YL190">
        <f t="shared" si="134"/>
        <v>7999</v>
      </c>
      <c r="YM190">
        <f t="shared" si="134"/>
        <v>7999</v>
      </c>
      <c r="YN190">
        <f t="shared" si="134"/>
        <v>7999</v>
      </c>
      <c r="YO190">
        <f t="shared" si="134"/>
        <v>7999</v>
      </c>
      <c r="YP190">
        <f t="shared" si="134"/>
        <v>7999</v>
      </c>
      <c r="YQ190">
        <f t="shared" si="134"/>
        <v>7999</v>
      </c>
      <c r="YR190">
        <f t="shared" si="134"/>
        <v>7999</v>
      </c>
      <c r="YS190">
        <f t="shared" si="134"/>
        <v>7999</v>
      </c>
      <c r="YT190">
        <f t="shared" si="134"/>
        <v>8251</v>
      </c>
      <c r="YU190">
        <f t="shared" si="134"/>
        <v>7999</v>
      </c>
      <c r="YV190">
        <f t="shared" si="134"/>
        <v>7999</v>
      </c>
      <c r="YW190">
        <f t="shared" si="134"/>
        <v>7920</v>
      </c>
      <c r="YX190">
        <f t="shared" si="134"/>
        <v>7999</v>
      </c>
      <c r="YY190">
        <f t="shared" si="134"/>
        <v>7999</v>
      </c>
      <c r="YZ190">
        <f t="shared" si="134"/>
        <v>7999</v>
      </c>
      <c r="ZA190">
        <f t="shared" si="134"/>
        <v>7999</v>
      </c>
      <c r="ZB190">
        <f t="shared" si="134"/>
        <v>5905</v>
      </c>
      <c r="ZC190">
        <f t="shared" si="134"/>
        <v>7999</v>
      </c>
      <c r="ZD190">
        <f t="shared" si="134"/>
        <v>7999</v>
      </c>
      <c r="ZE190">
        <f t="shared" si="134"/>
        <v>7999</v>
      </c>
      <c r="ZF190">
        <f t="shared" si="134"/>
        <v>7999</v>
      </c>
      <c r="ZG190">
        <f t="shared" si="134"/>
        <v>7999</v>
      </c>
      <c r="ZH190">
        <f t="shared" si="134"/>
        <v>7999</v>
      </c>
      <c r="ZI190">
        <f t="shared" si="134"/>
        <v>7999</v>
      </c>
      <c r="ZJ190">
        <f t="shared" si="134"/>
        <v>7999</v>
      </c>
      <c r="ZK190">
        <f t="shared" si="134"/>
        <v>7317</v>
      </c>
      <c r="ZL190">
        <f t="shared" si="134"/>
        <v>8013</v>
      </c>
      <c r="ZM190">
        <f t="shared" si="134"/>
        <v>8206</v>
      </c>
      <c r="ZN190">
        <f t="shared" si="134"/>
        <v>7999</v>
      </c>
      <c r="ZO190">
        <f t="shared" si="134"/>
        <v>7999</v>
      </c>
      <c r="ZP190">
        <f t="shared" si="134"/>
        <v>8021</v>
      </c>
      <c r="ZQ190">
        <f t="shared" si="134"/>
        <v>1866</v>
      </c>
      <c r="ZR190">
        <f t="shared" si="134"/>
        <v>8585</v>
      </c>
      <c r="ZS190">
        <f t="shared" si="134"/>
        <v>8585</v>
      </c>
      <c r="ZT190">
        <f t="shared" si="134"/>
        <v>8585</v>
      </c>
      <c r="ZU190">
        <f t="shared" si="134"/>
        <v>8585</v>
      </c>
      <c r="ZV190">
        <f t="shared" si="134"/>
        <v>8585</v>
      </c>
      <c r="ZW190">
        <f t="shared" si="134"/>
        <v>8585</v>
      </c>
      <c r="ZX190">
        <f t="shared" si="134"/>
        <v>8585</v>
      </c>
      <c r="ZY190">
        <f t="shared" si="134"/>
        <v>8585</v>
      </c>
      <c r="ZZ190">
        <f t="shared" si="134"/>
        <v>8585</v>
      </c>
      <c r="AAA190">
        <f t="shared" si="134"/>
        <v>8585</v>
      </c>
      <c r="AAB190">
        <f t="shared" si="134"/>
        <v>8585</v>
      </c>
      <c r="AAC190">
        <f t="shared" si="134"/>
        <v>8585</v>
      </c>
      <c r="AAD190">
        <f t="shared" ref="AAD190:ACO190" si="135">AAD188-AAD112-AAD189</f>
        <v>8585</v>
      </c>
      <c r="AAE190">
        <f t="shared" si="135"/>
        <v>8585</v>
      </c>
      <c r="AAF190">
        <f t="shared" si="135"/>
        <v>8585</v>
      </c>
      <c r="AAG190">
        <f t="shared" si="135"/>
        <v>8585</v>
      </c>
      <c r="AAH190">
        <f t="shared" si="135"/>
        <v>8585</v>
      </c>
      <c r="AAI190">
        <f t="shared" si="135"/>
        <v>8585</v>
      </c>
      <c r="AAJ190">
        <f t="shared" si="135"/>
        <v>8585</v>
      </c>
      <c r="AAK190">
        <f t="shared" si="135"/>
        <v>8585</v>
      </c>
      <c r="AAL190">
        <f t="shared" si="135"/>
        <v>8585</v>
      </c>
      <c r="AAM190">
        <f t="shared" si="135"/>
        <v>8585</v>
      </c>
      <c r="AAN190">
        <f t="shared" si="135"/>
        <v>8585</v>
      </c>
      <c r="AAO190">
        <f t="shared" si="135"/>
        <v>8585</v>
      </c>
      <c r="AAP190">
        <f t="shared" si="135"/>
        <v>8585</v>
      </c>
      <c r="AAQ190">
        <f t="shared" si="135"/>
        <v>8585</v>
      </c>
      <c r="AAR190">
        <f t="shared" si="135"/>
        <v>8585</v>
      </c>
      <c r="AAS190">
        <f t="shared" si="135"/>
        <v>8585</v>
      </c>
      <c r="AAT190">
        <f t="shared" si="135"/>
        <v>8585</v>
      </c>
      <c r="AAU190">
        <f t="shared" si="135"/>
        <v>8585</v>
      </c>
      <c r="AAV190">
        <f t="shared" si="135"/>
        <v>8585</v>
      </c>
      <c r="AAW190">
        <f t="shared" si="135"/>
        <v>8585</v>
      </c>
      <c r="AAX190">
        <f t="shared" si="135"/>
        <v>8585</v>
      </c>
      <c r="AAY190">
        <f t="shared" si="135"/>
        <v>8855</v>
      </c>
      <c r="AAZ190">
        <f t="shared" si="135"/>
        <v>8855</v>
      </c>
      <c r="ABA190">
        <f t="shared" si="135"/>
        <v>8855</v>
      </c>
      <c r="ABB190">
        <f t="shared" si="135"/>
        <v>8855</v>
      </c>
      <c r="ABC190">
        <f t="shared" si="135"/>
        <v>8855</v>
      </c>
      <c r="ABD190">
        <f t="shared" si="135"/>
        <v>8855</v>
      </c>
      <c r="ABE190">
        <f t="shared" si="135"/>
        <v>8855</v>
      </c>
      <c r="ABF190">
        <f t="shared" si="135"/>
        <v>8585</v>
      </c>
      <c r="ABG190">
        <f t="shared" si="135"/>
        <v>8585</v>
      </c>
      <c r="ABH190">
        <f t="shared" si="135"/>
        <v>8585</v>
      </c>
      <c r="ABI190">
        <f t="shared" si="135"/>
        <v>8585</v>
      </c>
      <c r="ABJ190">
        <f t="shared" si="135"/>
        <v>8855</v>
      </c>
      <c r="ABK190">
        <f t="shared" si="135"/>
        <v>8855</v>
      </c>
      <c r="ABL190">
        <f t="shared" si="135"/>
        <v>8855</v>
      </c>
      <c r="ABM190">
        <f t="shared" si="135"/>
        <v>8855</v>
      </c>
      <c r="ABN190">
        <f t="shared" si="135"/>
        <v>8855</v>
      </c>
      <c r="ABO190">
        <f t="shared" si="135"/>
        <v>8855</v>
      </c>
      <c r="ABP190">
        <f t="shared" si="135"/>
        <v>6624</v>
      </c>
      <c r="ABQ190">
        <f t="shared" si="135"/>
        <v>8696</v>
      </c>
      <c r="ABR190">
        <f t="shared" si="135"/>
        <v>8855</v>
      </c>
      <c r="ABS190">
        <f t="shared" si="135"/>
        <v>8585</v>
      </c>
      <c r="ABT190">
        <f t="shared" si="135"/>
        <v>8585</v>
      </c>
      <c r="ABU190">
        <f t="shared" si="135"/>
        <v>8585</v>
      </c>
      <c r="ABV190">
        <f t="shared" si="135"/>
        <v>8585</v>
      </c>
      <c r="ABW190">
        <f t="shared" si="135"/>
        <v>8585</v>
      </c>
      <c r="ABX190">
        <f t="shared" si="135"/>
        <v>8585</v>
      </c>
      <c r="ABY190">
        <f t="shared" si="135"/>
        <v>8585</v>
      </c>
      <c r="ABZ190">
        <f t="shared" si="135"/>
        <v>8585</v>
      </c>
      <c r="ACA190">
        <f t="shared" si="135"/>
        <v>8585</v>
      </c>
      <c r="ACB190">
        <f t="shared" si="135"/>
        <v>8855</v>
      </c>
      <c r="ACC190">
        <f t="shared" si="135"/>
        <v>8855</v>
      </c>
      <c r="ACD190">
        <f t="shared" si="135"/>
        <v>8585</v>
      </c>
      <c r="ACE190">
        <f t="shared" si="135"/>
        <v>8585</v>
      </c>
      <c r="ACF190">
        <f t="shared" si="135"/>
        <v>8567</v>
      </c>
      <c r="ACG190">
        <f t="shared" si="135"/>
        <v>8585</v>
      </c>
      <c r="ACH190">
        <f t="shared" si="135"/>
        <v>8709</v>
      </c>
      <c r="ACI190">
        <f t="shared" si="135"/>
        <v>8612</v>
      </c>
      <c r="ACJ190">
        <f t="shared" si="135"/>
        <v>8731</v>
      </c>
      <c r="ACK190">
        <f t="shared" si="135"/>
        <v>6447</v>
      </c>
      <c r="ACL190">
        <f t="shared" si="135"/>
        <v>8585</v>
      </c>
      <c r="ACM190">
        <f t="shared" si="135"/>
        <v>8585</v>
      </c>
      <c r="ACN190">
        <f t="shared" si="135"/>
        <v>8855</v>
      </c>
      <c r="ACO190">
        <f t="shared" si="135"/>
        <v>8855</v>
      </c>
      <c r="ACP190">
        <f t="shared" ref="ACP190:AFA190" si="136">ACP188-ACP112-ACP189</f>
        <v>8855</v>
      </c>
      <c r="ACQ190">
        <f t="shared" si="136"/>
        <v>8585</v>
      </c>
      <c r="ACR190">
        <f t="shared" si="136"/>
        <v>8855</v>
      </c>
      <c r="ACS190">
        <f t="shared" si="136"/>
        <v>8855</v>
      </c>
      <c r="ACT190">
        <f t="shared" si="136"/>
        <v>6966</v>
      </c>
      <c r="ACU190">
        <f t="shared" si="136"/>
        <v>8601</v>
      </c>
      <c r="ACV190">
        <f t="shared" si="136"/>
        <v>8855</v>
      </c>
      <c r="ACW190">
        <f t="shared" si="136"/>
        <v>8648</v>
      </c>
      <c r="ACX190">
        <f t="shared" si="136"/>
        <v>8739</v>
      </c>
      <c r="ACY190">
        <f t="shared" si="136"/>
        <v>8711</v>
      </c>
      <c r="ACZ190">
        <f t="shared" si="136"/>
        <v>3368</v>
      </c>
      <c r="ADA190">
        <f t="shared" si="136"/>
        <v>8585</v>
      </c>
      <c r="ADB190">
        <f t="shared" si="136"/>
        <v>8585</v>
      </c>
      <c r="ADC190">
        <f t="shared" si="136"/>
        <v>8585</v>
      </c>
      <c r="ADD190">
        <f t="shared" si="136"/>
        <v>8585</v>
      </c>
      <c r="ADE190">
        <f t="shared" si="136"/>
        <v>8585</v>
      </c>
      <c r="ADF190">
        <f t="shared" si="136"/>
        <v>8585</v>
      </c>
      <c r="ADG190">
        <f t="shared" si="136"/>
        <v>8585</v>
      </c>
      <c r="ADH190">
        <f t="shared" si="136"/>
        <v>8585</v>
      </c>
      <c r="ADI190">
        <f t="shared" si="136"/>
        <v>8585</v>
      </c>
      <c r="ADJ190">
        <f t="shared" si="136"/>
        <v>8585</v>
      </c>
      <c r="ADK190">
        <f t="shared" si="136"/>
        <v>8585</v>
      </c>
      <c r="ADL190">
        <f t="shared" si="136"/>
        <v>8585</v>
      </c>
      <c r="ADM190">
        <f t="shared" si="136"/>
        <v>8585</v>
      </c>
      <c r="ADN190">
        <f t="shared" si="136"/>
        <v>8585</v>
      </c>
      <c r="ADO190">
        <f t="shared" si="136"/>
        <v>8585</v>
      </c>
      <c r="ADP190">
        <f t="shared" si="136"/>
        <v>8585</v>
      </c>
      <c r="ADQ190">
        <f t="shared" si="136"/>
        <v>8585</v>
      </c>
      <c r="ADR190">
        <f t="shared" si="136"/>
        <v>8585</v>
      </c>
      <c r="ADS190">
        <f t="shared" si="136"/>
        <v>8585</v>
      </c>
      <c r="ADT190">
        <f t="shared" si="136"/>
        <v>8585</v>
      </c>
      <c r="ADU190">
        <f t="shared" si="136"/>
        <v>8585</v>
      </c>
      <c r="ADV190">
        <f t="shared" si="136"/>
        <v>8585</v>
      </c>
      <c r="ADW190">
        <f t="shared" si="136"/>
        <v>8585</v>
      </c>
      <c r="ADX190">
        <f t="shared" si="136"/>
        <v>8585</v>
      </c>
      <c r="ADY190">
        <f t="shared" si="136"/>
        <v>8585</v>
      </c>
      <c r="ADZ190">
        <f t="shared" si="136"/>
        <v>8585</v>
      </c>
      <c r="AEA190">
        <f t="shared" si="136"/>
        <v>8585</v>
      </c>
      <c r="AEB190">
        <f t="shared" si="136"/>
        <v>8585</v>
      </c>
      <c r="AEC190">
        <f t="shared" si="136"/>
        <v>8585</v>
      </c>
      <c r="AED190">
        <f t="shared" si="136"/>
        <v>8585</v>
      </c>
      <c r="AEE190">
        <f t="shared" si="136"/>
        <v>8585</v>
      </c>
      <c r="AEF190">
        <f t="shared" si="136"/>
        <v>8585</v>
      </c>
      <c r="AEG190">
        <f t="shared" si="136"/>
        <v>8585</v>
      </c>
      <c r="AEH190">
        <f t="shared" si="136"/>
        <v>8855</v>
      </c>
      <c r="AEI190">
        <f t="shared" si="136"/>
        <v>8855</v>
      </c>
      <c r="AEJ190">
        <f t="shared" si="136"/>
        <v>8855</v>
      </c>
      <c r="AEK190">
        <f t="shared" si="136"/>
        <v>8855</v>
      </c>
      <c r="AEL190">
        <f t="shared" si="136"/>
        <v>8855</v>
      </c>
      <c r="AEM190">
        <f t="shared" si="136"/>
        <v>8855</v>
      </c>
      <c r="AEN190">
        <f t="shared" si="136"/>
        <v>8855</v>
      </c>
      <c r="AEO190">
        <f t="shared" si="136"/>
        <v>8585</v>
      </c>
      <c r="AEP190">
        <f t="shared" si="136"/>
        <v>8585</v>
      </c>
      <c r="AEQ190">
        <f t="shared" si="136"/>
        <v>8585</v>
      </c>
      <c r="AER190">
        <f t="shared" si="136"/>
        <v>8585</v>
      </c>
      <c r="AES190">
        <f t="shared" si="136"/>
        <v>8855</v>
      </c>
      <c r="AET190">
        <f t="shared" si="136"/>
        <v>8855</v>
      </c>
      <c r="AEU190">
        <f t="shared" si="136"/>
        <v>8855</v>
      </c>
      <c r="AEV190">
        <f t="shared" si="136"/>
        <v>8855</v>
      </c>
      <c r="AEW190">
        <f t="shared" si="136"/>
        <v>8855</v>
      </c>
      <c r="AEX190">
        <f t="shared" si="136"/>
        <v>8855</v>
      </c>
      <c r="AEY190">
        <f t="shared" si="136"/>
        <v>6624</v>
      </c>
      <c r="AEZ190">
        <f t="shared" si="136"/>
        <v>8696</v>
      </c>
      <c r="AFA190">
        <f t="shared" si="136"/>
        <v>8855</v>
      </c>
      <c r="AFB190">
        <f t="shared" ref="AFB190:AHM190" si="137">AFB188-AFB112-AFB189</f>
        <v>8585</v>
      </c>
      <c r="AFC190">
        <f t="shared" si="137"/>
        <v>8585</v>
      </c>
      <c r="AFD190">
        <f t="shared" si="137"/>
        <v>8585</v>
      </c>
      <c r="AFE190">
        <f t="shared" si="137"/>
        <v>8585</v>
      </c>
      <c r="AFF190">
        <f t="shared" si="137"/>
        <v>8585</v>
      </c>
      <c r="AFG190">
        <f t="shared" si="137"/>
        <v>8585</v>
      </c>
      <c r="AFH190">
        <f t="shared" si="137"/>
        <v>8585</v>
      </c>
      <c r="AFI190">
        <f t="shared" si="137"/>
        <v>8585</v>
      </c>
      <c r="AFJ190">
        <f t="shared" si="137"/>
        <v>8585</v>
      </c>
      <c r="AFK190">
        <f t="shared" si="137"/>
        <v>8855</v>
      </c>
      <c r="AFL190">
        <f t="shared" si="137"/>
        <v>8855</v>
      </c>
      <c r="AFM190">
        <f t="shared" si="137"/>
        <v>8585</v>
      </c>
      <c r="AFN190">
        <f t="shared" si="137"/>
        <v>8585</v>
      </c>
      <c r="AFO190">
        <f t="shared" si="137"/>
        <v>8567</v>
      </c>
      <c r="AFP190">
        <f t="shared" si="137"/>
        <v>8585</v>
      </c>
      <c r="AFQ190">
        <f t="shared" si="137"/>
        <v>8709</v>
      </c>
      <c r="AFR190">
        <f t="shared" si="137"/>
        <v>8612</v>
      </c>
      <c r="AFS190">
        <f t="shared" si="137"/>
        <v>8731</v>
      </c>
      <c r="AFT190">
        <f t="shared" si="137"/>
        <v>7042</v>
      </c>
      <c r="AFU190">
        <f t="shared" si="137"/>
        <v>8585</v>
      </c>
      <c r="AFV190">
        <f t="shared" si="137"/>
        <v>8585</v>
      </c>
      <c r="AFW190">
        <f t="shared" si="137"/>
        <v>8855</v>
      </c>
      <c r="AFX190">
        <f t="shared" si="137"/>
        <v>8855</v>
      </c>
      <c r="AFY190">
        <f t="shared" si="137"/>
        <v>8855</v>
      </c>
      <c r="AFZ190">
        <f t="shared" si="137"/>
        <v>8585</v>
      </c>
      <c r="AGA190">
        <f t="shared" si="137"/>
        <v>8855</v>
      </c>
      <c r="AGB190">
        <f t="shared" si="137"/>
        <v>8855</v>
      </c>
      <c r="AGC190">
        <f t="shared" si="137"/>
        <v>6966</v>
      </c>
      <c r="AGD190">
        <f t="shared" si="137"/>
        <v>8601</v>
      </c>
      <c r="AGE190">
        <f t="shared" si="137"/>
        <v>8855</v>
      </c>
      <c r="AGF190">
        <f t="shared" si="137"/>
        <v>8648</v>
      </c>
      <c r="AGG190">
        <f t="shared" si="137"/>
        <v>8739</v>
      </c>
      <c r="AGH190">
        <f t="shared" si="137"/>
        <v>8711</v>
      </c>
      <c r="AGI190">
        <f t="shared" si="137"/>
        <v>1829</v>
      </c>
      <c r="AGJ190">
        <f t="shared" si="137"/>
        <v>8420</v>
      </c>
      <c r="AGK190">
        <f t="shared" si="137"/>
        <v>8420</v>
      </c>
      <c r="AGL190">
        <f t="shared" si="137"/>
        <v>8420</v>
      </c>
      <c r="AGM190">
        <f t="shared" si="137"/>
        <v>8420</v>
      </c>
      <c r="AGN190">
        <f t="shared" si="137"/>
        <v>8420</v>
      </c>
      <c r="AGO190">
        <f t="shared" si="137"/>
        <v>8420</v>
      </c>
      <c r="AGP190">
        <f t="shared" si="137"/>
        <v>8420</v>
      </c>
      <c r="AGQ190">
        <f t="shared" si="137"/>
        <v>8420</v>
      </c>
      <c r="AGR190">
        <f t="shared" si="137"/>
        <v>8420</v>
      </c>
      <c r="AGS190">
        <f t="shared" si="137"/>
        <v>8420</v>
      </c>
      <c r="AGT190">
        <f t="shared" si="137"/>
        <v>8420</v>
      </c>
      <c r="AGU190">
        <f t="shared" si="137"/>
        <v>8420</v>
      </c>
      <c r="AGV190">
        <f t="shared" si="137"/>
        <v>8420</v>
      </c>
      <c r="AGW190">
        <f t="shared" si="137"/>
        <v>8420</v>
      </c>
      <c r="AGX190">
        <f t="shared" si="137"/>
        <v>8420</v>
      </c>
      <c r="AGY190">
        <f t="shared" si="137"/>
        <v>8420</v>
      </c>
      <c r="AGZ190">
        <f t="shared" si="137"/>
        <v>8420</v>
      </c>
      <c r="AHA190">
        <f t="shared" si="137"/>
        <v>8420</v>
      </c>
      <c r="AHB190">
        <f t="shared" si="137"/>
        <v>8420</v>
      </c>
      <c r="AHC190">
        <f t="shared" si="137"/>
        <v>8420</v>
      </c>
      <c r="AHD190">
        <f t="shared" si="137"/>
        <v>8420</v>
      </c>
      <c r="AHE190">
        <f t="shared" si="137"/>
        <v>8420</v>
      </c>
      <c r="AHF190">
        <f t="shared" si="137"/>
        <v>8420</v>
      </c>
      <c r="AHG190">
        <f t="shared" si="137"/>
        <v>8420</v>
      </c>
      <c r="AHH190">
        <f t="shared" si="137"/>
        <v>8420</v>
      </c>
      <c r="AHI190">
        <f t="shared" si="137"/>
        <v>8420</v>
      </c>
      <c r="AHJ190">
        <f t="shared" si="137"/>
        <v>8420</v>
      </c>
      <c r="AHK190">
        <f t="shared" si="137"/>
        <v>8420</v>
      </c>
      <c r="AHL190">
        <f t="shared" si="137"/>
        <v>8420</v>
      </c>
      <c r="AHM190">
        <f t="shared" si="137"/>
        <v>8420</v>
      </c>
      <c r="AHN190">
        <f t="shared" ref="AHN190:AJY190" si="138">AHN188-AHN112-AHN189</f>
        <v>8420</v>
      </c>
      <c r="AHO190">
        <f t="shared" si="138"/>
        <v>8420</v>
      </c>
      <c r="AHP190">
        <f t="shared" si="138"/>
        <v>8420</v>
      </c>
      <c r="AHQ190">
        <f t="shared" si="138"/>
        <v>8685</v>
      </c>
      <c r="AHR190">
        <f t="shared" si="138"/>
        <v>8685</v>
      </c>
      <c r="AHS190">
        <f t="shared" si="138"/>
        <v>8685</v>
      </c>
      <c r="AHT190">
        <f t="shared" si="138"/>
        <v>8685</v>
      </c>
      <c r="AHU190">
        <f t="shared" si="138"/>
        <v>8685</v>
      </c>
      <c r="AHV190">
        <f t="shared" si="138"/>
        <v>8685</v>
      </c>
      <c r="AHW190">
        <f t="shared" si="138"/>
        <v>8685</v>
      </c>
      <c r="AHX190">
        <f t="shared" si="138"/>
        <v>8420</v>
      </c>
      <c r="AHY190">
        <f t="shared" si="138"/>
        <v>8420</v>
      </c>
      <c r="AHZ190">
        <f t="shared" si="138"/>
        <v>8420</v>
      </c>
      <c r="AIA190">
        <f t="shared" si="138"/>
        <v>8420</v>
      </c>
      <c r="AIB190">
        <f t="shared" si="138"/>
        <v>8685</v>
      </c>
      <c r="AIC190">
        <f t="shared" si="138"/>
        <v>8685</v>
      </c>
      <c r="AID190">
        <f t="shared" si="138"/>
        <v>8685</v>
      </c>
      <c r="AIE190">
        <f t="shared" si="138"/>
        <v>8685</v>
      </c>
      <c r="AIF190">
        <f t="shared" si="138"/>
        <v>8685</v>
      </c>
      <c r="AIG190">
        <f t="shared" si="138"/>
        <v>8685</v>
      </c>
      <c r="AIH190">
        <f t="shared" si="138"/>
        <v>6497</v>
      </c>
      <c r="AII190">
        <f t="shared" si="138"/>
        <v>8529</v>
      </c>
      <c r="AIJ190">
        <f t="shared" si="138"/>
        <v>8685</v>
      </c>
      <c r="AIK190">
        <f t="shared" si="138"/>
        <v>8420</v>
      </c>
      <c r="AIL190">
        <f t="shared" si="138"/>
        <v>8420</v>
      </c>
      <c r="AIM190">
        <f t="shared" si="138"/>
        <v>8420</v>
      </c>
      <c r="AIN190">
        <f t="shared" si="138"/>
        <v>8420</v>
      </c>
      <c r="AIO190">
        <f t="shared" si="138"/>
        <v>8420</v>
      </c>
      <c r="AIP190">
        <f t="shared" si="138"/>
        <v>8420</v>
      </c>
      <c r="AIQ190">
        <f t="shared" si="138"/>
        <v>8420</v>
      </c>
      <c r="AIR190">
        <f t="shared" si="138"/>
        <v>8420</v>
      </c>
      <c r="AIS190">
        <f t="shared" si="138"/>
        <v>8420</v>
      </c>
      <c r="AIT190">
        <f t="shared" si="138"/>
        <v>8685</v>
      </c>
      <c r="AIU190">
        <f t="shared" si="138"/>
        <v>8685</v>
      </c>
      <c r="AIV190">
        <f t="shared" si="138"/>
        <v>8420</v>
      </c>
      <c r="AIW190">
        <f t="shared" si="138"/>
        <v>8420</v>
      </c>
      <c r="AIX190">
        <f t="shared" si="138"/>
        <v>8402</v>
      </c>
      <c r="AIY190">
        <f t="shared" si="138"/>
        <v>8420</v>
      </c>
      <c r="AIZ190">
        <f t="shared" si="138"/>
        <v>8542</v>
      </c>
      <c r="AJA190">
        <f t="shared" si="138"/>
        <v>8446</v>
      </c>
      <c r="AJB190">
        <f t="shared" si="138"/>
        <v>8564</v>
      </c>
      <c r="AJC190">
        <f t="shared" si="138"/>
        <v>6323</v>
      </c>
      <c r="AJD190">
        <f t="shared" si="138"/>
        <v>8420</v>
      </c>
      <c r="AJE190">
        <f t="shared" si="138"/>
        <v>8420</v>
      </c>
      <c r="AJF190">
        <f t="shared" si="138"/>
        <v>8685</v>
      </c>
      <c r="AJG190">
        <f t="shared" si="138"/>
        <v>8685</v>
      </c>
      <c r="AJH190">
        <f t="shared" si="138"/>
        <v>8685</v>
      </c>
      <c r="AJI190">
        <f t="shared" si="138"/>
        <v>8420</v>
      </c>
      <c r="AJJ190">
        <f t="shared" si="138"/>
        <v>8685</v>
      </c>
      <c r="AJK190">
        <f t="shared" si="138"/>
        <v>8685</v>
      </c>
      <c r="AJL190">
        <f t="shared" si="138"/>
        <v>6832</v>
      </c>
      <c r="AJM190">
        <f t="shared" si="138"/>
        <v>8436</v>
      </c>
      <c r="AJN190">
        <f t="shared" si="138"/>
        <v>8685</v>
      </c>
      <c r="AJO190">
        <f t="shared" si="138"/>
        <v>8482</v>
      </c>
      <c r="AJP190">
        <f t="shared" si="138"/>
        <v>8572</v>
      </c>
      <c r="AJQ190">
        <f t="shared" si="138"/>
        <v>8544</v>
      </c>
      <c r="AJR190">
        <f t="shared" ref="AJR190:AKG190" si="139">AJR188-AJR189-AJR112</f>
        <v>4135.2927331104302</v>
      </c>
      <c r="AJS190">
        <f t="shared" si="139"/>
        <v>19152.733997835272</v>
      </c>
      <c r="AJT190">
        <f t="shared" si="139"/>
        <v>30012.739885711002</v>
      </c>
      <c r="AJU190">
        <f t="shared" si="139"/>
        <v>36990.440851979947</v>
      </c>
      <c r="AJV190">
        <f t="shared" si="139"/>
        <v>47196.267483559161</v>
      </c>
      <c r="AJW190">
        <f t="shared" si="139"/>
        <v>49424.22321999041</v>
      </c>
      <c r="AJX190">
        <f t="shared" si="139"/>
        <v>51222.093068656257</v>
      </c>
      <c r="AJY190">
        <f t="shared" si="139"/>
        <v>49731.866990248513</v>
      </c>
      <c r="AJZ190">
        <f t="shared" si="139"/>
        <v>48631.90129983837</v>
      </c>
      <c r="AKA190">
        <f t="shared" si="139"/>
        <v>5895.4052174655035</v>
      </c>
      <c r="AKB190">
        <f t="shared" si="139"/>
        <v>17686.225652396508</v>
      </c>
      <c r="AKC190">
        <f t="shared" si="139"/>
        <v>29477.026087327493</v>
      </c>
      <c r="AKD190">
        <f t="shared" si="139"/>
        <v>29477.026087327493</v>
      </c>
      <c r="AKE190">
        <f t="shared" si="139"/>
        <v>29477.026087327493</v>
      </c>
      <c r="AKF190">
        <f t="shared" si="139"/>
        <v>29477.026087327493</v>
      </c>
      <c r="AKG190">
        <f t="shared" si="139"/>
        <v>26118.474342400001</v>
      </c>
      <c r="AKH190">
        <f>AKH89-AKH104</f>
        <v>5685.7962583919989</v>
      </c>
      <c r="AKI190">
        <f>AKI89-AKI104</f>
        <v>22859.277346776005</v>
      </c>
      <c r="AKJ190">
        <f>AKJ188-AKJ189-AKJ112</f>
        <v>76629.150231594205</v>
      </c>
      <c r="AKK190">
        <f>AKK188-AKK189-AKK112</f>
        <v>81487.867535196172</v>
      </c>
      <c r="AKL190">
        <f>AKL188-AKL189-AKL112</f>
        <v>80750.250880574909</v>
      </c>
      <c r="AKM190">
        <f>AKM188-AKM189-AKM112</f>
        <v>76366.118897355715</v>
      </c>
      <c r="AKN190">
        <f>AKN188-AKN189</f>
        <v>53660.319485155873</v>
      </c>
      <c r="AKO190">
        <f>AKO188-AKO189</f>
        <v>68335.07738054893</v>
      </c>
      <c r="AKP190">
        <f>AKP188-AKP189</f>
        <v>67374.556092262748</v>
      </c>
      <c r="AKQ190">
        <f>AKQ188-AKQ189</f>
        <v>78947.315789404121</v>
      </c>
      <c r="AKR190">
        <f>AKR188-AKR189</f>
        <v>73189.925858015558</v>
      </c>
      <c r="AKS190">
        <f>AKS188-AKS112</f>
        <v>64166.530024844214</v>
      </c>
      <c r="AKT190">
        <f>AKT188-AKT112</f>
        <v>62749.95474300666</v>
      </c>
      <c r="AKU190">
        <f>(AKU188-AKU189)*AKU59</f>
        <v>10316.888329258743</v>
      </c>
      <c r="AKV190">
        <f>(AKV188-AKV189)*AKV59</f>
        <v>29536.46288541166</v>
      </c>
      <c r="AKW190">
        <f>(AKW188-AKW189)*AKW59</f>
        <v>27139.352073087044</v>
      </c>
    </row>
    <row r="191" spans="1:985" ht="14.4" customHeight="1" x14ac:dyDescent="0.55000000000000004">
      <c r="A191" t="s">
        <v>957</v>
      </c>
      <c r="B191" t="s">
        <v>647</v>
      </c>
      <c r="C191" s="1" t="s">
        <v>964</v>
      </c>
      <c r="D191">
        <f t="shared" ref="D191:BO191" si="140">D190/D40</f>
        <v>1.5216504617858473</v>
      </c>
      <c r="E191">
        <f t="shared" si="140"/>
        <v>0.75239363236015266</v>
      </c>
      <c r="F191">
        <f t="shared" si="140"/>
        <v>0.72477961949947922</v>
      </c>
      <c r="G191">
        <f t="shared" si="140"/>
        <v>0.76291006413880103</v>
      </c>
      <c r="H191">
        <f t="shared" si="140"/>
        <v>3.2961965966345446</v>
      </c>
      <c r="I191">
        <f t="shared" si="140"/>
        <v>3.271322671311963</v>
      </c>
      <c r="J191">
        <f t="shared" si="140"/>
        <v>3.2372216588585911</v>
      </c>
      <c r="K191">
        <f t="shared" si="140"/>
        <v>3.1745852339465719</v>
      </c>
      <c r="L191">
        <f t="shared" si="140"/>
        <v>3.05872901180126</v>
      </c>
      <c r="M191">
        <f t="shared" si="140"/>
        <v>2.9839549999999999</v>
      </c>
      <c r="N191">
        <f t="shared" si="140"/>
        <v>3.1521493451096503</v>
      </c>
      <c r="O191">
        <f t="shared" si="140"/>
        <v>2.7915461696477779</v>
      </c>
      <c r="P191">
        <f t="shared" si="140"/>
        <v>2.8379569354031045</v>
      </c>
      <c r="Q191">
        <f t="shared" si="140"/>
        <v>3.0546265497429697</v>
      </c>
      <c r="R191">
        <f t="shared" si="140"/>
        <v>3.3047865326415908</v>
      </c>
      <c r="S191">
        <f t="shared" si="140"/>
        <v>3.18393323183993</v>
      </c>
      <c r="T191">
        <f t="shared" si="140"/>
        <v>2.4964189860226278</v>
      </c>
      <c r="U191">
        <f t="shared" si="140"/>
        <v>2.7658775598296006</v>
      </c>
      <c r="V191">
        <f t="shared" si="140"/>
        <v>2.7612837529397249</v>
      </c>
      <c r="W191">
        <f t="shared" si="140"/>
        <v>2.9260404173455403</v>
      </c>
      <c r="X191">
        <f t="shared" si="140"/>
        <v>3.1239668464745773</v>
      </c>
      <c r="Y191">
        <f t="shared" si="140"/>
        <v>2.8432650471233174</v>
      </c>
      <c r="Z191">
        <f t="shared" si="140"/>
        <v>3.1381409161487599</v>
      </c>
      <c r="AA191">
        <f t="shared" si="140"/>
        <v>1.3240078397566886</v>
      </c>
      <c r="AB191">
        <f t="shared" si="140"/>
        <v>3.1061350044079323</v>
      </c>
      <c r="AC191">
        <f t="shared" si="140"/>
        <v>2.8615992782876569</v>
      </c>
      <c r="AD191">
        <f t="shared" si="140"/>
        <v>2.801224271690216</v>
      </c>
      <c r="AE191">
        <f t="shared" si="140"/>
        <v>2.5531379919642827</v>
      </c>
      <c r="AF191">
        <f t="shared" si="140"/>
        <v>2.424129783128373</v>
      </c>
      <c r="AG191">
        <f t="shared" si="140"/>
        <v>2.5337915336171202</v>
      </c>
      <c r="AH191">
        <f t="shared" si="140"/>
        <v>2.5734552270437261</v>
      </c>
      <c r="AI191">
        <f t="shared" si="140"/>
        <v>2.5479179172039754</v>
      </c>
      <c r="AJ191">
        <f t="shared" si="140"/>
        <v>3.9365598943863538</v>
      </c>
      <c r="AK191">
        <f t="shared" si="140"/>
        <v>4.5897010934749671</v>
      </c>
      <c r="AL191">
        <f t="shared" si="140"/>
        <v>4.171195847582057</v>
      </c>
      <c r="AM191">
        <f t="shared" si="140"/>
        <v>4.4575657447874653</v>
      </c>
      <c r="AN191">
        <f t="shared" si="140"/>
        <v>4.8804899026683373</v>
      </c>
      <c r="AO191">
        <f t="shared" si="140"/>
        <v>4.1235624189086515</v>
      </c>
      <c r="AP191">
        <f t="shared" si="140"/>
        <v>4.2511059784538308</v>
      </c>
      <c r="AQ191">
        <f t="shared" si="140"/>
        <v>4.6881979438251733</v>
      </c>
      <c r="AR191">
        <f t="shared" si="140"/>
        <v>2.3661375091252679</v>
      </c>
      <c r="AS191">
        <f t="shared" si="140"/>
        <v>2.8137829577807292</v>
      </c>
      <c r="AT191">
        <f t="shared" si="140"/>
        <v>2.688741389497558</v>
      </c>
      <c r="AU191">
        <f t="shared" si="140"/>
        <v>2.6997527051648755</v>
      </c>
      <c r="AV191">
        <f t="shared" si="140"/>
        <v>2.761894952143467</v>
      </c>
      <c r="AW191">
        <f t="shared" si="140"/>
        <v>2.7458553528830958</v>
      </c>
      <c r="AX191">
        <f t="shared" si="140"/>
        <v>2.9556183636051347</v>
      </c>
      <c r="AY191">
        <f t="shared" si="140"/>
        <v>2.6345169211141841</v>
      </c>
      <c r="AZ191">
        <f t="shared" si="140"/>
        <v>2.9924158948708897</v>
      </c>
      <c r="BA191">
        <f t="shared" si="140"/>
        <v>3.078190610145767</v>
      </c>
      <c r="BB191">
        <f t="shared" si="140"/>
        <v>2.0934438906820096</v>
      </c>
      <c r="BC191">
        <f t="shared" si="140"/>
        <v>2.2500624539287739</v>
      </c>
      <c r="BD191">
        <f t="shared" si="140"/>
        <v>2.2022136068952025</v>
      </c>
      <c r="BE191">
        <f t="shared" si="140"/>
        <v>1.2254900427819577</v>
      </c>
      <c r="BF191">
        <f t="shared" si="140"/>
        <v>3.0237089701070161</v>
      </c>
      <c r="BG191">
        <f t="shared" si="140"/>
        <v>1.7903572452675851</v>
      </c>
      <c r="BH191">
        <f t="shared" si="140"/>
        <v>3.1786732869241381</v>
      </c>
      <c r="BI191">
        <f t="shared" si="140"/>
        <v>3.1754311180150858</v>
      </c>
      <c r="BJ191">
        <f t="shared" si="140"/>
        <v>3.2733575009106297</v>
      </c>
      <c r="BK191">
        <f t="shared" si="140"/>
        <v>3.0341363665900087</v>
      </c>
      <c r="BL191">
        <f t="shared" si="140"/>
        <v>2.6861019639920829</v>
      </c>
      <c r="BM191">
        <f t="shared" si="140"/>
        <v>3.6843485663313182</v>
      </c>
      <c r="BN191">
        <f t="shared" si="140"/>
        <v>2.3148476666383551</v>
      </c>
      <c r="BO191">
        <f t="shared" si="140"/>
        <v>4.658246671077686</v>
      </c>
      <c r="BP191">
        <f t="shared" ref="BP191:EA191" si="141">BP190/BP40</f>
        <v>3.16981327001157</v>
      </c>
      <c r="BQ191">
        <f t="shared" si="141"/>
        <v>2.0833172247055862</v>
      </c>
      <c r="BR191">
        <f t="shared" si="141"/>
        <v>3.2307771136210839</v>
      </c>
      <c r="BS191">
        <f t="shared" si="141"/>
        <v>3.0739344587640858</v>
      </c>
      <c r="BT191">
        <f t="shared" si="141"/>
        <v>3.1092566947981166</v>
      </c>
      <c r="BU191">
        <f t="shared" si="141"/>
        <v>2.8286656223233564</v>
      </c>
      <c r="BV191">
        <f t="shared" si="141"/>
        <v>2.8265296211989352</v>
      </c>
      <c r="BW191">
        <f t="shared" si="141"/>
        <v>3.5823761618235226</v>
      </c>
      <c r="BX191">
        <f t="shared" si="141"/>
        <v>2.1333636095739092</v>
      </c>
      <c r="BY191">
        <f t="shared" si="141"/>
        <v>4.4980326302119247</v>
      </c>
      <c r="BZ191">
        <f t="shared" si="141"/>
        <v>3.0909785105663099</v>
      </c>
      <c r="CA191">
        <f t="shared" si="141"/>
        <v>2.343</v>
      </c>
      <c r="CB191">
        <f t="shared" si="141"/>
        <v>0.32971093240599869</v>
      </c>
      <c r="CC191">
        <f t="shared" si="141"/>
        <v>0.32971093240599869</v>
      </c>
      <c r="CD191">
        <f t="shared" si="141"/>
        <v>0.32971093240599869</v>
      </c>
      <c r="CE191">
        <f t="shared" si="141"/>
        <v>0.32971093240599869</v>
      </c>
      <c r="CF191">
        <f t="shared" si="141"/>
        <v>0.32971093240599869</v>
      </c>
      <c r="CG191">
        <f t="shared" si="141"/>
        <v>0.32971093240599869</v>
      </c>
      <c r="CH191">
        <f t="shared" si="141"/>
        <v>0.32971093240599869</v>
      </c>
      <c r="CI191">
        <f t="shared" si="141"/>
        <v>0.32971093240599869</v>
      </c>
      <c r="CJ191">
        <f t="shared" si="141"/>
        <v>0.32971093240599869</v>
      </c>
      <c r="CK191">
        <f t="shared" si="141"/>
        <v>0.32166920234731577</v>
      </c>
      <c r="CL191">
        <f t="shared" si="141"/>
        <v>0.32166920234731577</v>
      </c>
      <c r="CM191">
        <f t="shared" si="141"/>
        <v>0.32166920234731577</v>
      </c>
      <c r="CN191">
        <f t="shared" si="141"/>
        <v>0.32166920234731577</v>
      </c>
      <c r="CO191">
        <f t="shared" si="141"/>
        <v>0.32166920234731577</v>
      </c>
      <c r="CP191">
        <f t="shared" si="141"/>
        <v>0.32166920234731577</v>
      </c>
      <c r="CQ191">
        <f t="shared" si="141"/>
        <v>0.32166920234731577</v>
      </c>
      <c r="CR191">
        <f t="shared" si="141"/>
        <v>0.32166920234731577</v>
      </c>
      <c r="CS191">
        <f t="shared" si="141"/>
        <v>0.32166920234731577</v>
      </c>
      <c r="CT191">
        <f t="shared" si="141"/>
        <v>0.32166920234731577</v>
      </c>
      <c r="CU191">
        <f t="shared" si="141"/>
        <v>0.32166920234731577</v>
      </c>
      <c r="CV191">
        <f t="shared" si="141"/>
        <v>0.32166920234731577</v>
      </c>
      <c r="CW191">
        <f t="shared" si="141"/>
        <v>0.32166920234731577</v>
      </c>
      <c r="CX191">
        <f t="shared" si="141"/>
        <v>0.32166920234731577</v>
      </c>
      <c r="CY191">
        <f t="shared" si="141"/>
        <v>0.32166920234731577</v>
      </c>
      <c r="CZ191">
        <f t="shared" si="141"/>
        <v>0.32166920234731577</v>
      </c>
      <c r="DA191">
        <f t="shared" si="141"/>
        <v>0.32166920234731577</v>
      </c>
      <c r="DB191">
        <f t="shared" si="141"/>
        <v>0.32971093240599869</v>
      </c>
      <c r="DC191">
        <f t="shared" si="141"/>
        <v>0.32971093240599869</v>
      </c>
      <c r="DD191">
        <f t="shared" si="141"/>
        <v>0.32971093240599869</v>
      </c>
      <c r="DE191">
        <f t="shared" si="141"/>
        <v>0.32971093240599869</v>
      </c>
      <c r="DF191">
        <f t="shared" si="141"/>
        <v>0.32166920234731577</v>
      </c>
      <c r="DG191">
        <f t="shared" si="141"/>
        <v>0.32166920234731577</v>
      </c>
      <c r="DH191">
        <f t="shared" si="141"/>
        <v>0.32166920234731577</v>
      </c>
      <c r="DI191">
        <f t="shared" si="141"/>
        <v>0.32166920234731577</v>
      </c>
      <c r="DJ191">
        <f t="shared" si="141"/>
        <v>0.32166920234731577</v>
      </c>
      <c r="DK191">
        <f t="shared" si="141"/>
        <v>0.32166920234731577</v>
      </c>
      <c r="DL191">
        <f t="shared" si="141"/>
        <v>0.32166920234731577</v>
      </c>
      <c r="DM191">
        <f t="shared" si="141"/>
        <v>0.32166920234731577</v>
      </c>
      <c r="DN191">
        <f t="shared" si="141"/>
        <v>0.32166920234731577</v>
      </c>
      <c r="DO191">
        <f t="shared" si="141"/>
        <v>0.32166920234731577</v>
      </c>
      <c r="DP191">
        <f t="shared" si="141"/>
        <v>0.32166920234731577</v>
      </c>
      <c r="DQ191">
        <f t="shared" si="141"/>
        <v>0.32166920234731577</v>
      </c>
      <c r="DR191">
        <f t="shared" si="141"/>
        <v>0.32166920234731577</v>
      </c>
      <c r="DS191">
        <f t="shared" si="141"/>
        <v>0.32166920234731577</v>
      </c>
      <c r="DT191">
        <f t="shared" si="141"/>
        <v>0.32166920234731577</v>
      </c>
      <c r="DU191">
        <f t="shared" si="141"/>
        <v>0.32971093240599869</v>
      </c>
      <c r="DV191">
        <f t="shared" si="141"/>
        <v>0.32971093240599869</v>
      </c>
      <c r="DW191">
        <f t="shared" si="141"/>
        <v>0.32971093240599869</v>
      </c>
      <c r="DX191">
        <f t="shared" si="141"/>
        <v>0.32971093240599869</v>
      </c>
      <c r="DY191">
        <f t="shared" si="141"/>
        <v>0.32971093240599869</v>
      </c>
      <c r="DZ191">
        <f t="shared" si="141"/>
        <v>0.2927624429471854</v>
      </c>
      <c r="EA191">
        <f t="shared" si="141"/>
        <v>0.32797217996087807</v>
      </c>
      <c r="EB191">
        <f t="shared" ref="EB191:GM191" si="142">EB190/EB40</f>
        <v>1.681</v>
      </c>
      <c r="EC191">
        <f t="shared" si="142"/>
        <v>1.6572484242555967</v>
      </c>
      <c r="ED191">
        <f t="shared" si="142"/>
        <v>1.6572484242555967</v>
      </c>
      <c r="EE191">
        <f t="shared" si="142"/>
        <v>1.6572484242555967</v>
      </c>
      <c r="EF191">
        <f t="shared" si="142"/>
        <v>1.6572484242555967</v>
      </c>
      <c r="EG191">
        <f t="shared" si="142"/>
        <v>1.6572484242555967</v>
      </c>
      <c r="EH191">
        <f t="shared" si="142"/>
        <v>1.6572484242555967</v>
      </c>
      <c r="EI191">
        <f t="shared" si="142"/>
        <v>1.6572484242555967</v>
      </c>
      <c r="EJ191">
        <f t="shared" si="142"/>
        <v>1.6572484242555967</v>
      </c>
      <c r="EK191">
        <f t="shared" si="142"/>
        <v>1.6572484242555967</v>
      </c>
      <c r="EL191">
        <f t="shared" si="142"/>
        <v>1.608563355792219</v>
      </c>
      <c r="EM191">
        <f t="shared" si="142"/>
        <v>1.608563355792219</v>
      </c>
      <c r="EN191">
        <f t="shared" si="142"/>
        <v>1.608563355792219</v>
      </c>
      <c r="EO191">
        <f t="shared" si="142"/>
        <v>1.608563355792219</v>
      </c>
      <c r="EP191">
        <f t="shared" si="142"/>
        <v>1.608563355792219</v>
      </c>
      <c r="EQ191">
        <f t="shared" si="142"/>
        <v>1.608563355792219</v>
      </c>
      <c r="ER191">
        <f t="shared" si="142"/>
        <v>1.608563355792219</v>
      </c>
      <c r="ES191">
        <f t="shared" si="142"/>
        <v>1.608563355792219</v>
      </c>
      <c r="ET191">
        <f t="shared" si="142"/>
        <v>1.608563355792219</v>
      </c>
      <c r="EU191">
        <f t="shared" si="142"/>
        <v>1.608563355792219</v>
      </c>
      <c r="EV191">
        <f t="shared" si="142"/>
        <v>1.608563355792219</v>
      </c>
      <c r="EW191">
        <f t="shared" si="142"/>
        <v>1.608563355792219</v>
      </c>
      <c r="EX191">
        <f t="shared" si="142"/>
        <v>1.608563355792219</v>
      </c>
      <c r="EY191">
        <f t="shared" si="142"/>
        <v>1.608563355792219</v>
      </c>
      <c r="EZ191">
        <f t="shared" si="142"/>
        <v>1.608563355792219</v>
      </c>
      <c r="FA191">
        <f t="shared" si="142"/>
        <v>1.608563355792219</v>
      </c>
      <c r="FB191">
        <f t="shared" si="142"/>
        <v>1.608563355792219</v>
      </c>
      <c r="FC191">
        <f t="shared" si="142"/>
        <v>1.6572484242555967</v>
      </c>
      <c r="FD191">
        <f t="shared" si="142"/>
        <v>1.6572484242555967</v>
      </c>
      <c r="FE191">
        <f t="shared" si="142"/>
        <v>1.6572484242555967</v>
      </c>
      <c r="FF191">
        <f t="shared" si="142"/>
        <v>1.6572484242555967</v>
      </c>
      <c r="FG191">
        <f t="shared" si="142"/>
        <v>1.608563355792219</v>
      </c>
      <c r="FH191">
        <f t="shared" si="142"/>
        <v>1.608563355792219</v>
      </c>
      <c r="FI191">
        <f t="shared" si="142"/>
        <v>1.608563355792219</v>
      </c>
      <c r="FJ191">
        <f t="shared" si="142"/>
        <v>1.608563355792219</v>
      </c>
      <c r="FK191">
        <f t="shared" si="142"/>
        <v>1.608563355792219</v>
      </c>
      <c r="FL191">
        <f t="shared" si="142"/>
        <v>1.608563355792219</v>
      </c>
      <c r="FM191">
        <f t="shared" si="142"/>
        <v>1.608563355792219</v>
      </c>
      <c r="FN191">
        <f t="shared" si="142"/>
        <v>1.608563355792219</v>
      </c>
      <c r="FO191">
        <f t="shared" si="142"/>
        <v>1.608563355792219</v>
      </c>
      <c r="FP191">
        <f t="shared" si="142"/>
        <v>1.608563355792219</v>
      </c>
      <c r="FQ191">
        <f t="shared" si="142"/>
        <v>1.608563355792219</v>
      </c>
      <c r="FR191">
        <f t="shared" si="142"/>
        <v>1.608563355792219</v>
      </c>
      <c r="FS191">
        <f t="shared" si="142"/>
        <v>1.608563355792219</v>
      </c>
      <c r="FT191">
        <f t="shared" si="142"/>
        <v>1.608563355792219</v>
      </c>
      <c r="FU191">
        <f t="shared" si="142"/>
        <v>1.608563355792219</v>
      </c>
      <c r="FV191">
        <f t="shared" si="142"/>
        <v>1.608563355792219</v>
      </c>
      <c r="FW191">
        <f t="shared" si="142"/>
        <v>1.608563355792219</v>
      </c>
      <c r="FX191">
        <f t="shared" si="142"/>
        <v>1.6572484242555967</v>
      </c>
      <c r="FY191">
        <f t="shared" si="142"/>
        <v>1.608563355792219</v>
      </c>
      <c r="FZ191">
        <f t="shared" si="142"/>
        <v>1.608563355792219</v>
      </c>
      <c r="GA191">
        <f t="shared" si="142"/>
        <v>1.4357748315583569</v>
      </c>
      <c r="GB191">
        <f t="shared" si="142"/>
        <v>1.6374701151923494</v>
      </c>
      <c r="GC191">
        <f t="shared" si="142"/>
        <v>1.97</v>
      </c>
      <c r="GD191">
        <f t="shared" si="142"/>
        <v>1.9432732014779395</v>
      </c>
      <c r="GE191">
        <f t="shared" si="142"/>
        <v>1.9432732014779395</v>
      </c>
      <c r="GF191">
        <f t="shared" si="142"/>
        <v>1.9432732014779395</v>
      </c>
      <c r="GG191">
        <f t="shared" si="142"/>
        <v>1.9432732014779395</v>
      </c>
      <c r="GH191">
        <f t="shared" si="142"/>
        <v>1.9432732014779395</v>
      </c>
      <c r="GI191">
        <f t="shared" si="142"/>
        <v>1.9432732014779395</v>
      </c>
      <c r="GJ191">
        <f t="shared" si="142"/>
        <v>1.9432732014779395</v>
      </c>
      <c r="GK191">
        <f t="shared" si="142"/>
        <v>1.9432732014779395</v>
      </c>
      <c r="GL191">
        <f t="shared" si="142"/>
        <v>1.9432732014779395</v>
      </c>
      <c r="GM191">
        <f t="shared" si="142"/>
        <v>1.8724190393392741</v>
      </c>
      <c r="GN191">
        <f t="shared" ref="GN191:IY191" si="143">GN190/GN40</f>
        <v>1.8724190393392741</v>
      </c>
      <c r="GO191">
        <f t="shared" si="143"/>
        <v>1.8724190393392741</v>
      </c>
      <c r="GP191">
        <f t="shared" si="143"/>
        <v>1.8724190393392741</v>
      </c>
      <c r="GQ191">
        <f t="shared" si="143"/>
        <v>1.8724190393392741</v>
      </c>
      <c r="GR191">
        <f t="shared" si="143"/>
        <v>1.8724190393392741</v>
      </c>
      <c r="GS191">
        <f t="shared" si="143"/>
        <v>1.8724190393392741</v>
      </c>
      <c r="GT191">
        <f t="shared" si="143"/>
        <v>1.8724190393392741</v>
      </c>
      <c r="GU191">
        <f t="shared" si="143"/>
        <v>1.8724190393392741</v>
      </c>
      <c r="GV191">
        <f t="shared" si="143"/>
        <v>1.8724190393392741</v>
      </c>
      <c r="GW191">
        <f t="shared" si="143"/>
        <v>1.8724190393392741</v>
      </c>
      <c r="GX191">
        <f t="shared" si="143"/>
        <v>1.8724190393392741</v>
      </c>
      <c r="GY191">
        <f t="shared" si="143"/>
        <v>1.8724190393392741</v>
      </c>
      <c r="GZ191">
        <f t="shared" si="143"/>
        <v>1.8724190393392741</v>
      </c>
      <c r="HA191">
        <f t="shared" si="143"/>
        <v>1.8724190393392741</v>
      </c>
      <c r="HB191">
        <f t="shared" si="143"/>
        <v>1.8724190393392741</v>
      </c>
      <c r="HC191">
        <f t="shared" si="143"/>
        <v>1.8724190393392741</v>
      </c>
      <c r="HD191">
        <f t="shared" si="143"/>
        <v>1.8724190393392741</v>
      </c>
      <c r="HE191">
        <f t="shared" si="143"/>
        <v>1.8724190393392741</v>
      </c>
      <c r="HF191">
        <f t="shared" si="143"/>
        <v>1.8724190393392741</v>
      </c>
      <c r="HG191">
        <f t="shared" si="143"/>
        <v>1.8724190393392741</v>
      </c>
      <c r="HH191">
        <f t="shared" si="143"/>
        <v>1.8724190393392741</v>
      </c>
      <c r="HI191">
        <f t="shared" si="143"/>
        <v>1.8724190393392741</v>
      </c>
      <c r="HJ191">
        <f t="shared" si="143"/>
        <v>1.8724190393392741</v>
      </c>
      <c r="HK191">
        <f t="shared" si="143"/>
        <v>1.9432732014779395</v>
      </c>
      <c r="HL191">
        <f t="shared" si="143"/>
        <v>1.8724190393392741</v>
      </c>
      <c r="HM191">
        <f t="shared" si="143"/>
        <v>1.8724190393392741</v>
      </c>
      <c r="HN191">
        <f t="shared" si="143"/>
        <v>1.8724190393392741</v>
      </c>
      <c r="HO191">
        <f t="shared" si="143"/>
        <v>1.8724190393392741</v>
      </c>
      <c r="HP191">
        <f t="shared" si="143"/>
        <v>1.8724190393392741</v>
      </c>
      <c r="HQ191">
        <f t="shared" si="143"/>
        <v>1.8724190393392741</v>
      </c>
      <c r="HR191">
        <f t="shared" si="143"/>
        <v>1.8724190393392741</v>
      </c>
      <c r="HS191">
        <f t="shared" si="143"/>
        <v>1.8724190393392741</v>
      </c>
      <c r="HT191">
        <f t="shared" si="143"/>
        <v>1.8724190393392741</v>
      </c>
      <c r="HU191">
        <f t="shared" si="143"/>
        <v>1.8724190393392741</v>
      </c>
      <c r="HV191">
        <f t="shared" si="143"/>
        <v>1.9432732014779395</v>
      </c>
      <c r="HW191">
        <f t="shared" si="143"/>
        <v>1.9432732014779395</v>
      </c>
      <c r="HX191">
        <f t="shared" si="143"/>
        <v>1.9432732014779395</v>
      </c>
      <c r="HY191">
        <f t="shared" si="143"/>
        <v>1.9432732014779395</v>
      </c>
      <c r="HZ191">
        <f t="shared" si="143"/>
        <v>1.9432732014779395</v>
      </c>
      <c r="IA191">
        <f t="shared" si="143"/>
        <v>1.9432732014779395</v>
      </c>
      <c r="IB191">
        <f t="shared" si="143"/>
        <v>1.66659421864812</v>
      </c>
      <c r="IC191">
        <f t="shared" si="143"/>
        <v>1.9013257987394045</v>
      </c>
      <c r="ID191">
        <f t="shared" si="143"/>
        <v>1.7970006520321669</v>
      </c>
      <c r="IE191">
        <f t="shared" si="143"/>
        <v>1.7313627472288633</v>
      </c>
      <c r="IF191">
        <f t="shared" si="143"/>
        <v>1.7313627472288633</v>
      </c>
      <c r="IG191">
        <f t="shared" si="143"/>
        <v>1.7313627472288633</v>
      </c>
      <c r="IH191">
        <f t="shared" si="143"/>
        <v>1.7313627472288633</v>
      </c>
      <c r="II191">
        <f t="shared" si="143"/>
        <v>1.7313627472288633</v>
      </c>
      <c r="IJ191">
        <f t="shared" si="143"/>
        <v>1.7313627472288633</v>
      </c>
      <c r="IK191">
        <f t="shared" si="143"/>
        <v>1.7313627472288633</v>
      </c>
      <c r="IL191">
        <f t="shared" si="143"/>
        <v>1.7313627472288633</v>
      </c>
      <c r="IM191">
        <f t="shared" si="143"/>
        <v>1.7313627472288633</v>
      </c>
      <c r="IN191">
        <f t="shared" si="143"/>
        <v>1.7970006520321669</v>
      </c>
      <c r="IO191">
        <f t="shared" si="143"/>
        <v>1.7970006520321669</v>
      </c>
      <c r="IP191">
        <f t="shared" si="143"/>
        <v>1.7970006520321669</v>
      </c>
      <c r="IQ191">
        <f t="shared" si="143"/>
        <v>1.7313627472288633</v>
      </c>
      <c r="IR191">
        <f t="shared" si="143"/>
        <v>1.7574440339056727</v>
      </c>
      <c r="IS191">
        <f t="shared" si="143"/>
        <v>1.7313627472288633</v>
      </c>
      <c r="IT191">
        <f t="shared" si="143"/>
        <v>1.7615735709628342</v>
      </c>
      <c r="IU191">
        <f t="shared" si="143"/>
        <v>1.7402738535101065</v>
      </c>
      <c r="IV191">
        <f t="shared" si="143"/>
        <v>1.7615735709628342</v>
      </c>
      <c r="IW191">
        <f t="shared" si="143"/>
        <v>1.2821125842208216</v>
      </c>
      <c r="IX191">
        <f t="shared" si="143"/>
        <v>1.9790000000000001</v>
      </c>
      <c r="IY191">
        <f t="shared" si="143"/>
        <v>1.9793523147141925</v>
      </c>
      <c r="IZ191">
        <f t="shared" ref="IZ191:LK191" si="144">IZ190/IZ40</f>
        <v>1.9793523147141925</v>
      </c>
      <c r="JA191">
        <f t="shared" si="144"/>
        <v>1.9793523147141925</v>
      </c>
      <c r="JB191">
        <f t="shared" si="144"/>
        <v>1.9793523147141925</v>
      </c>
      <c r="JC191">
        <f t="shared" si="144"/>
        <v>1.9793523147141925</v>
      </c>
      <c r="JD191">
        <f t="shared" si="144"/>
        <v>1.9793523147141925</v>
      </c>
      <c r="JE191">
        <f t="shared" si="144"/>
        <v>1.9793523147141925</v>
      </c>
      <c r="JF191">
        <f t="shared" si="144"/>
        <v>1.9793523147141925</v>
      </c>
      <c r="JG191">
        <f t="shared" si="144"/>
        <v>1.9793523147141925</v>
      </c>
      <c r="JH191">
        <f t="shared" si="144"/>
        <v>1.8932840686807215</v>
      </c>
      <c r="JI191">
        <f t="shared" si="144"/>
        <v>1.8932840686807215</v>
      </c>
      <c r="JJ191">
        <f t="shared" si="144"/>
        <v>1.8932840686807215</v>
      </c>
      <c r="JK191">
        <f t="shared" si="144"/>
        <v>1.8932840686807215</v>
      </c>
      <c r="JL191">
        <f t="shared" si="144"/>
        <v>1.8932840686807215</v>
      </c>
      <c r="JM191">
        <f t="shared" si="144"/>
        <v>1.8932840686807215</v>
      </c>
      <c r="JN191">
        <f t="shared" si="144"/>
        <v>1.8932840686807215</v>
      </c>
      <c r="JO191">
        <f t="shared" si="144"/>
        <v>1.8932840686807215</v>
      </c>
      <c r="JP191">
        <f t="shared" si="144"/>
        <v>1.8932840686807215</v>
      </c>
      <c r="JQ191">
        <f t="shared" si="144"/>
        <v>1.8932840686807215</v>
      </c>
      <c r="JR191">
        <f t="shared" si="144"/>
        <v>1.8932840686807215</v>
      </c>
      <c r="JS191">
        <f t="shared" si="144"/>
        <v>1.8932840686807215</v>
      </c>
      <c r="JT191">
        <f t="shared" si="144"/>
        <v>1.8932840686807215</v>
      </c>
      <c r="JU191">
        <f t="shared" si="144"/>
        <v>1.8932840686807215</v>
      </c>
      <c r="JV191">
        <f t="shared" si="144"/>
        <v>1.8932840686807215</v>
      </c>
      <c r="JW191">
        <f t="shared" si="144"/>
        <v>1.8932840686807215</v>
      </c>
      <c r="JX191">
        <f t="shared" si="144"/>
        <v>1.8932840686807215</v>
      </c>
      <c r="JY191">
        <f t="shared" si="144"/>
        <v>1.8932840686807215</v>
      </c>
      <c r="JZ191">
        <f t="shared" si="144"/>
        <v>1.8932840686807215</v>
      </c>
      <c r="KA191">
        <f t="shared" si="144"/>
        <v>1.8932840686807215</v>
      </c>
      <c r="KB191">
        <f t="shared" si="144"/>
        <v>1.8932840686807215</v>
      </c>
      <c r="KC191">
        <f t="shared" si="144"/>
        <v>1.8932840686807215</v>
      </c>
      <c r="KD191">
        <f t="shared" si="144"/>
        <v>1.8932840686807215</v>
      </c>
      <c r="KE191">
        <f t="shared" si="144"/>
        <v>1.8932840686807215</v>
      </c>
      <c r="KF191">
        <f t="shared" si="144"/>
        <v>1.8932840686807215</v>
      </c>
      <c r="KG191">
        <f t="shared" si="144"/>
        <v>1.9793523147141925</v>
      </c>
      <c r="KH191">
        <f t="shared" si="144"/>
        <v>1.9793523147141925</v>
      </c>
      <c r="KI191">
        <f t="shared" si="144"/>
        <v>1.9793523147141925</v>
      </c>
      <c r="KJ191">
        <f t="shared" si="144"/>
        <v>1.9793523147141925</v>
      </c>
      <c r="KK191">
        <f t="shared" si="144"/>
        <v>1.9793523147141925</v>
      </c>
      <c r="KL191">
        <f t="shared" si="144"/>
        <v>1.9793523147141925</v>
      </c>
      <c r="KM191">
        <f t="shared" si="144"/>
        <v>1.8932840686807215</v>
      </c>
      <c r="KN191">
        <f t="shared" si="144"/>
        <v>1.8932840686807215</v>
      </c>
      <c r="KO191">
        <f t="shared" si="144"/>
        <v>1.8932840686807215</v>
      </c>
      <c r="KP191">
        <f t="shared" si="144"/>
        <v>1.8932840686807215</v>
      </c>
      <c r="KQ191">
        <f t="shared" si="144"/>
        <v>1.8932840686807215</v>
      </c>
      <c r="KR191">
        <f t="shared" si="144"/>
        <v>1.9793523147141925</v>
      </c>
      <c r="KS191">
        <f t="shared" si="144"/>
        <v>1.9793523147141925</v>
      </c>
      <c r="KT191">
        <f t="shared" si="144"/>
        <v>1.9793523147141925</v>
      </c>
      <c r="KU191">
        <f t="shared" si="144"/>
        <v>1.9793523147141925</v>
      </c>
      <c r="KV191">
        <f t="shared" si="144"/>
        <v>1.9793523147141925</v>
      </c>
      <c r="KW191">
        <f t="shared" si="144"/>
        <v>1.6187785264073027</v>
      </c>
      <c r="KX191">
        <f t="shared" si="144"/>
        <v>1.9100195609650077</v>
      </c>
      <c r="KY191">
        <f t="shared" si="144"/>
        <v>1.9793523147141925</v>
      </c>
      <c r="KZ191">
        <f t="shared" si="144"/>
        <v>1.8932840686807215</v>
      </c>
      <c r="LA191">
        <f t="shared" si="144"/>
        <v>1.8932840686807215</v>
      </c>
      <c r="LB191">
        <f t="shared" si="144"/>
        <v>1.8932840686807215</v>
      </c>
      <c r="LC191">
        <f t="shared" si="144"/>
        <v>1.8932840686807215</v>
      </c>
      <c r="LD191">
        <f t="shared" si="144"/>
        <v>1.8932840686807215</v>
      </c>
      <c r="LE191">
        <f t="shared" si="144"/>
        <v>1.8932840686807215</v>
      </c>
      <c r="LF191">
        <f t="shared" si="144"/>
        <v>1.8932840686807215</v>
      </c>
      <c r="LG191">
        <f t="shared" si="144"/>
        <v>1.8932840686807215</v>
      </c>
      <c r="LH191">
        <f t="shared" si="144"/>
        <v>1.8932840686807215</v>
      </c>
      <c r="LI191">
        <f t="shared" si="144"/>
        <v>1.8932840686807215</v>
      </c>
      <c r="LJ191">
        <f t="shared" si="144"/>
        <v>1.9793523147141925</v>
      </c>
      <c r="LK191">
        <f t="shared" si="144"/>
        <v>1.9793523147141925</v>
      </c>
      <c r="LL191">
        <f t="shared" ref="LL191:NW191" si="145">LL190/LL40</f>
        <v>1.8932840686807215</v>
      </c>
      <c r="LM191">
        <f t="shared" si="145"/>
        <v>1.9037165833514453</v>
      </c>
      <c r="LN191">
        <f t="shared" si="145"/>
        <v>1.8932840686807215</v>
      </c>
      <c r="LO191">
        <f t="shared" si="145"/>
        <v>1.8932840686807215</v>
      </c>
      <c r="LP191">
        <f t="shared" si="145"/>
        <v>1.8963268854596826</v>
      </c>
      <c r="LQ191">
        <f t="shared" si="145"/>
        <v>1.9793523147141925</v>
      </c>
      <c r="LR191">
        <f t="shared" si="145"/>
        <v>1.9794029850746269</v>
      </c>
      <c r="LS191">
        <f t="shared" si="145"/>
        <v>1.811345359704412</v>
      </c>
      <c r="LT191">
        <f t="shared" si="145"/>
        <v>1.7326668115627037</v>
      </c>
      <c r="LU191">
        <f t="shared" si="145"/>
        <v>1.7326668115627037</v>
      </c>
      <c r="LV191">
        <f t="shared" si="145"/>
        <v>1.811345359704412</v>
      </c>
      <c r="LW191">
        <f t="shared" si="145"/>
        <v>1.811345359704412</v>
      </c>
      <c r="LX191">
        <f t="shared" si="145"/>
        <v>1.7326668115627037</v>
      </c>
      <c r="LY191">
        <f t="shared" si="145"/>
        <v>1.7326668115627037</v>
      </c>
      <c r="LZ191">
        <f t="shared" si="145"/>
        <v>1.811345359704412</v>
      </c>
      <c r="MA191">
        <f t="shared" si="145"/>
        <v>1.5203216692023473</v>
      </c>
      <c r="MB191">
        <f t="shared" si="145"/>
        <v>1.7372310367311454</v>
      </c>
      <c r="MC191">
        <f t="shared" si="145"/>
        <v>1.811345359704412</v>
      </c>
      <c r="MD191">
        <f t="shared" si="145"/>
        <v>1.7509237122364703</v>
      </c>
      <c r="ME191">
        <f t="shared" si="145"/>
        <v>1.7487502716800696</v>
      </c>
      <c r="MF191">
        <f t="shared" si="145"/>
        <v>1.811345359704412</v>
      </c>
      <c r="MG191">
        <f t="shared" si="145"/>
        <v>2.14</v>
      </c>
      <c r="MH191">
        <f t="shared" si="145"/>
        <v>2.1399695718322103</v>
      </c>
      <c r="MI191">
        <f t="shared" si="145"/>
        <v>2.1399695718322103</v>
      </c>
      <c r="MJ191">
        <f t="shared" si="145"/>
        <v>2.1399695718322103</v>
      </c>
      <c r="MK191">
        <f t="shared" si="145"/>
        <v>2.1399695718322103</v>
      </c>
      <c r="ML191">
        <f t="shared" si="145"/>
        <v>2.1399695718322103</v>
      </c>
      <c r="MM191">
        <f t="shared" si="145"/>
        <v>2.1399695718322103</v>
      </c>
      <c r="MN191">
        <f t="shared" si="145"/>
        <v>2.1399695718322103</v>
      </c>
      <c r="MO191">
        <f t="shared" si="145"/>
        <v>2.1399695718322103</v>
      </c>
      <c r="MP191">
        <f t="shared" si="145"/>
        <v>2.1399695718322103</v>
      </c>
      <c r="MQ191">
        <f t="shared" si="145"/>
        <v>2.0565094544664202</v>
      </c>
      <c r="MR191">
        <f t="shared" si="145"/>
        <v>2.0565094544664202</v>
      </c>
      <c r="MS191">
        <f t="shared" si="145"/>
        <v>2.0565094544664202</v>
      </c>
      <c r="MT191">
        <f t="shared" si="145"/>
        <v>2.0565094544664202</v>
      </c>
      <c r="MU191">
        <f t="shared" si="145"/>
        <v>2.0565094544664202</v>
      </c>
      <c r="MV191">
        <f t="shared" si="145"/>
        <v>2.0565094544664202</v>
      </c>
      <c r="MW191">
        <f t="shared" si="145"/>
        <v>2.0565094544664202</v>
      </c>
      <c r="MX191">
        <f t="shared" si="145"/>
        <v>2.0565094544664202</v>
      </c>
      <c r="MY191">
        <f t="shared" si="145"/>
        <v>2.0565094544664202</v>
      </c>
      <c r="MZ191">
        <f t="shared" si="145"/>
        <v>2.0565094544664202</v>
      </c>
      <c r="NA191">
        <f t="shared" si="145"/>
        <v>2.0565094544664202</v>
      </c>
      <c r="NB191">
        <f t="shared" si="145"/>
        <v>2.0565094544664202</v>
      </c>
      <c r="NC191">
        <f t="shared" si="145"/>
        <v>2.0565094544664202</v>
      </c>
      <c r="ND191">
        <f t="shared" si="145"/>
        <v>2.0565094544664202</v>
      </c>
      <c r="NE191">
        <f t="shared" si="145"/>
        <v>2.0565094544664202</v>
      </c>
      <c r="NF191">
        <f t="shared" si="145"/>
        <v>2.0565094544664202</v>
      </c>
      <c r="NG191">
        <f t="shared" si="145"/>
        <v>2.0565094544664202</v>
      </c>
      <c r="NH191">
        <f t="shared" si="145"/>
        <v>2.0565094544664202</v>
      </c>
      <c r="NI191">
        <f t="shared" si="145"/>
        <v>2.0565094544664202</v>
      </c>
      <c r="NJ191">
        <f t="shared" si="145"/>
        <v>2.0565094544664202</v>
      </c>
      <c r="NK191">
        <f t="shared" si="145"/>
        <v>2.0565094544664202</v>
      </c>
      <c r="NL191">
        <f t="shared" si="145"/>
        <v>2.0565094544664202</v>
      </c>
      <c r="NM191">
        <f t="shared" si="145"/>
        <v>2.0565094544664202</v>
      </c>
      <c r="NN191">
        <f t="shared" si="145"/>
        <v>2.0565094544664202</v>
      </c>
      <c r="NO191">
        <f t="shared" si="145"/>
        <v>2.1399695718322103</v>
      </c>
      <c r="NP191">
        <f t="shared" si="145"/>
        <v>2.0565094544664202</v>
      </c>
      <c r="NQ191">
        <f t="shared" si="145"/>
        <v>2.0565094544664202</v>
      </c>
      <c r="NR191">
        <f t="shared" si="145"/>
        <v>2.0565094544664202</v>
      </c>
      <c r="NS191">
        <f t="shared" si="145"/>
        <v>2.0565094544664202</v>
      </c>
      <c r="NT191">
        <f t="shared" si="145"/>
        <v>2.0565094544664202</v>
      </c>
      <c r="NU191">
        <f t="shared" si="145"/>
        <v>2.0565094544664202</v>
      </c>
      <c r="NV191">
        <f t="shared" si="145"/>
        <v>2.0565094544664202</v>
      </c>
      <c r="NW191">
        <f t="shared" si="145"/>
        <v>2.0565094544664202</v>
      </c>
      <c r="NX191">
        <f t="shared" ref="NX191:QI191" si="146">NX190/NX40</f>
        <v>2.0565094544664202</v>
      </c>
      <c r="NY191">
        <f t="shared" si="146"/>
        <v>2.0565094544664202</v>
      </c>
      <c r="NZ191">
        <f t="shared" si="146"/>
        <v>2.0565094544664202</v>
      </c>
      <c r="OA191">
        <f t="shared" si="146"/>
        <v>2.1399695718322103</v>
      </c>
      <c r="OB191">
        <f t="shared" si="146"/>
        <v>2.1399695718322103</v>
      </c>
      <c r="OC191">
        <f t="shared" si="146"/>
        <v>2.1399695718322103</v>
      </c>
      <c r="OD191">
        <f t="shared" si="146"/>
        <v>2.0565094544664202</v>
      </c>
      <c r="OE191">
        <f t="shared" si="146"/>
        <v>2.0565094544664202</v>
      </c>
      <c r="OF191">
        <f t="shared" si="146"/>
        <v>1.8143881764833731</v>
      </c>
      <c r="OG191">
        <f t="shared" si="146"/>
        <v>2.0906324712019124</v>
      </c>
      <c r="OH191">
        <f t="shared" si="146"/>
        <v>2.0565094544664202</v>
      </c>
      <c r="OI191">
        <f t="shared" si="146"/>
        <v>2.0565094544664202</v>
      </c>
      <c r="OJ191">
        <f t="shared" si="146"/>
        <v>2.0565094544664202</v>
      </c>
      <c r="OK191">
        <f t="shared" si="146"/>
        <v>2.0565094544664202</v>
      </c>
      <c r="OL191">
        <f t="shared" si="146"/>
        <v>2.0565094544664202</v>
      </c>
      <c r="OM191">
        <f t="shared" si="146"/>
        <v>2.0565094544664202</v>
      </c>
      <c r="ON191">
        <f t="shared" si="146"/>
        <v>2.0565094544664202</v>
      </c>
      <c r="OO191">
        <f t="shared" si="146"/>
        <v>2.0565094544664202</v>
      </c>
      <c r="OP191">
        <f t="shared" si="146"/>
        <v>2.0565094544664202</v>
      </c>
      <c r="OQ191">
        <f t="shared" si="146"/>
        <v>2.0565094544664202</v>
      </c>
      <c r="OR191">
        <f t="shared" si="146"/>
        <v>2.0565094544664202</v>
      </c>
      <c r="OS191">
        <f t="shared" si="146"/>
        <v>2.1399695718322103</v>
      </c>
      <c r="OT191">
        <f t="shared" si="146"/>
        <v>2.1399695718322103</v>
      </c>
      <c r="OU191">
        <f t="shared" si="146"/>
        <v>2.0565094544664202</v>
      </c>
      <c r="OV191">
        <f t="shared" si="146"/>
        <v>2.0534666376874591</v>
      </c>
      <c r="OW191">
        <f t="shared" si="146"/>
        <v>2.0565094544664202</v>
      </c>
      <c r="OX191">
        <f t="shared" si="146"/>
        <v>2.0565094544664202</v>
      </c>
      <c r="OY191">
        <f t="shared" si="146"/>
        <v>2.0595522712453813</v>
      </c>
      <c r="OZ191">
        <f t="shared" si="146"/>
        <v>2.0947620082590741</v>
      </c>
      <c r="PA191">
        <f t="shared" si="146"/>
        <v>2.093731343283582</v>
      </c>
      <c r="PB191">
        <f t="shared" si="146"/>
        <v>2.1399695718322103</v>
      </c>
      <c r="PC191">
        <f t="shared" si="146"/>
        <v>2.0565094544664202</v>
      </c>
      <c r="PD191">
        <f t="shared" si="146"/>
        <v>2.1399695718322103</v>
      </c>
      <c r="PE191">
        <f t="shared" si="146"/>
        <v>2.0565094544664202</v>
      </c>
      <c r="PF191">
        <f t="shared" si="146"/>
        <v>2.0565094544664202</v>
      </c>
      <c r="PG191">
        <f t="shared" si="146"/>
        <v>2.0565094544664202</v>
      </c>
      <c r="PH191">
        <f t="shared" si="146"/>
        <v>2.0565094544664202</v>
      </c>
      <c r="PI191">
        <f t="shared" si="146"/>
        <v>2.0565094544664202</v>
      </c>
      <c r="PJ191">
        <f t="shared" si="146"/>
        <v>1.8635079330580309</v>
      </c>
      <c r="PK191">
        <f t="shared" si="146"/>
        <v>2.0612910236905022</v>
      </c>
      <c r="PL191">
        <f t="shared" si="146"/>
        <v>2.1249728319930452</v>
      </c>
      <c r="PM191">
        <f t="shared" si="146"/>
        <v>2.0565094544664202</v>
      </c>
      <c r="PN191">
        <f t="shared" si="146"/>
        <v>2.0736796348619864</v>
      </c>
      <c r="PO191">
        <f t="shared" si="146"/>
        <v>2.1084546837643989</v>
      </c>
      <c r="PP191">
        <f t="shared" si="146"/>
        <v>2.17</v>
      </c>
      <c r="PQ191">
        <f t="shared" si="146"/>
        <v>2.1701803955661814</v>
      </c>
      <c r="PR191">
        <f t="shared" si="146"/>
        <v>2.1701803955661814</v>
      </c>
      <c r="PS191">
        <f t="shared" si="146"/>
        <v>2.1701803955661814</v>
      </c>
      <c r="PT191">
        <f t="shared" si="146"/>
        <v>2.1701803955661814</v>
      </c>
      <c r="PU191">
        <f t="shared" si="146"/>
        <v>2.1701803955661814</v>
      </c>
      <c r="PV191">
        <f t="shared" si="146"/>
        <v>2.1701803955661814</v>
      </c>
      <c r="PW191">
        <f t="shared" si="146"/>
        <v>2.1701803955661814</v>
      </c>
      <c r="PX191">
        <f t="shared" si="146"/>
        <v>2.1701803955661814</v>
      </c>
      <c r="PY191">
        <f t="shared" si="146"/>
        <v>2.1701803955661814</v>
      </c>
      <c r="PZ191">
        <f t="shared" si="146"/>
        <v>2.0817213649206696</v>
      </c>
      <c r="QA191">
        <f t="shared" si="146"/>
        <v>2.0817213649206696</v>
      </c>
      <c r="QB191">
        <f t="shared" si="146"/>
        <v>2.0817213649206696</v>
      </c>
      <c r="QC191">
        <f t="shared" si="146"/>
        <v>2.0817213649206696</v>
      </c>
      <c r="QD191">
        <f t="shared" si="146"/>
        <v>2.0817213649206696</v>
      </c>
      <c r="QE191">
        <f t="shared" si="146"/>
        <v>2.0817213649206696</v>
      </c>
      <c r="QF191">
        <f t="shared" si="146"/>
        <v>2.0817213649206696</v>
      </c>
      <c r="QG191">
        <f t="shared" si="146"/>
        <v>2.0817213649206696</v>
      </c>
      <c r="QH191">
        <f t="shared" si="146"/>
        <v>2.0817213649206696</v>
      </c>
      <c r="QI191">
        <f t="shared" si="146"/>
        <v>2.0817213649206696</v>
      </c>
      <c r="QJ191">
        <f t="shared" ref="QJ191:SU191" si="147">QJ190/QJ40</f>
        <v>2.0817213649206696</v>
      </c>
      <c r="QK191">
        <f t="shared" si="147"/>
        <v>2.0817213649206696</v>
      </c>
      <c r="QL191">
        <f t="shared" si="147"/>
        <v>2.0817213649206696</v>
      </c>
      <c r="QM191">
        <f t="shared" si="147"/>
        <v>2.0817213649206696</v>
      </c>
      <c r="QN191">
        <f t="shared" si="147"/>
        <v>2.0817213649206696</v>
      </c>
      <c r="QO191">
        <f t="shared" si="147"/>
        <v>2.0817213649206696</v>
      </c>
      <c r="QP191">
        <f t="shared" si="147"/>
        <v>2.0817213649206696</v>
      </c>
      <c r="QQ191">
        <f t="shared" si="147"/>
        <v>2.0817213649206696</v>
      </c>
      <c r="QR191">
        <f t="shared" si="147"/>
        <v>2.0817213649206696</v>
      </c>
      <c r="QS191">
        <f t="shared" si="147"/>
        <v>2.0817213649206696</v>
      </c>
      <c r="QT191">
        <f t="shared" si="147"/>
        <v>2.0817213649206696</v>
      </c>
      <c r="QU191">
        <f t="shared" si="147"/>
        <v>2.0817213649206696</v>
      </c>
      <c r="QV191">
        <f t="shared" si="147"/>
        <v>2.0817213649206696</v>
      </c>
      <c r="QW191">
        <f t="shared" si="147"/>
        <v>2.0817213649206696</v>
      </c>
      <c r="QX191">
        <f t="shared" si="147"/>
        <v>2.1701803955661814</v>
      </c>
      <c r="QY191">
        <f t="shared" si="147"/>
        <v>2.0817213649206696</v>
      </c>
      <c r="QZ191">
        <f t="shared" si="147"/>
        <v>2.0817213649206696</v>
      </c>
      <c r="RA191">
        <f t="shared" si="147"/>
        <v>2.0817213649206696</v>
      </c>
      <c r="RB191">
        <f t="shared" si="147"/>
        <v>2.0817213649206696</v>
      </c>
      <c r="RC191">
        <f t="shared" si="147"/>
        <v>2.0817213649206696</v>
      </c>
      <c r="RD191">
        <f t="shared" si="147"/>
        <v>2.0817213649206696</v>
      </c>
      <c r="RE191">
        <f t="shared" si="147"/>
        <v>2.0817213649206696</v>
      </c>
      <c r="RF191">
        <f t="shared" si="147"/>
        <v>2.0817213649206696</v>
      </c>
      <c r="RG191">
        <f t="shared" si="147"/>
        <v>2.0817213649206696</v>
      </c>
      <c r="RH191">
        <f t="shared" si="147"/>
        <v>2.0817213649206696</v>
      </c>
      <c r="RI191">
        <f t="shared" si="147"/>
        <v>2.0817213649206696</v>
      </c>
      <c r="RJ191">
        <f t="shared" si="147"/>
        <v>2.1701803955661814</v>
      </c>
      <c r="RK191">
        <f t="shared" si="147"/>
        <v>2.1701803955661814</v>
      </c>
      <c r="RL191">
        <f t="shared" si="147"/>
        <v>2.1701803955661814</v>
      </c>
      <c r="RM191">
        <f t="shared" si="147"/>
        <v>2.0817213649206696</v>
      </c>
      <c r="RN191">
        <f t="shared" si="147"/>
        <v>2.0817213649206696</v>
      </c>
      <c r="RO191">
        <f t="shared" si="147"/>
        <v>1.8252553792653772</v>
      </c>
      <c r="RP191">
        <f t="shared" si="147"/>
        <v>2.1180178222125625</v>
      </c>
      <c r="RQ191">
        <f t="shared" si="147"/>
        <v>2.0817213649206696</v>
      </c>
      <c r="RR191">
        <f t="shared" si="147"/>
        <v>2.0817213649206696</v>
      </c>
      <c r="RS191">
        <f t="shared" si="147"/>
        <v>2.0817213649206696</v>
      </c>
      <c r="RT191">
        <f t="shared" si="147"/>
        <v>2.0817213649206696</v>
      </c>
      <c r="RU191">
        <f t="shared" si="147"/>
        <v>2.0817213649206696</v>
      </c>
      <c r="RV191">
        <f t="shared" si="147"/>
        <v>2.0817213649206696</v>
      </c>
      <c r="RW191">
        <f t="shared" si="147"/>
        <v>2.0817213649206696</v>
      </c>
      <c r="RX191">
        <f t="shared" si="147"/>
        <v>2.0817213649206696</v>
      </c>
      <c r="RY191">
        <f t="shared" si="147"/>
        <v>2.0817213649206696</v>
      </c>
      <c r="RZ191">
        <f t="shared" si="147"/>
        <v>2.0817213649206696</v>
      </c>
      <c r="SA191">
        <f t="shared" si="147"/>
        <v>2.0817213649206696</v>
      </c>
      <c r="SB191">
        <f t="shared" si="147"/>
        <v>2.1701803955661814</v>
      </c>
      <c r="SC191">
        <f t="shared" si="147"/>
        <v>2.1701803955661814</v>
      </c>
      <c r="SD191">
        <f t="shared" si="147"/>
        <v>2.0817213649206696</v>
      </c>
      <c r="SE191">
        <f t="shared" si="147"/>
        <v>2.0786785481417085</v>
      </c>
      <c r="SF191">
        <f t="shared" si="147"/>
        <v>2.0817213649206696</v>
      </c>
      <c r="SG191">
        <f t="shared" si="147"/>
        <v>2.0817213649206696</v>
      </c>
      <c r="SH191">
        <f t="shared" si="147"/>
        <v>2.0847641816996307</v>
      </c>
      <c r="SI191">
        <f t="shared" si="147"/>
        <v>2.1223647033253639</v>
      </c>
      <c r="SJ191">
        <f t="shared" si="147"/>
        <v>2.1208955223880599</v>
      </c>
      <c r="SK191">
        <f t="shared" si="147"/>
        <v>2.1701803955661814</v>
      </c>
      <c r="SL191">
        <f t="shared" si="147"/>
        <v>2.0817213649206696</v>
      </c>
      <c r="SM191">
        <f t="shared" si="147"/>
        <v>2.1701803955661814</v>
      </c>
      <c r="SN191">
        <f t="shared" si="147"/>
        <v>2.0817213649206696</v>
      </c>
      <c r="SO191">
        <f t="shared" si="147"/>
        <v>2.0817213649206696</v>
      </c>
      <c r="SP191">
        <f t="shared" si="147"/>
        <v>2.0817213649206696</v>
      </c>
      <c r="SQ191">
        <f t="shared" si="147"/>
        <v>2.0817213649206696</v>
      </c>
      <c r="SR191">
        <f t="shared" si="147"/>
        <v>2.0817213649206696</v>
      </c>
      <c r="SS191">
        <f t="shared" si="147"/>
        <v>1.8772006085633557</v>
      </c>
      <c r="ST191">
        <f t="shared" si="147"/>
        <v>2.0869376222560314</v>
      </c>
      <c r="SU191">
        <f t="shared" si="147"/>
        <v>2.1543142795044554</v>
      </c>
      <c r="SV191">
        <f t="shared" ref="SV191:VG191" si="148">SV190/SV40</f>
        <v>2.0817213649206696</v>
      </c>
      <c r="SW191">
        <f t="shared" si="148"/>
        <v>2.0999782655944359</v>
      </c>
      <c r="SX191">
        <f t="shared" si="148"/>
        <v>2.136709410997609</v>
      </c>
      <c r="SY191">
        <f t="shared" si="148"/>
        <v>2.1560000000000001</v>
      </c>
      <c r="SZ191">
        <f t="shared" si="148"/>
        <v>2.1558356878939362</v>
      </c>
      <c r="TA191">
        <f t="shared" si="148"/>
        <v>2.1558356878939362</v>
      </c>
      <c r="TB191">
        <f t="shared" si="148"/>
        <v>2.1558356878939362</v>
      </c>
      <c r="TC191">
        <f t="shared" si="148"/>
        <v>2.1558356878939362</v>
      </c>
      <c r="TD191">
        <f t="shared" si="148"/>
        <v>2.1558356878939362</v>
      </c>
      <c r="TE191">
        <f t="shared" si="148"/>
        <v>2.1558356878939362</v>
      </c>
      <c r="TF191">
        <f t="shared" si="148"/>
        <v>2.1558356878939362</v>
      </c>
      <c r="TG191">
        <f t="shared" si="148"/>
        <v>2.1558356878939362</v>
      </c>
      <c r="TH191">
        <f t="shared" si="148"/>
        <v>2.1558356878939362</v>
      </c>
      <c r="TI191">
        <f t="shared" si="148"/>
        <v>2.0680286894153443</v>
      </c>
      <c r="TJ191">
        <f t="shared" si="148"/>
        <v>2.0680286894153443</v>
      </c>
      <c r="TK191">
        <f t="shared" si="148"/>
        <v>2.0680286894153443</v>
      </c>
      <c r="TL191">
        <f t="shared" si="148"/>
        <v>2.0680286894153443</v>
      </c>
      <c r="TM191">
        <f t="shared" si="148"/>
        <v>2.0680286894153443</v>
      </c>
      <c r="TN191">
        <f t="shared" si="148"/>
        <v>2.0680286894153443</v>
      </c>
      <c r="TO191">
        <f t="shared" si="148"/>
        <v>2.0680286894153443</v>
      </c>
      <c r="TP191">
        <f t="shared" si="148"/>
        <v>2.0680286894153443</v>
      </c>
      <c r="TQ191">
        <f t="shared" si="148"/>
        <v>2.0680286894153443</v>
      </c>
      <c r="TR191">
        <f t="shared" si="148"/>
        <v>2.0680286894153443</v>
      </c>
      <c r="TS191">
        <f t="shared" si="148"/>
        <v>2.0680286894153443</v>
      </c>
      <c r="TT191">
        <f t="shared" si="148"/>
        <v>2.0680286894153443</v>
      </c>
      <c r="TU191">
        <f t="shared" si="148"/>
        <v>2.0680286894153443</v>
      </c>
      <c r="TV191">
        <f t="shared" si="148"/>
        <v>2.0680286894153443</v>
      </c>
      <c r="TW191">
        <f t="shared" si="148"/>
        <v>2.0680286894153443</v>
      </c>
      <c r="TX191">
        <f t="shared" si="148"/>
        <v>2.0680286894153443</v>
      </c>
      <c r="TY191">
        <f t="shared" si="148"/>
        <v>2.0680286894153443</v>
      </c>
      <c r="TZ191">
        <f t="shared" si="148"/>
        <v>2.0680286894153443</v>
      </c>
      <c r="UA191">
        <f t="shared" si="148"/>
        <v>2.0680286894153443</v>
      </c>
      <c r="UB191">
        <f t="shared" si="148"/>
        <v>2.0680286894153443</v>
      </c>
      <c r="UC191">
        <f t="shared" si="148"/>
        <v>2.0680286894153443</v>
      </c>
      <c r="UD191">
        <f t="shared" si="148"/>
        <v>2.0680286894153443</v>
      </c>
      <c r="UE191">
        <f t="shared" si="148"/>
        <v>2.0680286894153443</v>
      </c>
      <c r="UF191">
        <f t="shared" si="148"/>
        <v>2.0680286894153443</v>
      </c>
      <c r="UG191">
        <f t="shared" si="148"/>
        <v>2.0680286894153443</v>
      </c>
      <c r="UH191">
        <f t="shared" si="148"/>
        <v>2.0680286894153443</v>
      </c>
      <c r="UI191">
        <f t="shared" si="148"/>
        <v>2.0680286894153443</v>
      </c>
      <c r="UJ191">
        <f t="shared" si="148"/>
        <v>2.0680286894153443</v>
      </c>
      <c r="UK191">
        <f t="shared" si="148"/>
        <v>2.0680286894153443</v>
      </c>
      <c r="UL191">
        <f t="shared" si="148"/>
        <v>2.0680286894153443</v>
      </c>
      <c r="UM191">
        <f t="shared" si="148"/>
        <v>2.0680286894153443</v>
      </c>
      <c r="UN191">
        <f t="shared" si="148"/>
        <v>2.0680286894153443</v>
      </c>
      <c r="UO191">
        <f t="shared" si="148"/>
        <v>2.0680286894153443</v>
      </c>
      <c r="UP191">
        <f t="shared" si="148"/>
        <v>2.0680286894153443</v>
      </c>
      <c r="UQ191">
        <f t="shared" si="148"/>
        <v>2.0680286894153443</v>
      </c>
      <c r="UR191">
        <f t="shared" si="148"/>
        <v>2.0680286894153443</v>
      </c>
      <c r="US191">
        <f t="shared" si="148"/>
        <v>2.1558356878939362</v>
      </c>
      <c r="UT191">
        <f t="shared" si="148"/>
        <v>2.1558356878939362</v>
      </c>
      <c r="UU191">
        <f t="shared" si="148"/>
        <v>2.1558356878939362</v>
      </c>
      <c r="UV191">
        <f t="shared" si="148"/>
        <v>2.0680286894153443</v>
      </c>
      <c r="UW191">
        <f t="shared" si="148"/>
        <v>2.0680286894153443</v>
      </c>
      <c r="UX191">
        <f t="shared" si="148"/>
        <v>1.7880895457509236</v>
      </c>
      <c r="UY191">
        <f t="shared" si="148"/>
        <v>2.0851988698109105</v>
      </c>
      <c r="UZ191">
        <f t="shared" si="148"/>
        <v>2.0680286894153443</v>
      </c>
      <c r="VA191">
        <f t="shared" si="148"/>
        <v>2.0680286894153443</v>
      </c>
      <c r="VB191">
        <f t="shared" si="148"/>
        <v>2.0680286894153443</v>
      </c>
      <c r="VC191">
        <f t="shared" si="148"/>
        <v>2.0680286894153443</v>
      </c>
      <c r="VD191">
        <f t="shared" si="148"/>
        <v>2.0680286894153443</v>
      </c>
      <c r="VE191">
        <f t="shared" si="148"/>
        <v>2.0680286894153443</v>
      </c>
      <c r="VF191">
        <f t="shared" si="148"/>
        <v>2.0680286894153443</v>
      </c>
      <c r="VG191">
        <f t="shared" si="148"/>
        <v>2.0680286894153443</v>
      </c>
      <c r="VH191">
        <f t="shared" ref="VH191:XS191" si="149">VH190/VH40</f>
        <v>2.0680286894153443</v>
      </c>
      <c r="VI191">
        <f t="shared" si="149"/>
        <v>2.0680286894153443</v>
      </c>
      <c r="VJ191">
        <f t="shared" si="149"/>
        <v>2.0680286894153443</v>
      </c>
      <c r="VK191">
        <f t="shared" si="149"/>
        <v>2.1558356878939362</v>
      </c>
      <c r="VL191">
        <f t="shared" si="149"/>
        <v>2.1558356878939362</v>
      </c>
      <c r="VM191">
        <f t="shared" si="149"/>
        <v>2.0680286894153443</v>
      </c>
      <c r="VN191">
        <f t="shared" si="149"/>
        <v>2.0408606824603348</v>
      </c>
      <c r="VO191">
        <f t="shared" si="149"/>
        <v>2.0680286894153443</v>
      </c>
      <c r="VP191">
        <f t="shared" si="149"/>
        <v>2.0680286894153443</v>
      </c>
      <c r="VQ191">
        <f t="shared" si="149"/>
        <v>2.0712888502499456</v>
      </c>
      <c r="VR191">
        <f t="shared" si="149"/>
        <v>2.1084546837643989</v>
      </c>
      <c r="VS191">
        <f t="shared" si="149"/>
        <v>2.1068656716417911</v>
      </c>
      <c r="VT191">
        <f t="shared" si="149"/>
        <v>2.1558356878939362</v>
      </c>
      <c r="VU191">
        <f t="shared" si="149"/>
        <v>2.0680286894153443</v>
      </c>
      <c r="VV191">
        <f t="shared" si="149"/>
        <v>2.0680286894153443</v>
      </c>
      <c r="VW191">
        <f t="shared" si="149"/>
        <v>2.0680286894153443</v>
      </c>
      <c r="VX191">
        <f t="shared" si="149"/>
        <v>2.0680286894153443</v>
      </c>
      <c r="VY191">
        <f t="shared" si="149"/>
        <v>2.0680286894153443</v>
      </c>
      <c r="VZ191">
        <f t="shared" si="149"/>
        <v>2.0680286894153443</v>
      </c>
      <c r="WA191">
        <f t="shared" si="149"/>
        <v>2.0680286894153443</v>
      </c>
      <c r="WB191">
        <f t="shared" si="149"/>
        <v>1.8315583568789393</v>
      </c>
      <c r="WC191">
        <f t="shared" si="149"/>
        <v>2.0732449467507066</v>
      </c>
      <c r="WD191">
        <f t="shared" si="149"/>
        <v>2.1401869158878504</v>
      </c>
      <c r="WE191">
        <f t="shared" si="149"/>
        <v>2.0680286894153443</v>
      </c>
      <c r="WF191">
        <f t="shared" si="149"/>
        <v>2.0862855900891111</v>
      </c>
      <c r="WG191">
        <f t="shared" si="149"/>
        <v>2.1227993914366441</v>
      </c>
      <c r="WH191">
        <f t="shared" si="149"/>
        <v>1.738</v>
      </c>
      <c r="WI191">
        <f t="shared" si="149"/>
        <v>1.7385351010649859</v>
      </c>
      <c r="WJ191">
        <f t="shared" si="149"/>
        <v>1.7385351010649859</v>
      </c>
      <c r="WK191">
        <f t="shared" si="149"/>
        <v>1.7385351010649859</v>
      </c>
      <c r="WL191">
        <f t="shared" si="149"/>
        <v>1.7385351010649859</v>
      </c>
      <c r="WM191">
        <f t="shared" si="149"/>
        <v>1.7385351010649859</v>
      </c>
      <c r="WN191">
        <f t="shared" si="149"/>
        <v>1.7385351010649859</v>
      </c>
      <c r="WO191">
        <f t="shared" si="149"/>
        <v>1.7385351010649859</v>
      </c>
      <c r="WP191">
        <f t="shared" si="149"/>
        <v>1.7385351010649859</v>
      </c>
      <c r="WQ191">
        <f t="shared" si="149"/>
        <v>1.7385351010649859</v>
      </c>
      <c r="WR191">
        <f t="shared" si="149"/>
        <v>1.7385351010649859</v>
      </c>
      <c r="WS191">
        <f t="shared" si="149"/>
        <v>1.7385351010649859</v>
      </c>
      <c r="WT191">
        <f t="shared" si="149"/>
        <v>1.7385351010649859</v>
      </c>
      <c r="WU191">
        <f t="shared" si="149"/>
        <v>1.7385351010649859</v>
      </c>
      <c r="WV191">
        <f t="shared" si="149"/>
        <v>1.7385351010649859</v>
      </c>
      <c r="WW191">
        <f t="shared" si="149"/>
        <v>1.7385351010649859</v>
      </c>
      <c r="WX191">
        <f t="shared" si="149"/>
        <v>1.7385351010649859</v>
      </c>
      <c r="WY191">
        <f t="shared" si="149"/>
        <v>1.7385351010649859</v>
      </c>
      <c r="WZ191">
        <f t="shared" si="149"/>
        <v>1.7385351010649859</v>
      </c>
      <c r="XA191">
        <f t="shared" si="149"/>
        <v>1.7385351010649859</v>
      </c>
      <c r="XB191">
        <f t="shared" si="149"/>
        <v>1.7385351010649859</v>
      </c>
      <c r="XC191">
        <f t="shared" si="149"/>
        <v>1.7385351010649859</v>
      </c>
      <c r="XD191">
        <f t="shared" si="149"/>
        <v>1.7385351010649859</v>
      </c>
      <c r="XE191">
        <f t="shared" si="149"/>
        <v>1.7385351010649859</v>
      </c>
      <c r="XF191">
        <f t="shared" si="149"/>
        <v>1.7385351010649859</v>
      </c>
      <c r="XG191">
        <f t="shared" si="149"/>
        <v>1.7385351010649859</v>
      </c>
      <c r="XH191">
        <f t="shared" si="149"/>
        <v>1.7385351010649859</v>
      </c>
      <c r="XI191">
        <f t="shared" si="149"/>
        <v>1.7385351010649859</v>
      </c>
      <c r="XJ191">
        <f t="shared" si="149"/>
        <v>1.7385351010649859</v>
      </c>
      <c r="XK191">
        <f t="shared" si="149"/>
        <v>1.7385351010649859</v>
      </c>
      <c r="XL191">
        <f t="shared" si="149"/>
        <v>1.7385351010649859</v>
      </c>
      <c r="XM191">
        <f t="shared" si="149"/>
        <v>1.7385351010649859</v>
      </c>
      <c r="XN191">
        <f t="shared" si="149"/>
        <v>1.7385351010649859</v>
      </c>
      <c r="XO191">
        <f t="shared" si="149"/>
        <v>1.7385351010649859</v>
      </c>
      <c r="XP191">
        <f t="shared" si="149"/>
        <v>1.7385351010649859</v>
      </c>
      <c r="XQ191">
        <f t="shared" si="149"/>
        <v>1.7385351010649859</v>
      </c>
      <c r="XR191">
        <f t="shared" si="149"/>
        <v>1.7385351010649859</v>
      </c>
      <c r="XS191">
        <f t="shared" si="149"/>
        <v>1.7385351010649859</v>
      </c>
      <c r="XT191">
        <f t="shared" ref="XT191:AAE191" si="150">XT190/XT40</f>
        <v>1.7385351010649859</v>
      </c>
      <c r="XU191">
        <f t="shared" si="150"/>
        <v>1.7385351010649859</v>
      </c>
      <c r="XV191">
        <f t="shared" si="150"/>
        <v>1.7385351010649859</v>
      </c>
      <c r="XW191">
        <f t="shared" si="150"/>
        <v>1.7385351010649859</v>
      </c>
      <c r="XX191">
        <f t="shared" si="150"/>
        <v>1.7385351010649859</v>
      </c>
      <c r="XY191">
        <f t="shared" si="150"/>
        <v>1.7385351010649859</v>
      </c>
      <c r="XZ191">
        <f t="shared" si="150"/>
        <v>1.7385351010649859</v>
      </c>
      <c r="YA191">
        <f t="shared" si="150"/>
        <v>1.7385351010649859</v>
      </c>
      <c r="YB191">
        <f t="shared" si="150"/>
        <v>1.7933058030862856</v>
      </c>
      <c r="YC191">
        <f t="shared" si="150"/>
        <v>1.7933058030862856</v>
      </c>
      <c r="YD191">
        <f t="shared" si="150"/>
        <v>1.7933058030862856</v>
      </c>
      <c r="YE191">
        <f t="shared" si="150"/>
        <v>1.7385351010649859</v>
      </c>
      <c r="YF191">
        <f t="shared" si="150"/>
        <v>1.7385351010649859</v>
      </c>
      <c r="YG191">
        <f t="shared" si="150"/>
        <v>1.5631384481634427</v>
      </c>
      <c r="YH191">
        <f t="shared" si="150"/>
        <v>1.7491849597913498</v>
      </c>
      <c r="YI191">
        <f t="shared" si="150"/>
        <v>1.7385351010649859</v>
      </c>
      <c r="YJ191">
        <f t="shared" si="150"/>
        <v>1.7385351010649859</v>
      </c>
      <c r="YK191">
        <f t="shared" si="150"/>
        <v>1.7385351010649859</v>
      </c>
      <c r="YL191">
        <f t="shared" si="150"/>
        <v>1.7385351010649859</v>
      </c>
      <c r="YM191">
        <f t="shared" si="150"/>
        <v>1.7385351010649859</v>
      </c>
      <c r="YN191">
        <f t="shared" si="150"/>
        <v>1.7385351010649859</v>
      </c>
      <c r="YO191">
        <f t="shared" si="150"/>
        <v>1.7385351010649859</v>
      </c>
      <c r="YP191">
        <f t="shared" si="150"/>
        <v>1.7385351010649859</v>
      </c>
      <c r="YQ191">
        <f t="shared" si="150"/>
        <v>1.7385351010649859</v>
      </c>
      <c r="YR191">
        <f t="shared" si="150"/>
        <v>1.7385351010649859</v>
      </c>
      <c r="YS191">
        <f t="shared" si="150"/>
        <v>1.7385351010649859</v>
      </c>
      <c r="YT191">
        <f t="shared" si="150"/>
        <v>1.7933058030862856</v>
      </c>
      <c r="YU191">
        <f t="shared" si="150"/>
        <v>1.7385351010649859</v>
      </c>
      <c r="YV191">
        <f t="shared" si="150"/>
        <v>1.7385351010649859</v>
      </c>
      <c r="YW191">
        <f t="shared" si="150"/>
        <v>1.7213649206694197</v>
      </c>
      <c r="YX191">
        <f t="shared" si="150"/>
        <v>1.7385351010649859</v>
      </c>
      <c r="YY191">
        <f t="shared" si="150"/>
        <v>1.7385351010649859</v>
      </c>
      <c r="YZ191">
        <f t="shared" si="150"/>
        <v>1.7385351010649859</v>
      </c>
      <c r="ZA191">
        <f t="shared" si="150"/>
        <v>1.7385351010649859</v>
      </c>
      <c r="ZB191">
        <f t="shared" si="150"/>
        <v>1.7626865671641792</v>
      </c>
      <c r="ZC191">
        <f t="shared" si="150"/>
        <v>1.7385351010649859</v>
      </c>
      <c r="ZD191">
        <f t="shared" si="150"/>
        <v>1.7385351010649859</v>
      </c>
      <c r="ZE191">
        <f t="shared" si="150"/>
        <v>1.7385351010649859</v>
      </c>
      <c r="ZF191">
        <f t="shared" si="150"/>
        <v>1.7385351010649859</v>
      </c>
      <c r="ZG191">
        <f t="shared" si="150"/>
        <v>1.7385351010649859</v>
      </c>
      <c r="ZH191">
        <f t="shared" si="150"/>
        <v>1.7385351010649859</v>
      </c>
      <c r="ZI191">
        <f t="shared" si="150"/>
        <v>1.7385351010649859</v>
      </c>
      <c r="ZJ191">
        <f t="shared" si="150"/>
        <v>1.7385351010649859</v>
      </c>
      <c r="ZK191">
        <f t="shared" si="150"/>
        <v>1.5903064551184525</v>
      </c>
      <c r="ZL191">
        <f t="shared" si="150"/>
        <v>1.741577917843947</v>
      </c>
      <c r="ZM191">
        <f t="shared" si="150"/>
        <v>1.7835253205824821</v>
      </c>
      <c r="ZN191">
        <f t="shared" si="150"/>
        <v>1.7385351010649859</v>
      </c>
      <c r="ZO191">
        <f t="shared" si="150"/>
        <v>1.7385351010649859</v>
      </c>
      <c r="ZP191">
        <f t="shared" si="150"/>
        <v>1.7433166702890677</v>
      </c>
      <c r="ZQ191">
        <f t="shared" si="150"/>
        <v>1.8660000000000001</v>
      </c>
      <c r="ZR191">
        <f t="shared" si="150"/>
        <v>1.8658987176700716</v>
      </c>
      <c r="ZS191">
        <f t="shared" si="150"/>
        <v>1.8658987176700716</v>
      </c>
      <c r="ZT191">
        <f t="shared" si="150"/>
        <v>1.8658987176700716</v>
      </c>
      <c r="ZU191">
        <f t="shared" si="150"/>
        <v>1.8658987176700716</v>
      </c>
      <c r="ZV191">
        <f t="shared" si="150"/>
        <v>1.8658987176700716</v>
      </c>
      <c r="ZW191">
        <f t="shared" si="150"/>
        <v>1.8658987176700716</v>
      </c>
      <c r="ZX191">
        <f t="shared" si="150"/>
        <v>1.8658987176700716</v>
      </c>
      <c r="ZY191">
        <f t="shared" si="150"/>
        <v>1.8658987176700716</v>
      </c>
      <c r="ZZ191">
        <f t="shared" si="150"/>
        <v>1.8658987176700716</v>
      </c>
      <c r="AAA191">
        <f t="shared" si="150"/>
        <v>1.8658987176700716</v>
      </c>
      <c r="AAB191">
        <f t="shared" si="150"/>
        <v>1.8658987176700716</v>
      </c>
      <c r="AAC191">
        <f t="shared" si="150"/>
        <v>1.8658987176700716</v>
      </c>
      <c r="AAD191">
        <f t="shared" si="150"/>
        <v>1.8658987176700716</v>
      </c>
      <c r="AAE191">
        <f t="shared" si="150"/>
        <v>1.8658987176700716</v>
      </c>
      <c r="AAF191">
        <f t="shared" ref="AAF191:ACQ191" si="151">AAF190/AAF40</f>
        <v>1.8658987176700716</v>
      </c>
      <c r="AAG191">
        <f t="shared" si="151"/>
        <v>1.8658987176700716</v>
      </c>
      <c r="AAH191">
        <f t="shared" si="151"/>
        <v>1.8658987176700716</v>
      </c>
      <c r="AAI191">
        <f t="shared" si="151"/>
        <v>1.8658987176700716</v>
      </c>
      <c r="AAJ191">
        <f t="shared" si="151"/>
        <v>1.8658987176700716</v>
      </c>
      <c r="AAK191">
        <f t="shared" si="151"/>
        <v>1.8658987176700716</v>
      </c>
      <c r="AAL191">
        <f t="shared" si="151"/>
        <v>1.8658987176700716</v>
      </c>
      <c r="AAM191">
        <f t="shared" si="151"/>
        <v>1.8658987176700716</v>
      </c>
      <c r="AAN191">
        <f t="shared" si="151"/>
        <v>1.8658987176700716</v>
      </c>
      <c r="AAO191">
        <f t="shared" si="151"/>
        <v>1.8658987176700716</v>
      </c>
      <c r="AAP191">
        <f t="shared" si="151"/>
        <v>1.8658987176700716</v>
      </c>
      <c r="AAQ191">
        <f t="shared" si="151"/>
        <v>1.8658987176700716</v>
      </c>
      <c r="AAR191">
        <f t="shared" si="151"/>
        <v>1.8658987176700716</v>
      </c>
      <c r="AAS191">
        <f t="shared" si="151"/>
        <v>1.8658987176700716</v>
      </c>
      <c r="AAT191">
        <f t="shared" si="151"/>
        <v>1.8658987176700716</v>
      </c>
      <c r="AAU191">
        <f t="shared" si="151"/>
        <v>1.8658987176700716</v>
      </c>
      <c r="AAV191">
        <f t="shared" si="151"/>
        <v>1.8658987176700716</v>
      </c>
      <c r="AAW191">
        <f t="shared" si="151"/>
        <v>1.8658987176700716</v>
      </c>
      <c r="AAX191">
        <f t="shared" si="151"/>
        <v>1.8658987176700716</v>
      </c>
      <c r="AAY191">
        <f t="shared" si="151"/>
        <v>1.9245816126928927</v>
      </c>
      <c r="AAZ191">
        <f t="shared" si="151"/>
        <v>1.9245816126928927</v>
      </c>
      <c r="ABA191">
        <f t="shared" si="151"/>
        <v>1.9245816126928927</v>
      </c>
      <c r="ABB191">
        <f t="shared" si="151"/>
        <v>1.9245816126928927</v>
      </c>
      <c r="ABC191">
        <f t="shared" si="151"/>
        <v>1.9245816126928927</v>
      </c>
      <c r="ABD191">
        <f t="shared" si="151"/>
        <v>1.9245816126928927</v>
      </c>
      <c r="ABE191">
        <f t="shared" si="151"/>
        <v>1.9245816126928927</v>
      </c>
      <c r="ABF191">
        <f t="shared" si="151"/>
        <v>1.8658987176700716</v>
      </c>
      <c r="ABG191">
        <f t="shared" si="151"/>
        <v>1.8658987176700716</v>
      </c>
      <c r="ABH191">
        <f t="shared" si="151"/>
        <v>1.8658987176700716</v>
      </c>
      <c r="ABI191">
        <f t="shared" si="151"/>
        <v>1.8658987176700716</v>
      </c>
      <c r="ABJ191">
        <f t="shared" si="151"/>
        <v>1.9245816126928927</v>
      </c>
      <c r="ABK191">
        <f t="shared" si="151"/>
        <v>1.9245816126928927</v>
      </c>
      <c r="ABL191">
        <f t="shared" si="151"/>
        <v>1.9245816126928927</v>
      </c>
      <c r="ABM191">
        <f t="shared" si="151"/>
        <v>1.9245816126928927</v>
      </c>
      <c r="ABN191">
        <f t="shared" si="151"/>
        <v>1.9245816126928927</v>
      </c>
      <c r="ABO191">
        <f t="shared" si="151"/>
        <v>1.9245816126928927</v>
      </c>
      <c r="ABP191">
        <f t="shared" si="151"/>
        <v>1.4396870245598783</v>
      </c>
      <c r="ABQ191">
        <f t="shared" si="151"/>
        <v>1.8900239078461205</v>
      </c>
      <c r="ABR191">
        <f t="shared" si="151"/>
        <v>1.9245816126928927</v>
      </c>
      <c r="ABS191">
        <f t="shared" si="151"/>
        <v>1.8658987176700716</v>
      </c>
      <c r="ABT191">
        <f t="shared" si="151"/>
        <v>1.8658987176700716</v>
      </c>
      <c r="ABU191">
        <f t="shared" si="151"/>
        <v>1.8658987176700716</v>
      </c>
      <c r="ABV191">
        <f t="shared" si="151"/>
        <v>1.8658987176700716</v>
      </c>
      <c r="ABW191">
        <f t="shared" si="151"/>
        <v>1.8658987176700716</v>
      </c>
      <c r="ABX191">
        <f t="shared" si="151"/>
        <v>1.8658987176700716</v>
      </c>
      <c r="ABY191">
        <f t="shared" si="151"/>
        <v>1.8658987176700716</v>
      </c>
      <c r="ABZ191">
        <f t="shared" si="151"/>
        <v>1.8658987176700716</v>
      </c>
      <c r="ACA191">
        <f t="shared" si="151"/>
        <v>1.8658987176700716</v>
      </c>
      <c r="ACB191">
        <f t="shared" si="151"/>
        <v>1.9245816126928927</v>
      </c>
      <c r="ACC191">
        <f t="shared" si="151"/>
        <v>1.9245816126928927</v>
      </c>
      <c r="ACD191">
        <f t="shared" si="151"/>
        <v>1.8658987176700716</v>
      </c>
      <c r="ACE191">
        <f t="shared" si="151"/>
        <v>1.8658987176700716</v>
      </c>
      <c r="ACF191">
        <f t="shared" si="151"/>
        <v>1.8619865246685503</v>
      </c>
      <c r="ACG191">
        <f t="shared" si="151"/>
        <v>1.8658987176700716</v>
      </c>
      <c r="ACH191">
        <f t="shared" si="151"/>
        <v>1.8928493805694415</v>
      </c>
      <c r="ACI191">
        <f t="shared" si="151"/>
        <v>1.8717670071723538</v>
      </c>
      <c r="ACJ191">
        <f t="shared" si="151"/>
        <v>1.8976309497935231</v>
      </c>
      <c r="ACK191">
        <f t="shared" si="151"/>
        <v>1.9244776119402984</v>
      </c>
      <c r="ACL191">
        <f t="shared" si="151"/>
        <v>1.8658987176700716</v>
      </c>
      <c r="ACM191">
        <f t="shared" si="151"/>
        <v>1.8658987176700716</v>
      </c>
      <c r="ACN191">
        <f t="shared" si="151"/>
        <v>1.9245816126928927</v>
      </c>
      <c r="ACO191">
        <f t="shared" si="151"/>
        <v>1.9245816126928927</v>
      </c>
      <c r="ACP191">
        <f t="shared" si="151"/>
        <v>1.9245816126928927</v>
      </c>
      <c r="ACQ191">
        <f t="shared" si="151"/>
        <v>1.8658987176700716</v>
      </c>
      <c r="ACR191">
        <f t="shared" ref="ACR191:AFC191" si="152">ACR190/ACR40</f>
        <v>1.9245816126928927</v>
      </c>
      <c r="ACS191">
        <f t="shared" si="152"/>
        <v>1.9245816126928927</v>
      </c>
      <c r="ACT191">
        <f t="shared" si="152"/>
        <v>1.514018691588785</v>
      </c>
      <c r="ACU191">
        <f t="shared" si="152"/>
        <v>1.869376222560313</v>
      </c>
      <c r="ACV191">
        <f t="shared" si="152"/>
        <v>1.9245816126928927</v>
      </c>
      <c r="ACW191">
        <f t="shared" si="152"/>
        <v>1.8795913931753967</v>
      </c>
      <c r="ACX191">
        <f t="shared" si="152"/>
        <v>1.8993697022386438</v>
      </c>
      <c r="ACY191">
        <f t="shared" si="152"/>
        <v>1.8932840686807215</v>
      </c>
      <c r="ACZ191">
        <f t="shared" si="152"/>
        <v>0.73201477939578352</v>
      </c>
      <c r="ADA191">
        <f t="shared" si="152"/>
        <v>1.8658987176700716</v>
      </c>
      <c r="ADB191">
        <f t="shared" si="152"/>
        <v>1.8658987176700716</v>
      </c>
      <c r="ADC191">
        <f t="shared" si="152"/>
        <v>1.8658987176700716</v>
      </c>
      <c r="ADD191">
        <f t="shared" si="152"/>
        <v>1.8658987176700716</v>
      </c>
      <c r="ADE191">
        <f t="shared" si="152"/>
        <v>1.8658987176700716</v>
      </c>
      <c r="ADF191">
        <f t="shared" si="152"/>
        <v>1.8658987176700716</v>
      </c>
      <c r="ADG191">
        <f t="shared" si="152"/>
        <v>1.8658987176700716</v>
      </c>
      <c r="ADH191">
        <f t="shared" si="152"/>
        <v>1.8658987176700716</v>
      </c>
      <c r="ADI191">
        <f t="shared" si="152"/>
        <v>1.8658987176700716</v>
      </c>
      <c r="ADJ191">
        <f t="shared" si="152"/>
        <v>1.8658987176700716</v>
      </c>
      <c r="ADK191">
        <f t="shared" si="152"/>
        <v>1.8658987176700716</v>
      </c>
      <c r="ADL191">
        <f t="shared" si="152"/>
        <v>1.8658987176700716</v>
      </c>
      <c r="ADM191">
        <f t="shared" si="152"/>
        <v>1.8658987176700716</v>
      </c>
      <c r="ADN191">
        <f t="shared" si="152"/>
        <v>1.8658987176700716</v>
      </c>
      <c r="ADO191">
        <f t="shared" si="152"/>
        <v>1.8658987176700716</v>
      </c>
      <c r="ADP191">
        <f t="shared" si="152"/>
        <v>1.8658987176700716</v>
      </c>
      <c r="ADQ191">
        <f t="shared" si="152"/>
        <v>1.8658987176700716</v>
      </c>
      <c r="ADR191">
        <f t="shared" si="152"/>
        <v>1.8658987176700716</v>
      </c>
      <c r="ADS191">
        <f t="shared" si="152"/>
        <v>1.8658987176700716</v>
      </c>
      <c r="ADT191">
        <f t="shared" si="152"/>
        <v>1.8658987176700716</v>
      </c>
      <c r="ADU191">
        <f t="shared" si="152"/>
        <v>1.8658987176700716</v>
      </c>
      <c r="ADV191">
        <f t="shared" si="152"/>
        <v>1.8658987176700716</v>
      </c>
      <c r="ADW191">
        <f t="shared" si="152"/>
        <v>1.8658987176700716</v>
      </c>
      <c r="ADX191">
        <f t="shared" si="152"/>
        <v>1.8658987176700716</v>
      </c>
      <c r="ADY191">
        <f t="shared" si="152"/>
        <v>1.8658987176700716</v>
      </c>
      <c r="ADZ191">
        <f t="shared" si="152"/>
        <v>1.8658987176700716</v>
      </c>
      <c r="AEA191">
        <f t="shared" si="152"/>
        <v>1.8658987176700716</v>
      </c>
      <c r="AEB191">
        <f t="shared" si="152"/>
        <v>1.8658987176700716</v>
      </c>
      <c r="AEC191">
        <f t="shared" si="152"/>
        <v>1.8658987176700716</v>
      </c>
      <c r="AED191">
        <f t="shared" si="152"/>
        <v>1.8658987176700716</v>
      </c>
      <c r="AEE191">
        <f t="shared" si="152"/>
        <v>1.8658987176700716</v>
      </c>
      <c r="AEF191">
        <f t="shared" si="152"/>
        <v>1.8658987176700716</v>
      </c>
      <c r="AEG191">
        <f t="shared" si="152"/>
        <v>1.8658987176700716</v>
      </c>
      <c r="AEH191">
        <f t="shared" si="152"/>
        <v>1.9245816126928927</v>
      </c>
      <c r="AEI191">
        <f t="shared" si="152"/>
        <v>1.9245816126928927</v>
      </c>
      <c r="AEJ191">
        <f t="shared" si="152"/>
        <v>1.9245816126928927</v>
      </c>
      <c r="AEK191">
        <f t="shared" si="152"/>
        <v>1.9245816126928927</v>
      </c>
      <c r="AEL191">
        <f t="shared" si="152"/>
        <v>1.9245816126928927</v>
      </c>
      <c r="AEM191">
        <f t="shared" si="152"/>
        <v>1.9245816126928927</v>
      </c>
      <c r="AEN191">
        <f t="shared" si="152"/>
        <v>1.9245816126928927</v>
      </c>
      <c r="AEO191">
        <f t="shared" si="152"/>
        <v>1.8658987176700716</v>
      </c>
      <c r="AEP191">
        <f t="shared" si="152"/>
        <v>1.8658987176700716</v>
      </c>
      <c r="AEQ191">
        <f t="shared" si="152"/>
        <v>1.8658987176700716</v>
      </c>
      <c r="AER191">
        <f t="shared" si="152"/>
        <v>1.8658987176700716</v>
      </c>
      <c r="AES191">
        <f t="shared" si="152"/>
        <v>1.9245816126928927</v>
      </c>
      <c r="AET191">
        <f t="shared" si="152"/>
        <v>1.9245816126928927</v>
      </c>
      <c r="AEU191">
        <f t="shared" si="152"/>
        <v>1.9245816126928927</v>
      </c>
      <c r="AEV191">
        <f t="shared" si="152"/>
        <v>1.9245816126928927</v>
      </c>
      <c r="AEW191">
        <f t="shared" si="152"/>
        <v>1.9245816126928927</v>
      </c>
      <c r="AEX191">
        <f t="shared" si="152"/>
        <v>1.9245816126928927</v>
      </c>
      <c r="AEY191">
        <f t="shared" si="152"/>
        <v>1.4396870245598783</v>
      </c>
      <c r="AEZ191">
        <f t="shared" si="152"/>
        <v>1.8900239078461205</v>
      </c>
      <c r="AFA191">
        <f t="shared" si="152"/>
        <v>1.9245816126928927</v>
      </c>
      <c r="AFB191">
        <f t="shared" si="152"/>
        <v>1.8658987176700716</v>
      </c>
      <c r="AFC191">
        <f t="shared" si="152"/>
        <v>1.8658987176700716</v>
      </c>
      <c r="AFD191">
        <f t="shared" ref="AFD191:AHO191" si="153">AFD190/AFD40</f>
        <v>1.8658987176700716</v>
      </c>
      <c r="AFE191">
        <f t="shared" si="153"/>
        <v>1.8658987176700716</v>
      </c>
      <c r="AFF191">
        <f t="shared" si="153"/>
        <v>1.8658987176700716</v>
      </c>
      <c r="AFG191">
        <f t="shared" si="153"/>
        <v>1.8658987176700716</v>
      </c>
      <c r="AFH191">
        <f t="shared" si="153"/>
        <v>1.8658987176700716</v>
      </c>
      <c r="AFI191">
        <f t="shared" si="153"/>
        <v>1.8658987176700716</v>
      </c>
      <c r="AFJ191">
        <f t="shared" si="153"/>
        <v>1.8658987176700716</v>
      </c>
      <c r="AFK191">
        <f t="shared" si="153"/>
        <v>1.9245816126928927</v>
      </c>
      <c r="AFL191">
        <f t="shared" si="153"/>
        <v>1.9245816126928927</v>
      </c>
      <c r="AFM191">
        <f t="shared" si="153"/>
        <v>1.8658987176700716</v>
      </c>
      <c r="AFN191">
        <f t="shared" si="153"/>
        <v>1.8658987176700716</v>
      </c>
      <c r="AFO191">
        <f t="shared" si="153"/>
        <v>1.8619865246685503</v>
      </c>
      <c r="AFP191">
        <f t="shared" si="153"/>
        <v>1.8658987176700716</v>
      </c>
      <c r="AFQ191">
        <f t="shared" si="153"/>
        <v>1.8928493805694415</v>
      </c>
      <c r="AFR191">
        <f t="shared" si="153"/>
        <v>1.8717670071723538</v>
      </c>
      <c r="AFS191">
        <f t="shared" si="153"/>
        <v>1.8976309497935231</v>
      </c>
      <c r="AFT191">
        <f t="shared" si="153"/>
        <v>1.530536839817431</v>
      </c>
      <c r="AFU191">
        <f t="shared" si="153"/>
        <v>1.8658987176700716</v>
      </c>
      <c r="AFV191">
        <f t="shared" si="153"/>
        <v>1.8658987176700716</v>
      </c>
      <c r="AFW191">
        <f t="shared" si="153"/>
        <v>1.9245816126928927</v>
      </c>
      <c r="AFX191">
        <f t="shared" si="153"/>
        <v>1.9245816126928927</v>
      </c>
      <c r="AFY191">
        <f t="shared" si="153"/>
        <v>1.9245816126928927</v>
      </c>
      <c r="AFZ191">
        <f t="shared" si="153"/>
        <v>1.8658987176700716</v>
      </c>
      <c r="AGA191">
        <f t="shared" si="153"/>
        <v>1.9245816126928927</v>
      </c>
      <c r="AGB191">
        <f t="shared" si="153"/>
        <v>1.9245816126928927</v>
      </c>
      <c r="AGC191">
        <f t="shared" si="153"/>
        <v>1.514018691588785</v>
      </c>
      <c r="AGD191">
        <f t="shared" si="153"/>
        <v>1.869376222560313</v>
      </c>
      <c r="AGE191">
        <f t="shared" si="153"/>
        <v>1.9245816126928927</v>
      </c>
      <c r="AGF191">
        <f t="shared" si="153"/>
        <v>1.8795913931753967</v>
      </c>
      <c r="AGG191">
        <f t="shared" si="153"/>
        <v>1.8993697022386438</v>
      </c>
      <c r="AGH191">
        <f t="shared" si="153"/>
        <v>1.8932840686807215</v>
      </c>
      <c r="AGI191">
        <f t="shared" si="153"/>
        <v>1.829</v>
      </c>
      <c r="AGJ191">
        <f t="shared" si="153"/>
        <v>1.8300369484894587</v>
      </c>
      <c r="AGK191">
        <f t="shared" si="153"/>
        <v>1.8300369484894587</v>
      </c>
      <c r="AGL191">
        <f t="shared" si="153"/>
        <v>1.8300369484894587</v>
      </c>
      <c r="AGM191">
        <f t="shared" si="153"/>
        <v>1.8300369484894587</v>
      </c>
      <c r="AGN191">
        <f t="shared" si="153"/>
        <v>1.8300369484894587</v>
      </c>
      <c r="AGO191">
        <f t="shared" si="153"/>
        <v>1.8300369484894587</v>
      </c>
      <c r="AGP191">
        <f t="shared" si="153"/>
        <v>1.8300369484894587</v>
      </c>
      <c r="AGQ191">
        <f t="shared" si="153"/>
        <v>1.8300369484894587</v>
      </c>
      <c r="AGR191">
        <f t="shared" si="153"/>
        <v>1.8300369484894587</v>
      </c>
      <c r="AGS191">
        <f t="shared" si="153"/>
        <v>1.8300369484894587</v>
      </c>
      <c r="AGT191">
        <f t="shared" si="153"/>
        <v>1.8300369484894587</v>
      </c>
      <c r="AGU191">
        <f t="shared" si="153"/>
        <v>1.8300369484894587</v>
      </c>
      <c r="AGV191">
        <f t="shared" si="153"/>
        <v>1.8300369484894587</v>
      </c>
      <c r="AGW191">
        <f t="shared" si="153"/>
        <v>1.8300369484894587</v>
      </c>
      <c r="AGX191">
        <f t="shared" si="153"/>
        <v>1.8300369484894587</v>
      </c>
      <c r="AGY191">
        <f t="shared" si="153"/>
        <v>1.8300369484894587</v>
      </c>
      <c r="AGZ191">
        <f t="shared" si="153"/>
        <v>1.8300369484894587</v>
      </c>
      <c r="AHA191">
        <f t="shared" si="153"/>
        <v>1.8300369484894587</v>
      </c>
      <c r="AHB191">
        <f t="shared" si="153"/>
        <v>1.8300369484894587</v>
      </c>
      <c r="AHC191">
        <f t="shared" si="153"/>
        <v>1.8300369484894587</v>
      </c>
      <c r="AHD191">
        <f t="shared" si="153"/>
        <v>1.8300369484894587</v>
      </c>
      <c r="AHE191">
        <f t="shared" si="153"/>
        <v>1.8300369484894587</v>
      </c>
      <c r="AHF191">
        <f t="shared" si="153"/>
        <v>1.8300369484894587</v>
      </c>
      <c r="AHG191">
        <f t="shared" si="153"/>
        <v>1.8300369484894587</v>
      </c>
      <c r="AHH191">
        <f t="shared" si="153"/>
        <v>1.8300369484894587</v>
      </c>
      <c r="AHI191">
        <f t="shared" si="153"/>
        <v>1.8300369484894587</v>
      </c>
      <c r="AHJ191">
        <f t="shared" si="153"/>
        <v>1.8300369484894587</v>
      </c>
      <c r="AHK191">
        <f t="shared" si="153"/>
        <v>1.8300369484894587</v>
      </c>
      <c r="AHL191">
        <f t="shared" si="153"/>
        <v>1.8300369484894587</v>
      </c>
      <c r="AHM191">
        <f t="shared" si="153"/>
        <v>1.8300369484894587</v>
      </c>
      <c r="AHN191">
        <f t="shared" si="153"/>
        <v>1.8300369484894587</v>
      </c>
      <c r="AHO191">
        <f t="shared" si="153"/>
        <v>1.8300369484894587</v>
      </c>
      <c r="AHP191">
        <f t="shared" ref="AHP191:AKA191" si="154">AHP190/AHP40</f>
        <v>1.8300369484894587</v>
      </c>
      <c r="AHQ191">
        <f t="shared" si="154"/>
        <v>1.8876331232340795</v>
      </c>
      <c r="AHR191">
        <f t="shared" si="154"/>
        <v>1.8876331232340795</v>
      </c>
      <c r="AHS191">
        <f t="shared" si="154"/>
        <v>1.8876331232340795</v>
      </c>
      <c r="AHT191">
        <f t="shared" si="154"/>
        <v>1.8876331232340795</v>
      </c>
      <c r="AHU191">
        <f t="shared" si="154"/>
        <v>1.8876331232340795</v>
      </c>
      <c r="AHV191">
        <f t="shared" si="154"/>
        <v>1.8876331232340795</v>
      </c>
      <c r="AHW191">
        <f t="shared" si="154"/>
        <v>1.8876331232340795</v>
      </c>
      <c r="AHX191">
        <f t="shared" si="154"/>
        <v>1.8300369484894587</v>
      </c>
      <c r="AHY191">
        <f t="shared" si="154"/>
        <v>1.8300369484894587</v>
      </c>
      <c r="AHZ191">
        <f t="shared" si="154"/>
        <v>1.8300369484894587</v>
      </c>
      <c r="AIA191">
        <f t="shared" si="154"/>
        <v>1.8300369484894587</v>
      </c>
      <c r="AIB191">
        <f t="shared" si="154"/>
        <v>1.8876331232340795</v>
      </c>
      <c r="AIC191">
        <f t="shared" si="154"/>
        <v>1.8876331232340795</v>
      </c>
      <c r="AID191">
        <f t="shared" si="154"/>
        <v>1.8876331232340795</v>
      </c>
      <c r="AIE191">
        <f t="shared" si="154"/>
        <v>1.8876331232340795</v>
      </c>
      <c r="AIF191">
        <f t="shared" si="154"/>
        <v>1.8876331232340795</v>
      </c>
      <c r="AIG191">
        <f t="shared" si="154"/>
        <v>1.8876331232340795</v>
      </c>
      <c r="AIH191">
        <f t="shared" si="154"/>
        <v>1.4120843294935883</v>
      </c>
      <c r="AII191">
        <f t="shared" si="154"/>
        <v>1.8537274505542274</v>
      </c>
      <c r="AIJ191">
        <f t="shared" si="154"/>
        <v>1.8876331232340795</v>
      </c>
      <c r="AIK191">
        <f t="shared" si="154"/>
        <v>1.8300369484894587</v>
      </c>
      <c r="AIL191">
        <f t="shared" si="154"/>
        <v>1.8300369484894587</v>
      </c>
      <c r="AIM191">
        <f t="shared" si="154"/>
        <v>1.8300369484894587</v>
      </c>
      <c r="AIN191">
        <f t="shared" si="154"/>
        <v>1.8300369484894587</v>
      </c>
      <c r="AIO191">
        <f t="shared" si="154"/>
        <v>1.8300369484894587</v>
      </c>
      <c r="AIP191">
        <f t="shared" si="154"/>
        <v>1.8300369484894587</v>
      </c>
      <c r="AIQ191">
        <f t="shared" si="154"/>
        <v>1.8300369484894587</v>
      </c>
      <c r="AIR191">
        <f t="shared" si="154"/>
        <v>1.8300369484894587</v>
      </c>
      <c r="AIS191">
        <f t="shared" si="154"/>
        <v>1.8300369484894587</v>
      </c>
      <c r="AIT191">
        <f t="shared" si="154"/>
        <v>1.8876331232340795</v>
      </c>
      <c r="AIU191">
        <f t="shared" si="154"/>
        <v>1.8876331232340795</v>
      </c>
      <c r="AIV191">
        <f t="shared" si="154"/>
        <v>1.8300369484894587</v>
      </c>
      <c r="AIW191">
        <f t="shared" si="154"/>
        <v>1.8300369484894587</v>
      </c>
      <c r="AIX191">
        <f t="shared" si="154"/>
        <v>1.8261247554879374</v>
      </c>
      <c r="AIY191">
        <f t="shared" si="154"/>
        <v>1.8300369484894587</v>
      </c>
      <c r="AIZ191">
        <f t="shared" si="154"/>
        <v>1.8565529232775484</v>
      </c>
      <c r="AJA191">
        <f t="shared" si="154"/>
        <v>1.8356878939361008</v>
      </c>
      <c r="AJB191">
        <f t="shared" si="154"/>
        <v>1.8613344925016302</v>
      </c>
      <c r="AJC191">
        <f t="shared" si="154"/>
        <v>1.8874626865671642</v>
      </c>
      <c r="AJD191">
        <f t="shared" si="154"/>
        <v>1.8300369484894587</v>
      </c>
      <c r="AJE191">
        <f t="shared" si="154"/>
        <v>1.8300369484894587</v>
      </c>
      <c r="AJF191">
        <f t="shared" si="154"/>
        <v>1.8876331232340795</v>
      </c>
      <c r="AJG191">
        <f t="shared" si="154"/>
        <v>1.8876331232340795</v>
      </c>
      <c r="AJH191">
        <f t="shared" si="154"/>
        <v>1.8876331232340795</v>
      </c>
      <c r="AJI191">
        <f t="shared" si="154"/>
        <v>1.8300369484894587</v>
      </c>
      <c r="AJJ191">
        <f t="shared" si="154"/>
        <v>1.8876331232340795</v>
      </c>
      <c r="AJK191">
        <f t="shared" si="154"/>
        <v>1.8876331232340795</v>
      </c>
      <c r="AJL191">
        <f t="shared" si="154"/>
        <v>1.4848945881330147</v>
      </c>
      <c r="AJM191">
        <f t="shared" si="154"/>
        <v>1.8335144533797001</v>
      </c>
      <c r="AJN191">
        <f t="shared" si="154"/>
        <v>1.8876331232340795</v>
      </c>
      <c r="AJO191">
        <f t="shared" si="154"/>
        <v>1.8435122799391437</v>
      </c>
      <c r="AJP191">
        <f t="shared" si="154"/>
        <v>1.8630732449467506</v>
      </c>
      <c r="AJQ191">
        <f t="shared" si="154"/>
        <v>1.8569876113888286</v>
      </c>
      <c r="AJR191">
        <f t="shared" si="154"/>
        <v>1.0162921437971075</v>
      </c>
      <c r="AJS191">
        <f t="shared" si="154"/>
        <v>4.7069879571971667</v>
      </c>
      <c r="AJT191">
        <f t="shared" si="154"/>
        <v>5.7015083369511785</v>
      </c>
      <c r="AJU191">
        <f t="shared" si="154"/>
        <v>5.7770483916882629</v>
      </c>
      <c r="AJV191">
        <f t="shared" si="154"/>
        <v>6.1986166907747782</v>
      </c>
      <c r="AJW191">
        <f t="shared" si="154"/>
        <v>6.1780279024988012</v>
      </c>
      <c r="AJX191">
        <f t="shared" si="154"/>
        <v>6.4325120015893829</v>
      </c>
      <c r="AJY191">
        <f t="shared" si="154"/>
        <v>6.2603055123676379</v>
      </c>
      <c r="AJZ191">
        <f t="shared" si="154"/>
        <v>6.1218405463039236</v>
      </c>
      <c r="AKA191">
        <f t="shared" si="154"/>
        <v>5.8954052174655036</v>
      </c>
      <c r="AKB191">
        <f t="shared" ref="AKB191:AMM191" si="155">AKB190/AKB40</f>
        <v>5.8954085507988356</v>
      </c>
      <c r="AKC191">
        <f t="shared" si="155"/>
        <v>5.8954052174654983</v>
      </c>
      <c r="AKD191">
        <f t="shared" si="155"/>
        <v>5.8954052174654983</v>
      </c>
      <c r="AKE191">
        <f t="shared" si="155"/>
        <v>5.8954052174654983</v>
      </c>
      <c r="AKF191">
        <f t="shared" si="155"/>
        <v>5.8954052174654983</v>
      </c>
      <c r="AKG191">
        <f t="shared" si="155"/>
        <v>5.22369486848</v>
      </c>
      <c r="AKH191">
        <f t="shared" si="155"/>
        <v>0.42567913890783848</v>
      </c>
      <c r="AKI191">
        <f t="shared" si="155"/>
        <v>1.7114080517164039</v>
      </c>
      <c r="AKJ191">
        <f t="shared" si="155"/>
        <v>9.9196310979409983</v>
      </c>
      <c r="AKK191">
        <f t="shared" si="155"/>
        <v>10.015716265387926</v>
      </c>
      <c r="AKL191">
        <f t="shared" si="155"/>
        <v>9.9213970857076923</v>
      </c>
      <c r="AKM191">
        <f t="shared" si="155"/>
        <v>9.3827397588592838</v>
      </c>
      <c r="AKN191">
        <f t="shared" si="155"/>
        <v>4.8082723553007058</v>
      </c>
      <c r="AKO191">
        <f t="shared" si="155"/>
        <v>4.3586603763585234</v>
      </c>
      <c r="AKP191">
        <f t="shared" si="155"/>
        <v>6.0349835267164771</v>
      </c>
      <c r="AKQ191">
        <f t="shared" si="155"/>
        <v>6.83289906434171</v>
      </c>
      <c r="AKR191">
        <f t="shared" si="155"/>
        <v>6.3345963179864597</v>
      </c>
      <c r="AKS191">
        <f t="shared" si="155"/>
        <v>3.16981327001157</v>
      </c>
      <c r="AKT191">
        <f t="shared" si="155"/>
        <v>3.0909785105663099</v>
      </c>
      <c r="AKU191">
        <f t="shared" si="155"/>
        <v>2.3116487405912487</v>
      </c>
      <c r="AKV191">
        <f t="shared" si="155"/>
        <v>3.9079733905016751</v>
      </c>
      <c r="AKW191">
        <f t="shared" si="155"/>
        <v>3.0272562267804846</v>
      </c>
    </row>
  </sheetData>
  <phoneticPr fontId="4" type="noConversion"/>
  <hyperlinks>
    <hyperlink ref="AJQ26" r:id="rId1" xr:uid="{FE01D56A-053F-4D59-96C9-4E7AE75D1765}"/>
    <hyperlink ref="AJE26" r:id="rId2" xr:uid="{E136DFDC-DB27-4BF2-BFB0-3E8518164969}"/>
    <hyperlink ref="AGP25" r:id="rId3" xr:uid="{4A461BC1-2426-4F46-A26D-038CAA8AB478}"/>
    <hyperlink ref="AIJ25" r:id="rId4" xr:uid="{3C81833D-1171-4546-8BE2-C2B77A3C0100}"/>
    <hyperlink ref="AGI25" r:id="rId5" xr:uid="{21F5D800-C72E-46CF-A184-7DFA37B8EE6B}"/>
    <hyperlink ref="ID25" r:id="rId6" xr:uid="{84311D69-11A0-4D05-9371-31F2936903CB}"/>
    <hyperlink ref="KY25" r:id="rId7" xr:uid="{66AE7A6B-8C2C-4392-B023-2EFB5722ACCA}"/>
    <hyperlink ref="OH25" r:id="rId8" xr:uid="{030229C4-CBB0-4928-98AA-03D57FC1BF40}"/>
    <hyperlink ref="RQ25" r:id="rId9" xr:uid="{1F791DE0-EC23-40B3-9F66-FC65433E8794}"/>
    <hyperlink ref="UZ25" r:id="rId10" xr:uid="{6379D991-883F-4630-9010-5192C0A807C0}"/>
    <hyperlink ref="YI25" r:id="rId11" xr:uid="{40F0354D-9D97-4F26-970C-91C603F187D0}"/>
    <hyperlink ref="OT18" r:id="rId12" xr:uid="{2CCC84ED-59E7-4F14-A01A-773981614B0D}"/>
    <hyperlink ref="OT25" r:id="rId13" xr:uid="{AF35032C-001D-44B5-884F-FE78C3C499F3}"/>
    <hyperlink ref="AGH26" r:id="rId14" xr:uid="{D27F1F95-AF29-4F29-9613-813F184EB7E6}"/>
    <hyperlink ref="AFV26" r:id="rId15" xr:uid="{E1438239-E8CA-4702-AE2E-0EF5CBE7CB2D}"/>
    <hyperlink ref="ADG25" r:id="rId16" xr:uid="{7870DD44-7E05-4D07-9A03-BA3742922942}"/>
    <hyperlink ref="AFA25" r:id="rId17" xr:uid="{3AE63013-7E17-43F2-BEB1-00033B839CB8}"/>
    <hyperlink ref="ACZ25" r:id="rId18" xr:uid="{E6034AAB-9873-40A7-86FF-95D955BACD05}"/>
    <hyperlink ref="ACY26" r:id="rId19" xr:uid="{BB82E0A3-6CAC-4127-BB0A-273DC74C2F1A}"/>
    <hyperlink ref="ACM26" r:id="rId20" xr:uid="{1ED3FF17-BF44-4D6D-A7EC-272A1115AF3A}"/>
    <hyperlink ref="ZX25" r:id="rId21" xr:uid="{39AB161C-7F14-447F-826D-AD47A18672D7}"/>
    <hyperlink ref="ABR25" r:id="rId22" xr:uid="{6BC83035-1367-4530-A1BB-FE49648BEFF6}"/>
    <hyperlink ref="ZQ25" r:id="rId23" xr:uid="{9DD37F4D-B911-4E9C-A63E-51CB2BF89290}"/>
    <hyperlink ref="AKB18" r:id="rId24" xr:uid="{5565E3A7-858D-43D4-A4EE-E9ACCB500B3F}"/>
    <hyperlink ref="AKA18" r:id="rId25" xr:uid="{C0FFCF17-6C87-4D2A-808E-3E717BA85A1D}"/>
    <hyperlink ref="WH9" r:id="rId26" xr:uid="{8F1B827D-4074-41E9-A2CE-CA5998B7B2C6}"/>
    <hyperlink ref="OT11" r:id="rId27" xr:uid="{2B9DC153-16DA-4854-8EBF-30EB200FBD1C}"/>
  </hyperlinks>
  <pageMargins left="0.7" right="0.7" top="0.75" bottom="0.75" header="0.3" footer="0.3"/>
  <pageSetup orientation="portrait" r:id="rId2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152D-7EDB-4BA7-81EC-86E02933198A}">
  <dimension ref="A1:D68"/>
  <sheetViews>
    <sheetView workbookViewId="0">
      <selection activeCell="C8" sqref="C8"/>
    </sheetView>
  </sheetViews>
  <sheetFormatPr defaultRowHeight="14.4" x14ac:dyDescent="0.55000000000000004"/>
  <cols>
    <col min="3" max="3" width="21.578125" customWidth="1"/>
    <col min="4" max="4" width="92.15625" customWidth="1"/>
  </cols>
  <sheetData>
    <row r="1" spans="1:4" x14ac:dyDescent="0.55000000000000004">
      <c r="A1" t="s">
        <v>867</v>
      </c>
      <c r="B1" t="s">
        <v>860</v>
      </c>
      <c r="C1" t="s">
        <v>869</v>
      </c>
      <c r="D1" t="s">
        <v>803</v>
      </c>
    </row>
    <row r="2" spans="1:4" x14ac:dyDescent="0.55000000000000004">
      <c r="A2">
        <v>9572</v>
      </c>
      <c r="B2" t="s">
        <v>861</v>
      </c>
      <c r="D2" t="s">
        <v>37</v>
      </c>
    </row>
    <row r="3" spans="1:4" x14ac:dyDescent="0.55000000000000004">
      <c r="A3">
        <v>7359</v>
      </c>
      <c r="B3" t="s">
        <v>863</v>
      </c>
      <c r="C3" t="s">
        <v>862</v>
      </c>
      <c r="D3" t="s">
        <v>804</v>
      </c>
    </row>
    <row r="4" spans="1:4" x14ac:dyDescent="0.55000000000000004">
      <c r="A4">
        <v>5415</v>
      </c>
      <c r="B4" t="s">
        <v>861</v>
      </c>
      <c r="D4" t="s">
        <v>55</v>
      </c>
    </row>
    <row r="5" spans="1:4" x14ac:dyDescent="0.55000000000000004">
      <c r="A5">
        <v>5416</v>
      </c>
      <c r="B5" t="s">
        <v>861</v>
      </c>
      <c r="D5" t="s">
        <v>69</v>
      </c>
    </row>
    <row r="6" spans="1:4" x14ac:dyDescent="0.55000000000000004">
      <c r="A6">
        <v>4058</v>
      </c>
      <c r="B6" t="s">
        <v>861</v>
      </c>
      <c r="D6" t="s">
        <v>31</v>
      </c>
    </row>
    <row r="7" spans="1:4" x14ac:dyDescent="0.55000000000000004">
      <c r="A7">
        <v>9507</v>
      </c>
      <c r="B7" t="s">
        <v>861</v>
      </c>
      <c r="C7" t="s">
        <v>940</v>
      </c>
      <c r="D7" t="s">
        <v>805</v>
      </c>
    </row>
    <row r="8" spans="1:4" x14ac:dyDescent="0.55000000000000004">
      <c r="A8">
        <v>2591</v>
      </c>
      <c r="B8" t="s">
        <v>863</v>
      </c>
      <c r="C8" t="s">
        <v>864</v>
      </c>
      <c r="D8" t="s">
        <v>806</v>
      </c>
    </row>
    <row r="9" spans="1:4" x14ac:dyDescent="0.55000000000000004">
      <c r="A9">
        <v>10268</v>
      </c>
      <c r="B9" t="s">
        <v>863</v>
      </c>
      <c r="C9" t="s">
        <v>862</v>
      </c>
      <c r="D9" t="s">
        <v>807</v>
      </c>
    </row>
    <row r="10" spans="1:4" x14ac:dyDescent="0.55000000000000004">
      <c r="A10">
        <v>10476</v>
      </c>
      <c r="B10" t="s">
        <v>863</v>
      </c>
      <c r="C10" t="s">
        <v>862</v>
      </c>
      <c r="D10" t="s">
        <v>808</v>
      </c>
    </row>
    <row r="11" spans="1:4" x14ac:dyDescent="0.55000000000000004">
      <c r="A11">
        <v>9977</v>
      </c>
      <c r="B11" t="s">
        <v>863</v>
      </c>
      <c r="C11" t="s">
        <v>862</v>
      </c>
      <c r="D11" t="s">
        <v>809</v>
      </c>
    </row>
    <row r="12" spans="1:4" x14ac:dyDescent="0.55000000000000004">
      <c r="A12">
        <v>10516</v>
      </c>
      <c r="B12" t="s">
        <v>863</v>
      </c>
      <c r="C12" t="s">
        <v>866</v>
      </c>
      <c r="D12" t="s">
        <v>810</v>
      </c>
    </row>
    <row r="13" spans="1:4" x14ac:dyDescent="0.55000000000000004">
      <c r="A13">
        <v>3541</v>
      </c>
      <c r="B13" t="s">
        <v>863</v>
      </c>
      <c r="C13" t="s">
        <v>870</v>
      </c>
      <c r="D13" t="s">
        <v>811</v>
      </c>
    </row>
    <row r="14" spans="1:4" x14ac:dyDescent="0.55000000000000004">
      <c r="A14">
        <v>8784</v>
      </c>
      <c r="B14" t="s">
        <v>863</v>
      </c>
      <c r="C14" t="s">
        <v>870</v>
      </c>
      <c r="D14" t="s">
        <v>812</v>
      </c>
    </row>
    <row r="15" spans="1:4" x14ac:dyDescent="0.55000000000000004">
      <c r="A15">
        <v>2969</v>
      </c>
      <c r="B15" t="s">
        <v>863</v>
      </c>
      <c r="C15" t="s">
        <v>862</v>
      </c>
      <c r="D15" t="s">
        <v>813</v>
      </c>
    </row>
    <row r="16" spans="1:4" x14ac:dyDescent="0.55000000000000004">
      <c r="A16">
        <v>3779</v>
      </c>
      <c r="B16" t="s">
        <v>863</v>
      </c>
      <c r="C16" t="s">
        <v>870</v>
      </c>
      <c r="D16" t="s">
        <v>814</v>
      </c>
    </row>
    <row r="17" spans="1:4" x14ac:dyDescent="0.55000000000000004">
      <c r="A17">
        <v>7014</v>
      </c>
      <c r="B17" t="s">
        <v>863</v>
      </c>
      <c r="C17" t="s">
        <v>862</v>
      </c>
      <c r="D17" t="s">
        <v>815</v>
      </c>
    </row>
    <row r="18" spans="1:4" x14ac:dyDescent="0.55000000000000004">
      <c r="A18">
        <v>6549</v>
      </c>
      <c r="B18" t="s">
        <v>863</v>
      </c>
      <c r="C18" t="s">
        <v>862</v>
      </c>
      <c r="D18" t="s">
        <v>816</v>
      </c>
    </row>
    <row r="19" spans="1:4" x14ac:dyDescent="0.55000000000000004">
      <c r="A19">
        <v>7734</v>
      </c>
      <c r="B19" t="s">
        <v>863</v>
      </c>
      <c r="C19" t="s">
        <v>862</v>
      </c>
      <c r="D19" t="s">
        <v>817</v>
      </c>
    </row>
    <row r="20" spans="1:4" x14ac:dyDescent="0.55000000000000004">
      <c r="A20">
        <v>6132</v>
      </c>
      <c r="B20" t="s">
        <v>863</v>
      </c>
      <c r="C20" t="s">
        <v>870</v>
      </c>
      <c r="D20" t="s">
        <v>818</v>
      </c>
    </row>
    <row r="21" spans="1:4" x14ac:dyDescent="0.55000000000000004">
      <c r="A21">
        <v>4613</v>
      </c>
      <c r="B21" t="s">
        <v>863</v>
      </c>
      <c r="C21" t="s">
        <v>862</v>
      </c>
      <c r="D21" t="s">
        <v>819</v>
      </c>
    </row>
    <row r="22" spans="1:4" x14ac:dyDescent="0.55000000000000004">
      <c r="A22">
        <v>4799</v>
      </c>
      <c r="B22" t="s">
        <v>863</v>
      </c>
      <c r="C22" t="s">
        <v>862</v>
      </c>
      <c r="D22" t="s">
        <v>820</v>
      </c>
    </row>
    <row r="23" spans="1:4" x14ac:dyDescent="0.55000000000000004">
      <c r="A23">
        <v>6813</v>
      </c>
      <c r="B23" t="s">
        <v>863</v>
      </c>
      <c r="C23" t="s">
        <v>865</v>
      </c>
      <c r="D23" t="s">
        <v>821</v>
      </c>
    </row>
    <row r="24" spans="1:4" x14ac:dyDescent="0.55000000000000004">
      <c r="A24">
        <v>8024</v>
      </c>
      <c r="B24" t="s">
        <v>863</v>
      </c>
      <c r="C24" t="s">
        <v>870</v>
      </c>
      <c r="D24" t="s">
        <v>822</v>
      </c>
    </row>
    <row r="25" spans="1:4" x14ac:dyDescent="0.55000000000000004">
      <c r="A25">
        <v>8239</v>
      </c>
      <c r="B25" t="s">
        <v>863</v>
      </c>
      <c r="C25" t="s">
        <v>862</v>
      </c>
      <c r="D25" t="s">
        <v>823</v>
      </c>
    </row>
    <row r="26" spans="1:4" x14ac:dyDescent="0.55000000000000004">
      <c r="A26">
        <v>8275</v>
      </c>
      <c r="B26" t="s">
        <v>861</v>
      </c>
      <c r="D26" t="s">
        <v>492</v>
      </c>
    </row>
    <row r="27" spans="1:4" x14ac:dyDescent="0.55000000000000004">
      <c r="A27">
        <v>8669</v>
      </c>
      <c r="B27" t="s">
        <v>863</v>
      </c>
      <c r="C27" t="s">
        <v>868</v>
      </c>
      <c r="D27" t="s">
        <v>824</v>
      </c>
    </row>
    <row r="28" spans="1:4" x14ac:dyDescent="0.55000000000000004">
      <c r="A28">
        <v>8693</v>
      </c>
      <c r="B28" t="s">
        <v>863</v>
      </c>
      <c r="C28" t="s">
        <v>868</v>
      </c>
      <c r="D28" t="s">
        <v>825</v>
      </c>
    </row>
    <row r="29" spans="1:4" x14ac:dyDescent="0.55000000000000004">
      <c r="A29">
        <v>8936</v>
      </c>
      <c r="B29" t="s">
        <v>863</v>
      </c>
      <c r="C29" t="s">
        <v>868</v>
      </c>
      <c r="D29" t="s">
        <v>826</v>
      </c>
    </row>
    <row r="30" spans="1:4" x14ac:dyDescent="0.55000000000000004">
      <c r="A30">
        <v>9423</v>
      </c>
      <c r="B30" t="s">
        <v>863</v>
      </c>
      <c r="C30" t="s">
        <v>868</v>
      </c>
      <c r="D30" t="s">
        <v>827</v>
      </c>
    </row>
    <row r="31" spans="1:4" x14ac:dyDescent="0.55000000000000004">
      <c r="A31">
        <v>9595</v>
      </c>
      <c r="B31" t="s">
        <v>863</v>
      </c>
      <c r="C31" t="s">
        <v>868</v>
      </c>
      <c r="D31" t="s">
        <v>828</v>
      </c>
    </row>
    <row r="32" spans="1:4" x14ac:dyDescent="0.55000000000000004">
      <c r="A32">
        <v>9634</v>
      </c>
      <c r="B32" t="s">
        <v>863</v>
      </c>
      <c r="C32" t="s">
        <v>868</v>
      </c>
      <c r="D32" t="s">
        <v>829</v>
      </c>
    </row>
    <row r="33" spans="1:4" x14ac:dyDescent="0.55000000000000004">
      <c r="A33">
        <v>9790</v>
      </c>
      <c r="B33" t="s">
        <v>863</v>
      </c>
      <c r="C33" t="s">
        <v>868</v>
      </c>
      <c r="D33" t="s">
        <v>830</v>
      </c>
    </row>
    <row r="34" spans="1:4" x14ac:dyDescent="0.55000000000000004">
      <c r="A34">
        <v>9791</v>
      </c>
      <c r="B34" t="s">
        <v>863</v>
      </c>
      <c r="C34" t="s">
        <v>868</v>
      </c>
      <c r="D34" t="s">
        <v>831</v>
      </c>
    </row>
    <row r="35" spans="1:4" x14ac:dyDescent="0.55000000000000004">
      <c r="A35">
        <v>9911</v>
      </c>
      <c r="B35" t="s">
        <v>863</v>
      </c>
      <c r="C35" t="s">
        <v>868</v>
      </c>
      <c r="D35" t="s">
        <v>832</v>
      </c>
    </row>
    <row r="36" spans="1:4" x14ac:dyDescent="0.55000000000000004">
      <c r="A36">
        <v>9934</v>
      </c>
      <c r="B36" t="s">
        <v>863</v>
      </c>
      <c r="C36" t="s">
        <v>868</v>
      </c>
      <c r="D36" t="s">
        <v>833</v>
      </c>
    </row>
    <row r="37" spans="1:4" x14ac:dyDescent="0.55000000000000004">
      <c r="A37">
        <v>9992</v>
      </c>
      <c r="B37" t="s">
        <v>863</v>
      </c>
      <c r="C37" t="s">
        <v>868</v>
      </c>
      <c r="D37" t="s">
        <v>834</v>
      </c>
    </row>
    <row r="38" spans="1:4" x14ac:dyDescent="0.55000000000000004">
      <c r="A38">
        <v>10018</v>
      </c>
      <c r="B38" t="s">
        <v>863</v>
      </c>
      <c r="C38" t="s">
        <v>868</v>
      </c>
      <c r="D38" t="s">
        <v>835</v>
      </c>
    </row>
    <row r="39" spans="1:4" x14ac:dyDescent="0.55000000000000004">
      <c r="A39">
        <v>10056</v>
      </c>
      <c r="B39" t="s">
        <v>863</v>
      </c>
      <c r="C39" t="s">
        <v>868</v>
      </c>
      <c r="D39" t="s">
        <v>836</v>
      </c>
    </row>
    <row r="40" spans="1:4" x14ac:dyDescent="0.55000000000000004">
      <c r="A40">
        <v>10058</v>
      </c>
      <c r="B40" t="s">
        <v>863</v>
      </c>
      <c r="C40" t="s">
        <v>868</v>
      </c>
      <c r="D40" t="s">
        <v>837</v>
      </c>
    </row>
    <row r="41" spans="1:4" x14ac:dyDescent="0.55000000000000004">
      <c r="A41">
        <v>10061</v>
      </c>
      <c r="B41" t="s">
        <v>863</v>
      </c>
      <c r="C41" t="s">
        <v>868</v>
      </c>
      <c r="D41" t="s">
        <v>838</v>
      </c>
    </row>
    <row r="42" spans="1:4" x14ac:dyDescent="0.55000000000000004">
      <c r="A42">
        <v>10124</v>
      </c>
      <c r="B42" t="s">
        <v>863</v>
      </c>
      <c r="C42" t="s">
        <v>868</v>
      </c>
      <c r="D42" t="s">
        <v>839</v>
      </c>
    </row>
    <row r="43" spans="1:4" x14ac:dyDescent="0.55000000000000004">
      <c r="A43">
        <v>10259</v>
      </c>
      <c r="B43" t="s">
        <v>863</v>
      </c>
      <c r="C43" t="s">
        <v>868</v>
      </c>
      <c r="D43" t="s">
        <v>840</v>
      </c>
    </row>
    <row r="44" spans="1:4" x14ac:dyDescent="0.55000000000000004">
      <c r="A44">
        <v>10292</v>
      </c>
      <c r="B44" t="s">
        <v>863</v>
      </c>
      <c r="C44" t="s">
        <v>868</v>
      </c>
      <c r="D44" t="s">
        <v>841</v>
      </c>
    </row>
    <row r="45" spans="1:4" x14ac:dyDescent="0.55000000000000004">
      <c r="A45">
        <v>10340</v>
      </c>
      <c r="B45" t="s">
        <v>863</v>
      </c>
      <c r="C45" t="s">
        <v>868</v>
      </c>
      <c r="D45" t="s">
        <v>842</v>
      </c>
    </row>
    <row r="46" spans="1:4" x14ac:dyDescent="0.55000000000000004">
      <c r="A46">
        <v>10440</v>
      </c>
      <c r="B46" t="s">
        <v>863</v>
      </c>
      <c r="C46" t="s">
        <v>868</v>
      </c>
      <c r="D46" t="s">
        <v>843</v>
      </c>
    </row>
    <row r="47" spans="1:4" x14ac:dyDescent="0.55000000000000004">
      <c r="A47">
        <v>10578</v>
      </c>
      <c r="B47" t="s">
        <v>863</v>
      </c>
      <c r="C47" t="s">
        <v>868</v>
      </c>
      <c r="D47" t="s">
        <v>844</v>
      </c>
    </row>
    <row r="48" spans="1:4" x14ac:dyDescent="0.55000000000000004">
      <c r="A48">
        <v>10703</v>
      </c>
      <c r="B48" t="s">
        <v>863</v>
      </c>
      <c r="C48" t="s">
        <v>868</v>
      </c>
      <c r="D48" t="s">
        <v>845</v>
      </c>
    </row>
    <row r="49" spans="4:4" x14ac:dyDescent="0.55000000000000004">
      <c r="D49" t="s">
        <v>846</v>
      </c>
    </row>
    <row r="50" spans="4:4" x14ac:dyDescent="0.55000000000000004">
      <c r="D50" t="s">
        <v>847</v>
      </c>
    </row>
    <row r="51" spans="4:4" x14ac:dyDescent="0.55000000000000004">
      <c r="D51" t="s">
        <v>848</v>
      </c>
    </row>
    <row r="52" spans="4:4" x14ac:dyDescent="0.55000000000000004">
      <c r="D52" t="s">
        <v>849</v>
      </c>
    </row>
    <row r="53" spans="4:4" x14ac:dyDescent="0.55000000000000004">
      <c r="D53" t="s">
        <v>850</v>
      </c>
    </row>
    <row r="54" spans="4:4" x14ac:dyDescent="0.55000000000000004">
      <c r="D54" t="s">
        <v>836</v>
      </c>
    </row>
    <row r="55" spans="4:4" x14ac:dyDescent="0.55000000000000004">
      <c r="D55" t="s">
        <v>847</v>
      </c>
    </row>
    <row r="56" spans="4:4" x14ac:dyDescent="0.55000000000000004">
      <c r="D56" t="s">
        <v>859</v>
      </c>
    </row>
    <row r="57" spans="4:4" x14ac:dyDescent="0.55000000000000004">
      <c r="D57" t="s">
        <v>833</v>
      </c>
    </row>
    <row r="58" spans="4:4" x14ac:dyDescent="0.55000000000000004">
      <c r="D58" t="s">
        <v>833</v>
      </c>
    </row>
    <row r="59" spans="4:4" x14ac:dyDescent="0.55000000000000004">
      <c r="D59" t="s">
        <v>851</v>
      </c>
    </row>
    <row r="60" spans="4:4" x14ac:dyDescent="0.55000000000000004">
      <c r="D60" t="s">
        <v>834</v>
      </c>
    </row>
    <row r="61" spans="4:4" x14ac:dyDescent="0.55000000000000004">
      <c r="D61" t="s">
        <v>852</v>
      </c>
    </row>
    <row r="62" spans="4:4" x14ac:dyDescent="0.55000000000000004">
      <c r="D62" t="s">
        <v>853</v>
      </c>
    </row>
    <row r="63" spans="4:4" x14ac:dyDescent="0.55000000000000004">
      <c r="D63" t="s">
        <v>854</v>
      </c>
    </row>
    <row r="64" spans="4:4" x14ac:dyDescent="0.55000000000000004">
      <c r="D64" t="s">
        <v>808</v>
      </c>
    </row>
    <row r="65" spans="4:4" x14ac:dyDescent="0.55000000000000004">
      <c r="D65" t="s">
        <v>855</v>
      </c>
    </row>
    <row r="66" spans="4:4" x14ac:dyDescent="0.55000000000000004">
      <c r="D66" t="s">
        <v>856</v>
      </c>
    </row>
    <row r="67" spans="4:4" x14ac:dyDescent="0.55000000000000004">
      <c r="D67" t="s">
        <v>857</v>
      </c>
    </row>
    <row r="68" spans="4:4" x14ac:dyDescent="0.55000000000000004">
      <c r="D68" t="s">
        <v>858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77AC1-C11C-4509-ABCF-AB8FA1E39297}">
  <dimension ref="A1:D85"/>
  <sheetViews>
    <sheetView workbookViewId="0">
      <selection activeCell="C4" sqref="C4"/>
    </sheetView>
  </sheetViews>
  <sheetFormatPr defaultRowHeight="14.4" x14ac:dyDescent="0.55000000000000004"/>
  <cols>
    <col min="3" max="3" width="33.3671875" customWidth="1"/>
    <col min="4" max="4" width="86.20703125" customWidth="1"/>
  </cols>
  <sheetData>
    <row r="1" spans="1:4" x14ac:dyDescent="0.55000000000000004">
      <c r="A1" t="s">
        <v>939</v>
      </c>
      <c r="B1" t="s">
        <v>860</v>
      </c>
      <c r="C1" t="s">
        <v>869</v>
      </c>
      <c r="D1" t="s">
        <v>697</v>
      </c>
    </row>
    <row r="2" spans="1:4" x14ac:dyDescent="0.55000000000000004">
      <c r="A2">
        <v>1239</v>
      </c>
      <c r="B2" t="s">
        <v>861</v>
      </c>
      <c r="D2" t="s">
        <v>938</v>
      </c>
    </row>
    <row r="3" spans="1:4" x14ac:dyDescent="0.55000000000000004">
      <c r="A3">
        <v>1083</v>
      </c>
      <c r="B3" t="s">
        <v>861</v>
      </c>
      <c r="C3" t="s">
        <v>940</v>
      </c>
      <c r="D3" t="s">
        <v>871</v>
      </c>
    </row>
    <row r="4" spans="1:4" x14ac:dyDescent="0.55000000000000004">
      <c r="A4">
        <v>11394</v>
      </c>
      <c r="B4" t="s">
        <v>861</v>
      </c>
      <c r="C4" t="s">
        <v>940</v>
      </c>
      <c r="D4" t="s">
        <v>501</v>
      </c>
    </row>
    <row r="5" spans="1:4" x14ac:dyDescent="0.55000000000000004">
      <c r="A5">
        <v>7587</v>
      </c>
      <c r="B5" t="s">
        <v>863</v>
      </c>
      <c r="C5" t="s">
        <v>862</v>
      </c>
      <c r="D5" t="s">
        <v>872</v>
      </c>
    </row>
    <row r="6" spans="1:4" x14ac:dyDescent="0.55000000000000004">
      <c r="A6">
        <v>11682</v>
      </c>
      <c r="B6" t="s">
        <v>863</v>
      </c>
      <c r="C6" t="s">
        <v>862</v>
      </c>
      <c r="D6" t="s">
        <v>873</v>
      </c>
    </row>
    <row r="7" spans="1:4" x14ac:dyDescent="0.55000000000000004">
      <c r="A7">
        <v>2751</v>
      </c>
      <c r="B7" t="s">
        <v>863</v>
      </c>
      <c r="C7" t="s">
        <v>862</v>
      </c>
      <c r="D7" t="s">
        <v>874</v>
      </c>
    </row>
    <row r="8" spans="1:4" x14ac:dyDescent="0.55000000000000004">
      <c r="A8">
        <v>11568</v>
      </c>
      <c r="B8" t="s">
        <v>863</v>
      </c>
      <c r="C8" t="s">
        <v>941</v>
      </c>
      <c r="D8" t="s">
        <v>589</v>
      </c>
    </row>
    <row r="9" spans="1:4" x14ac:dyDescent="0.55000000000000004">
      <c r="A9">
        <v>3971</v>
      </c>
      <c r="B9" t="s">
        <v>863</v>
      </c>
      <c r="C9" t="s">
        <v>941</v>
      </c>
      <c r="D9" t="s">
        <v>875</v>
      </c>
    </row>
    <row r="10" spans="1:4" x14ac:dyDescent="0.55000000000000004">
      <c r="A10">
        <v>4265</v>
      </c>
      <c r="B10" t="s">
        <v>861</v>
      </c>
      <c r="D10" t="s">
        <v>547</v>
      </c>
    </row>
    <row r="11" spans="1:4" x14ac:dyDescent="0.55000000000000004">
      <c r="A11">
        <v>11722</v>
      </c>
      <c r="B11" t="s">
        <v>861</v>
      </c>
      <c r="D11" t="s">
        <v>552</v>
      </c>
    </row>
    <row r="12" spans="1:4" x14ac:dyDescent="0.55000000000000004">
      <c r="A12">
        <v>10710</v>
      </c>
      <c r="B12" t="s">
        <v>861</v>
      </c>
      <c r="D12" t="s">
        <v>576</v>
      </c>
    </row>
    <row r="13" spans="1:4" x14ac:dyDescent="0.55000000000000004">
      <c r="A13">
        <v>10813</v>
      </c>
      <c r="B13" t="s">
        <v>861</v>
      </c>
      <c r="D13" t="s">
        <v>585</v>
      </c>
    </row>
    <row r="14" spans="1:4" x14ac:dyDescent="0.55000000000000004">
      <c r="A14">
        <v>10812</v>
      </c>
      <c r="B14" t="s">
        <v>861</v>
      </c>
      <c r="D14" t="s">
        <v>584</v>
      </c>
    </row>
    <row r="15" spans="1:4" x14ac:dyDescent="0.55000000000000004">
      <c r="A15">
        <v>6395</v>
      </c>
      <c r="B15" t="s">
        <v>863</v>
      </c>
      <c r="C15" t="s">
        <v>941</v>
      </c>
      <c r="D15" t="s">
        <v>876</v>
      </c>
    </row>
    <row r="16" spans="1:4" x14ac:dyDescent="0.55000000000000004">
      <c r="A16">
        <v>3116</v>
      </c>
      <c r="B16" t="s">
        <v>861</v>
      </c>
      <c r="C16" t="s">
        <v>942</v>
      </c>
      <c r="D16" t="s">
        <v>877</v>
      </c>
    </row>
    <row r="17" spans="1:4" x14ac:dyDescent="0.55000000000000004">
      <c r="A17">
        <v>3114</v>
      </c>
      <c r="B17" t="s">
        <v>861</v>
      </c>
      <c r="C17" t="s">
        <v>942</v>
      </c>
      <c r="D17" t="s">
        <v>878</v>
      </c>
    </row>
    <row r="18" spans="1:4" x14ac:dyDescent="0.55000000000000004">
      <c r="A18">
        <v>3113</v>
      </c>
      <c r="B18" t="s">
        <v>861</v>
      </c>
      <c r="C18" t="s">
        <v>942</v>
      </c>
      <c r="D18" t="s">
        <v>879</v>
      </c>
    </row>
    <row r="19" spans="1:4" x14ac:dyDescent="0.55000000000000004">
      <c r="A19">
        <v>3566</v>
      </c>
      <c r="B19" t="s">
        <v>861</v>
      </c>
      <c r="C19" t="s">
        <v>942</v>
      </c>
      <c r="D19" t="s">
        <v>880</v>
      </c>
    </row>
    <row r="20" spans="1:4" x14ac:dyDescent="0.55000000000000004">
      <c r="A20">
        <v>7508</v>
      </c>
      <c r="B20" t="s">
        <v>861</v>
      </c>
      <c r="C20" t="s">
        <v>942</v>
      </c>
      <c r="D20" t="s">
        <v>881</v>
      </c>
    </row>
    <row r="21" spans="1:4" x14ac:dyDescent="0.55000000000000004">
      <c r="A21">
        <v>6393</v>
      </c>
      <c r="B21" t="s">
        <v>861</v>
      </c>
      <c r="C21" t="s">
        <v>942</v>
      </c>
      <c r="D21" t="s">
        <v>882</v>
      </c>
    </row>
    <row r="22" spans="1:4" x14ac:dyDescent="0.55000000000000004">
      <c r="A22">
        <v>3110</v>
      </c>
      <c r="B22" t="s">
        <v>861</v>
      </c>
      <c r="C22" t="s">
        <v>942</v>
      </c>
      <c r="D22" t="s">
        <v>37</v>
      </c>
    </row>
    <row r="23" spans="1:4" x14ac:dyDescent="0.55000000000000004">
      <c r="A23">
        <v>3109</v>
      </c>
      <c r="B23" t="s">
        <v>861</v>
      </c>
      <c r="C23" t="s">
        <v>942</v>
      </c>
      <c r="D23" t="s">
        <v>883</v>
      </c>
    </row>
    <row r="24" spans="1:4" x14ac:dyDescent="0.55000000000000004">
      <c r="A24">
        <v>6394</v>
      </c>
      <c r="B24" t="s">
        <v>861</v>
      </c>
      <c r="C24" t="s">
        <v>942</v>
      </c>
      <c r="D24" t="s">
        <v>884</v>
      </c>
    </row>
    <row r="25" spans="1:4" x14ac:dyDescent="0.55000000000000004">
      <c r="A25">
        <v>7597</v>
      </c>
      <c r="B25" t="s">
        <v>863</v>
      </c>
      <c r="C25" t="s">
        <v>868</v>
      </c>
      <c r="D25" t="s">
        <v>885</v>
      </c>
    </row>
    <row r="26" spans="1:4" x14ac:dyDescent="0.55000000000000004">
      <c r="A26">
        <v>1299</v>
      </c>
      <c r="B26" t="s">
        <v>863</v>
      </c>
      <c r="C26" t="s">
        <v>868</v>
      </c>
      <c r="D26" t="s">
        <v>886</v>
      </c>
    </row>
    <row r="27" spans="1:4" x14ac:dyDescent="0.55000000000000004">
      <c r="A27">
        <v>11173</v>
      </c>
      <c r="B27" t="s">
        <v>863</v>
      </c>
      <c r="C27" t="s">
        <v>868</v>
      </c>
      <c r="D27" t="s">
        <v>887</v>
      </c>
    </row>
    <row r="28" spans="1:4" x14ac:dyDescent="0.55000000000000004">
      <c r="A28">
        <v>7576</v>
      </c>
      <c r="B28" t="s">
        <v>863</v>
      </c>
      <c r="C28" t="s">
        <v>868</v>
      </c>
      <c r="D28" t="s">
        <v>888</v>
      </c>
    </row>
    <row r="29" spans="1:4" x14ac:dyDescent="0.55000000000000004">
      <c r="A29">
        <v>7509</v>
      </c>
      <c r="B29" t="s">
        <v>863</v>
      </c>
      <c r="C29" t="s">
        <v>868</v>
      </c>
      <c r="D29" t="s">
        <v>889</v>
      </c>
    </row>
    <row r="30" spans="1:4" x14ac:dyDescent="0.55000000000000004">
      <c r="A30">
        <v>10782</v>
      </c>
      <c r="B30" t="s">
        <v>863</v>
      </c>
      <c r="C30" t="s">
        <v>868</v>
      </c>
      <c r="D30" t="s">
        <v>890</v>
      </c>
    </row>
    <row r="31" spans="1:4" x14ac:dyDescent="0.55000000000000004">
      <c r="A31">
        <v>11656</v>
      </c>
      <c r="B31" t="s">
        <v>863</v>
      </c>
      <c r="C31" t="s">
        <v>868</v>
      </c>
      <c r="D31" t="s">
        <v>891</v>
      </c>
    </row>
    <row r="32" spans="1:4" x14ac:dyDescent="0.55000000000000004">
      <c r="A32">
        <v>7510</v>
      </c>
      <c r="B32" t="s">
        <v>863</v>
      </c>
      <c r="C32" t="s">
        <v>868</v>
      </c>
      <c r="D32" t="s">
        <v>892</v>
      </c>
    </row>
    <row r="33" spans="1:4" x14ac:dyDescent="0.55000000000000004">
      <c r="A33">
        <v>11655</v>
      </c>
      <c r="B33" t="s">
        <v>863</v>
      </c>
      <c r="C33" t="s">
        <v>868</v>
      </c>
      <c r="D33" t="s">
        <v>893</v>
      </c>
    </row>
    <row r="34" spans="1:4" x14ac:dyDescent="0.55000000000000004">
      <c r="A34">
        <v>2750</v>
      </c>
      <c r="B34" t="s">
        <v>863</v>
      </c>
      <c r="C34" t="s">
        <v>868</v>
      </c>
      <c r="D34" t="s">
        <v>894</v>
      </c>
    </row>
    <row r="35" spans="1:4" x14ac:dyDescent="0.55000000000000004">
      <c r="A35">
        <v>6301</v>
      </c>
      <c r="B35" t="s">
        <v>863</v>
      </c>
      <c r="C35" t="s">
        <v>868</v>
      </c>
      <c r="D35" t="s">
        <v>895</v>
      </c>
    </row>
    <row r="36" spans="1:4" x14ac:dyDescent="0.55000000000000004">
      <c r="A36">
        <v>11455</v>
      </c>
      <c r="B36" t="s">
        <v>863</v>
      </c>
      <c r="C36" t="s">
        <v>868</v>
      </c>
      <c r="D36" t="s">
        <v>896</v>
      </c>
    </row>
    <row r="37" spans="1:4" x14ac:dyDescent="0.55000000000000004">
      <c r="A37">
        <v>4592</v>
      </c>
      <c r="B37" t="s">
        <v>863</v>
      </c>
      <c r="C37" t="s">
        <v>868</v>
      </c>
      <c r="D37" t="s">
        <v>897</v>
      </c>
    </row>
    <row r="38" spans="1:4" x14ac:dyDescent="0.55000000000000004">
      <c r="A38">
        <v>11427</v>
      </c>
      <c r="B38" t="s">
        <v>863</v>
      </c>
      <c r="C38" t="s">
        <v>868</v>
      </c>
      <c r="D38" t="s">
        <v>898</v>
      </c>
    </row>
    <row r="39" spans="1:4" x14ac:dyDescent="0.55000000000000004">
      <c r="A39">
        <v>1015</v>
      </c>
      <c r="B39" t="s">
        <v>863</v>
      </c>
      <c r="C39" t="s">
        <v>868</v>
      </c>
      <c r="D39" t="s">
        <v>899</v>
      </c>
    </row>
    <row r="40" spans="1:4" x14ac:dyDescent="0.55000000000000004">
      <c r="A40">
        <v>980</v>
      </c>
      <c r="B40" t="s">
        <v>863</v>
      </c>
      <c r="C40" t="s">
        <v>868</v>
      </c>
      <c r="D40" t="s">
        <v>900</v>
      </c>
    </row>
    <row r="41" spans="1:4" x14ac:dyDescent="0.55000000000000004">
      <c r="A41">
        <v>6275</v>
      </c>
      <c r="B41" t="s">
        <v>863</v>
      </c>
      <c r="C41" t="s">
        <v>868</v>
      </c>
      <c r="D41" t="s">
        <v>901</v>
      </c>
    </row>
    <row r="42" spans="1:4" x14ac:dyDescent="0.55000000000000004">
      <c r="A42">
        <v>5087</v>
      </c>
      <c r="B42" t="s">
        <v>863</v>
      </c>
      <c r="C42" t="s">
        <v>868</v>
      </c>
      <c r="D42" t="s">
        <v>902</v>
      </c>
    </row>
    <row r="43" spans="1:4" x14ac:dyDescent="0.55000000000000004">
      <c r="A43">
        <v>2519</v>
      </c>
      <c r="B43" t="s">
        <v>863</v>
      </c>
      <c r="C43" t="s">
        <v>868</v>
      </c>
      <c r="D43" t="s">
        <v>903</v>
      </c>
    </row>
    <row r="44" spans="1:4" x14ac:dyDescent="0.55000000000000004">
      <c r="A44">
        <v>11068</v>
      </c>
      <c r="B44" t="s">
        <v>863</v>
      </c>
      <c r="C44" t="s">
        <v>868</v>
      </c>
      <c r="D44" t="s">
        <v>904</v>
      </c>
    </row>
    <row r="45" spans="1:4" x14ac:dyDescent="0.55000000000000004">
      <c r="A45">
        <v>11441</v>
      </c>
      <c r="B45" t="s">
        <v>863</v>
      </c>
      <c r="C45" t="s">
        <v>868</v>
      </c>
      <c r="D45" t="s">
        <v>905</v>
      </c>
    </row>
    <row r="46" spans="1:4" x14ac:dyDescent="0.55000000000000004">
      <c r="A46">
        <v>10739</v>
      </c>
      <c r="B46" t="s">
        <v>863</v>
      </c>
      <c r="C46" t="s">
        <v>868</v>
      </c>
      <c r="D46" t="s">
        <v>906</v>
      </c>
    </row>
    <row r="47" spans="1:4" x14ac:dyDescent="0.55000000000000004">
      <c r="A47">
        <v>11988</v>
      </c>
      <c r="B47" t="s">
        <v>863</v>
      </c>
      <c r="C47" t="s">
        <v>868</v>
      </c>
      <c r="D47" t="s">
        <v>907</v>
      </c>
    </row>
    <row r="48" spans="1:4" x14ac:dyDescent="0.55000000000000004">
      <c r="A48">
        <v>11539</v>
      </c>
      <c r="B48" t="s">
        <v>863</v>
      </c>
      <c r="C48" t="s">
        <v>868</v>
      </c>
      <c r="D48" t="s">
        <v>908</v>
      </c>
    </row>
    <row r="49" spans="1:4" x14ac:dyDescent="0.55000000000000004">
      <c r="A49">
        <v>939</v>
      </c>
      <c r="B49" t="s">
        <v>863</v>
      </c>
      <c r="C49" t="s">
        <v>868</v>
      </c>
      <c r="D49" t="s">
        <v>816</v>
      </c>
    </row>
    <row r="50" spans="1:4" x14ac:dyDescent="0.55000000000000004">
      <c r="A50">
        <v>10810</v>
      </c>
      <c r="B50" t="s">
        <v>863</v>
      </c>
      <c r="C50" t="s">
        <v>868</v>
      </c>
      <c r="D50" t="s">
        <v>909</v>
      </c>
    </row>
    <row r="51" spans="1:4" x14ac:dyDescent="0.55000000000000004">
      <c r="A51">
        <v>10811</v>
      </c>
      <c r="B51" t="s">
        <v>863</v>
      </c>
      <c r="C51" t="s">
        <v>868</v>
      </c>
      <c r="D51" t="s">
        <v>910</v>
      </c>
    </row>
    <row r="52" spans="1:4" x14ac:dyDescent="0.55000000000000004">
      <c r="A52">
        <v>11437</v>
      </c>
      <c r="B52" t="s">
        <v>863</v>
      </c>
      <c r="C52" t="s">
        <v>868</v>
      </c>
      <c r="D52" t="s">
        <v>911</v>
      </c>
    </row>
    <row r="53" spans="1:4" x14ac:dyDescent="0.55000000000000004">
      <c r="A53">
        <v>11426</v>
      </c>
      <c r="B53" t="s">
        <v>863</v>
      </c>
      <c r="C53" t="s">
        <v>868</v>
      </c>
      <c r="D53" t="s">
        <v>912</v>
      </c>
    </row>
    <row r="54" spans="1:4" x14ac:dyDescent="0.55000000000000004">
      <c r="A54">
        <v>751</v>
      </c>
      <c r="B54" t="s">
        <v>863</v>
      </c>
      <c r="C54" t="s">
        <v>868</v>
      </c>
      <c r="D54" t="s">
        <v>913</v>
      </c>
    </row>
    <row r="55" spans="1:4" x14ac:dyDescent="0.55000000000000004">
      <c r="A55">
        <v>5303</v>
      </c>
      <c r="B55" t="s">
        <v>863</v>
      </c>
      <c r="C55" t="s">
        <v>868</v>
      </c>
      <c r="D55" t="s">
        <v>914</v>
      </c>
    </row>
    <row r="56" spans="1:4" x14ac:dyDescent="0.55000000000000004">
      <c r="A56">
        <v>1201</v>
      </c>
      <c r="B56" t="s">
        <v>863</v>
      </c>
      <c r="C56" t="s">
        <v>868</v>
      </c>
      <c r="D56" t="s">
        <v>492</v>
      </c>
    </row>
    <row r="57" spans="1:4" x14ac:dyDescent="0.55000000000000004">
      <c r="A57">
        <v>3906</v>
      </c>
      <c r="B57" t="s">
        <v>863</v>
      </c>
      <c r="C57" t="s">
        <v>868</v>
      </c>
      <c r="D57" t="s">
        <v>915</v>
      </c>
    </row>
    <row r="58" spans="1:4" x14ac:dyDescent="0.55000000000000004">
      <c r="A58">
        <v>5311</v>
      </c>
      <c r="B58" t="s">
        <v>863</v>
      </c>
      <c r="C58" t="s">
        <v>868</v>
      </c>
      <c r="D58" t="s">
        <v>916</v>
      </c>
    </row>
    <row r="59" spans="1:4" x14ac:dyDescent="0.55000000000000004">
      <c r="A59">
        <v>2520</v>
      </c>
      <c r="B59" t="s">
        <v>863</v>
      </c>
      <c r="C59" t="s">
        <v>868</v>
      </c>
      <c r="D59" t="s">
        <v>917</v>
      </c>
    </row>
    <row r="60" spans="1:4" x14ac:dyDescent="0.55000000000000004">
      <c r="A60">
        <v>504</v>
      </c>
      <c r="B60" t="s">
        <v>863</v>
      </c>
      <c r="C60" t="s">
        <v>868</v>
      </c>
      <c r="D60" t="s">
        <v>918</v>
      </c>
    </row>
    <row r="61" spans="1:4" x14ac:dyDescent="0.55000000000000004">
      <c r="A61">
        <v>2786</v>
      </c>
      <c r="B61" t="s">
        <v>863</v>
      </c>
      <c r="C61" t="s">
        <v>868</v>
      </c>
      <c r="D61" t="s">
        <v>838</v>
      </c>
    </row>
    <row r="62" spans="1:4" x14ac:dyDescent="0.55000000000000004">
      <c r="A62">
        <v>2669</v>
      </c>
      <c r="B62" t="s">
        <v>863</v>
      </c>
      <c r="C62" t="s">
        <v>868</v>
      </c>
      <c r="D62" t="s">
        <v>837</v>
      </c>
    </row>
    <row r="63" spans="1:4" x14ac:dyDescent="0.55000000000000004">
      <c r="A63">
        <v>2668</v>
      </c>
      <c r="B63" t="s">
        <v>863</v>
      </c>
      <c r="C63" t="s">
        <v>868</v>
      </c>
      <c r="D63" t="s">
        <v>836</v>
      </c>
    </row>
    <row r="64" spans="1:4" x14ac:dyDescent="0.55000000000000004">
      <c r="A64">
        <v>6746</v>
      </c>
      <c r="B64" t="s">
        <v>863</v>
      </c>
      <c r="C64" t="s">
        <v>868</v>
      </c>
      <c r="D64" t="s">
        <v>919</v>
      </c>
    </row>
    <row r="65" spans="1:4" x14ac:dyDescent="0.55000000000000004">
      <c r="A65">
        <v>410</v>
      </c>
      <c r="B65" t="s">
        <v>863</v>
      </c>
      <c r="C65" t="s">
        <v>868</v>
      </c>
      <c r="D65" t="s">
        <v>920</v>
      </c>
    </row>
    <row r="66" spans="1:4" x14ac:dyDescent="0.55000000000000004">
      <c r="A66">
        <v>1174</v>
      </c>
      <c r="B66" t="s">
        <v>863</v>
      </c>
      <c r="C66" t="s">
        <v>868</v>
      </c>
      <c r="D66" t="s">
        <v>921</v>
      </c>
    </row>
    <row r="67" spans="1:4" x14ac:dyDescent="0.55000000000000004">
      <c r="A67">
        <v>11190</v>
      </c>
      <c r="B67" t="s">
        <v>863</v>
      </c>
      <c r="C67" t="s">
        <v>868</v>
      </c>
      <c r="D67" t="s">
        <v>922</v>
      </c>
    </row>
    <row r="68" spans="1:4" x14ac:dyDescent="0.55000000000000004">
      <c r="A68">
        <v>1200</v>
      </c>
      <c r="B68" t="s">
        <v>863</v>
      </c>
      <c r="C68" t="s">
        <v>868</v>
      </c>
      <c r="D68" t="s">
        <v>825</v>
      </c>
    </row>
    <row r="69" spans="1:4" x14ac:dyDescent="0.55000000000000004">
      <c r="A69">
        <v>1199</v>
      </c>
      <c r="B69" t="s">
        <v>863</v>
      </c>
      <c r="C69" t="s">
        <v>868</v>
      </c>
      <c r="D69" t="s">
        <v>812</v>
      </c>
    </row>
    <row r="70" spans="1:4" x14ac:dyDescent="0.55000000000000004">
      <c r="A70">
        <v>1198</v>
      </c>
      <c r="B70" t="s">
        <v>863</v>
      </c>
      <c r="C70" t="s">
        <v>868</v>
      </c>
      <c r="D70" t="s">
        <v>824</v>
      </c>
    </row>
    <row r="71" spans="1:4" x14ac:dyDescent="0.55000000000000004">
      <c r="A71">
        <v>3404</v>
      </c>
      <c r="B71" t="s">
        <v>863</v>
      </c>
      <c r="C71" t="s">
        <v>868</v>
      </c>
      <c r="D71" t="s">
        <v>923</v>
      </c>
    </row>
    <row r="72" spans="1:4" x14ac:dyDescent="0.55000000000000004">
      <c r="A72">
        <v>11138</v>
      </c>
      <c r="B72" t="s">
        <v>863</v>
      </c>
      <c r="C72" t="s">
        <v>868</v>
      </c>
      <c r="D72" t="s">
        <v>924</v>
      </c>
    </row>
    <row r="73" spans="1:4" x14ac:dyDescent="0.55000000000000004">
      <c r="A73">
        <v>5124</v>
      </c>
      <c r="B73" t="s">
        <v>863</v>
      </c>
      <c r="C73" t="s">
        <v>868</v>
      </c>
      <c r="D73" t="s">
        <v>925</v>
      </c>
    </row>
    <row r="74" spans="1:4" x14ac:dyDescent="0.55000000000000004">
      <c r="A74">
        <v>2293</v>
      </c>
      <c r="B74" t="s">
        <v>863</v>
      </c>
      <c r="C74" t="s">
        <v>868</v>
      </c>
      <c r="D74" t="s">
        <v>926</v>
      </c>
    </row>
    <row r="75" spans="1:4" x14ac:dyDescent="0.55000000000000004">
      <c r="A75">
        <v>4236</v>
      </c>
      <c r="B75" t="s">
        <v>863</v>
      </c>
      <c r="C75" t="s">
        <v>868</v>
      </c>
      <c r="D75" t="s">
        <v>927</v>
      </c>
    </row>
    <row r="76" spans="1:4" x14ac:dyDescent="0.55000000000000004">
      <c r="A76">
        <v>2576</v>
      </c>
      <c r="B76" t="s">
        <v>863</v>
      </c>
      <c r="C76" t="s">
        <v>868</v>
      </c>
      <c r="D76" t="s">
        <v>928</v>
      </c>
    </row>
    <row r="77" spans="1:4" x14ac:dyDescent="0.55000000000000004">
      <c r="A77">
        <v>5123</v>
      </c>
      <c r="B77" t="s">
        <v>863</v>
      </c>
      <c r="C77" t="s">
        <v>868</v>
      </c>
      <c r="D77" t="s">
        <v>929</v>
      </c>
    </row>
    <row r="78" spans="1:4" x14ac:dyDescent="0.55000000000000004">
      <c r="A78">
        <v>1161</v>
      </c>
      <c r="B78" t="s">
        <v>863</v>
      </c>
      <c r="C78" t="s">
        <v>868</v>
      </c>
      <c r="D78" t="s">
        <v>930</v>
      </c>
    </row>
    <row r="79" spans="1:4" x14ac:dyDescent="0.55000000000000004">
      <c r="A79">
        <v>1888</v>
      </c>
      <c r="B79" t="s">
        <v>863</v>
      </c>
      <c r="C79" t="s">
        <v>868</v>
      </c>
      <c r="D79" t="s">
        <v>931</v>
      </c>
    </row>
    <row r="80" spans="1:4" x14ac:dyDescent="0.55000000000000004">
      <c r="A80">
        <v>1011</v>
      </c>
      <c r="B80" t="s">
        <v>863</v>
      </c>
      <c r="C80" t="s">
        <v>868</v>
      </c>
      <c r="D80" t="s">
        <v>932</v>
      </c>
    </row>
    <row r="81" spans="1:4" x14ac:dyDescent="0.55000000000000004">
      <c r="A81">
        <v>10655</v>
      </c>
      <c r="B81" t="s">
        <v>863</v>
      </c>
      <c r="C81" t="s">
        <v>868</v>
      </c>
      <c r="D81" t="s">
        <v>933</v>
      </c>
    </row>
    <row r="82" spans="1:4" x14ac:dyDescent="0.55000000000000004">
      <c r="A82">
        <v>5801</v>
      </c>
      <c r="B82" t="s">
        <v>863</v>
      </c>
      <c r="C82" t="s">
        <v>868</v>
      </c>
      <c r="D82" t="s">
        <v>934</v>
      </c>
    </row>
    <row r="83" spans="1:4" x14ac:dyDescent="0.55000000000000004">
      <c r="A83">
        <v>2747</v>
      </c>
      <c r="B83" t="s">
        <v>863</v>
      </c>
      <c r="C83" t="s">
        <v>868</v>
      </c>
      <c r="D83" t="s">
        <v>935</v>
      </c>
    </row>
    <row r="84" spans="1:4" x14ac:dyDescent="0.55000000000000004">
      <c r="A84">
        <v>1172</v>
      </c>
      <c r="B84" t="s">
        <v>863</v>
      </c>
      <c r="C84" t="s">
        <v>868</v>
      </c>
      <c r="D84" t="s">
        <v>936</v>
      </c>
    </row>
    <row r="85" spans="1:4" x14ac:dyDescent="0.55000000000000004">
      <c r="A85">
        <v>1119</v>
      </c>
      <c r="B85" t="s">
        <v>863</v>
      </c>
      <c r="C85" t="s">
        <v>868</v>
      </c>
      <c r="D85" t="s">
        <v>937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CDM Projects Selection</vt:lpstr>
      <vt:lpstr>GS Projects Selection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Walker  Lukas</dc:creator>
  <cp:lastModifiedBy>Walker  Lukas</cp:lastModifiedBy>
  <dcterms:created xsi:type="dcterms:W3CDTF">2024-11-08T11:08:55Z</dcterms:created>
  <dcterms:modified xsi:type="dcterms:W3CDTF">2025-04-25T11:38:50Z</dcterms:modified>
</cp:coreProperties>
</file>